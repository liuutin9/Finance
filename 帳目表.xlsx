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6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微軟正黑體"/>
      <charset val="136"/>
      <family val="2"/>
      <b val="1"/>
      <color rgb="FFFFFFFF"/>
      <sz val="16"/>
    </font>
    <font>
      <name val="Source Sans Pro"/>
      <family val="2"/>
      <color rgb="FF000000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15" fillId="0" borderId="13" applyProtection="1" pivotButton="0" quotePrefix="0" xfId="0">
      <protection locked="0" hidden="0"/>
    </xf>
    <xf numFmtId="0" fontId="15" fillId="0" borderId="14" applyProtection="1" pivotButton="0" quotePrefix="0" xfId="0"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126982.0608</v>
                </pt>
                <pt idx="2">
                  <v>272453.62965</v>
                </pt>
                <pt idx="3">
                  <v>221514.063869175</v>
                </pt>
                <pt idx="4">
                  <v>92045.87119999999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129740.05865</v>
                </pt>
                <pt idx="1">
                  <v>142713.571</v>
                </pt>
                <pt idx="2">
                  <v>221514.063869175</v>
                </pt>
                <pt idx="3">
                  <v>71050.06019999999</v>
                </pt>
                <pt idx="4">
                  <v>11098.8171</v>
                </pt>
                <pt idx="5">
                  <v>9230.463899999999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6" sqref="S6:T6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2" t="inlineStr">
        <is>
          <t>新台幣</t>
        </is>
      </c>
      <c r="B1" s="46" t="n"/>
      <c r="C1" s="46" t="n"/>
      <c r="D1" s="47" t="n"/>
      <c r="E1" s="59" t="inlineStr">
        <is>
          <t>美元</t>
        </is>
      </c>
      <c r="F1" s="46" t="n"/>
      <c r="G1" s="46" t="n"/>
      <c r="H1" s="47" t="n"/>
      <c r="I1" s="45" t="inlineStr">
        <is>
          <t>台股</t>
        </is>
      </c>
      <c r="J1" s="46" t="n"/>
      <c r="K1" s="46" t="n"/>
      <c r="L1" s="47" t="n"/>
      <c r="M1" s="93" t="inlineStr">
        <is>
          <t>美股</t>
        </is>
      </c>
      <c r="N1" s="46" t="n"/>
      <c r="O1" s="46" t="n"/>
      <c r="P1" s="47" t="n"/>
      <c r="Q1" s="81" t="inlineStr">
        <is>
          <t>加密貨幣</t>
        </is>
      </c>
      <c r="R1" s="46" t="n"/>
      <c r="S1" s="46" t="n"/>
      <c r="T1" s="47" t="n"/>
    </row>
    <row r="2" ht="17.25" customHeight="1">
      <c r="A2" s="99" t="inlineStr">
        <is>
          <t>永豐大戶活存</t>
        </is>
      </c>
      <c r="B2" s="100" t="n"/>
      <c r="C2" s="101" t="n">
        <v>212282</v>
      </c>
      <c r="D2" s="56" t="n"/>
      <c r="E2" s="102" t="inlineStr">
        <is>
          <t>美元活存</t>
        </is>
      </c>
      <c r="F2" s="100" t="n"/>
      <c r="G2" s="85" t="n">
        <v>4.48</v>
      </c>
      <c r="H2" s="56" t="n"/>
      <c r="I2" s="86" t="inlineStr">
        <is>
          <t>006208</t>
        </is>
      </c>
      <c r="J2" s="65" t="n"/>
      <c r="K2" s="55">
        <f>'006208.TW'!D3*'006208.TW'!C3*0.997</f>
        <v/>
      </c>
      <c r="L2" s="56" t="n"/>
      <c r="M2" s="91" t="inlineStr">
        <is>
          <t>VT</t>
        </is>
      </c>
      <c r="N2" s="65" t="n"/>
      <c r="O2" s="63">
        <f>VT!H3*VT!D3*投資!G2</f>
        <v/>
      </c>
      <c r="P2" s="56" t="n"/>
      <c r="Q2" s="64" t="inlineStr">
        <is>
          <t>BTC</t>
        </is>
      </c>
      <c r="R2" s="65" t="n"/>
      <c r="S2" s="94">
        <f>(2052.83+187.79)*投資!G2</f>
        <v/>
      </c>
      <c r="T2" s="56" t="n"/>
    </row>
    <row r="3" ht="17.25" customHeight="1">
      <c r="A3" s="49" t="inlineStr">
        <is>
          <t>玉山銀行活存</t>
        </is>
      </c>
      <c r="B3" s="43" t="n"/>
      <c r="C3" s="44" t="n">
        <v>12651</v>
      </c>
      <c r="D3" s="41" t="n"/>
      <c r="E3" s="48" t="inlineStr">
        <is>
          <t>Chase</t>
        </is>
      </c>
      <c r="F3" s="43" t="n"/>
      <c r="G3" s="79" t="n">
        <v>4000</v>
      </c>
      <c r="H3" s="41" t="n"/>
      <c r="I3" s="98" t="inlineStr">
        <is>
          <t>2890</t>
        </is>
      </c>
      <c r="J3" s="77" t="n"/>
      <c r="K3" s="82">
        <f>'2890.TW'!D3*'2890.TW'!C3*0.997</f>
        <v/>
      </c>
      <c r="L3" s="41" t="n"/>
      <c r="M3" s="89" t="n"/>
      <c r="N3" s="77" t="n"/>
      <c r="O3" s="40" t="n"/>
      <c r="P3" s="41" t="n"/>
      <c r="Q3" s="76" t="inlineStr">
        <is>
          <t>ETH</t>
        </is>
      </c>
      <c r="R3" s="77" t="n"/>
      <c r="S3" s="50">
        <f>350.01*投資!G2</f>
        <v/>
      </c>
      <c r="T3" s="41" t="n"/>
    </row>
    <row r="4" ht="15.75" customHeight="1">
      <c r="A4" s="49" t="inlineStr">
        <is>
          <t>一銀iLeo活存</t>
        </is>
      </c>
      <c r="B4" s="43" t="n"/>
      <c r="C4" s="44" t="n">
        <v>120000</v>
      </c>
      <c r="D4" s="41" t="n"/>
      <c r="E4" s="48" t="n"/>
      <c r="F4" s="43" t="n"/>
      <c r="G4" s="79" t="n"/>
      <c r="H4" s="41" t="n"/>
      <c r="I4" s="98" t="n"/>
      <c r="J4" s="77" t="n"/>
      <c r="K4" s="82" t="n"/>
      <c r="L4" s="41" t="n"/>
      <c r="M4" s="89" t="n"/>
      <c r="N4" s="77" t="n"/>
      <c r="O4" s="40" t="n"/>
      <c r="P4" s="41" t="n"/>
      <c r="Q4" s="76" t="inlineStr">
        <is>
          <t>SOL</t>
        </is>
      </c>
      <c r="R4" s="77" t="n"/>
      <c r="S4" s="50">
        <f>291.09*投資!G2</f>
        <v/>
      </c>
      <c r="T4" s="41" t="n"/>
    </row>
    <row r="5" ht="16.5" customHeight="1">
      <c r="A5" s="49" t="inlineStr">
        <is>
          <t>中華郵政活存</t>
        </is>
      </c>
      <c r="B5" s="43" t="n"/>
      <c r="C5" s="44" t="n">
        <v>48513</v>
      </c>
      <c r="D5" s="41" t="n"/>
      <c r="E5" s="48" t="n"/>
      <c r="F5" s="43" t="n"/>
      <c r="G5" s="79" t="n"/>
      <c r="H5" s="41" t="n"/>
      <c r="I5" s="75" t="n"/>
      <c r="J5" s="43" t="n"/>
      <c r="K5" s="82" t="n"/>
      <c r="L5" s="41" t="n"/>
      <c r="M5" s="89" t="n"/>
      <c r="N5" s="77" t="n"/>
      <c r="O5" s="40" t="n"/>
      <c r="P5" s="41" t="n"/>
      <c r="Q5" s="76" t="inlineStr">
        <is>
          <t>USDT</t>
        </is>
      </c>
      <c r="R5" s="77" t="n"/>
      <c r="S5" s="50">
        <f>501.08+165.45</f>
        <v/>
      </c>
      <c r="T5" s="41" t="n"/>
    </row>
    <row r="6" ht="17.25" customHeight="1">
      <c r="A6" s="49" t="inlineStr">
        <is>
          <t>中國信託活存</t>
        </is>
      </c>
      <c r="B6" s="43" t="n"/>
      <c r="C6" s="44" t="n">
        <v>0</v>
      </c>
      <c r="D6" s="41" t="n"/>
      <c r="E6" s="48" t="n"/>
      <c r="F6" s="43" t="n"/>
      <c r="G6" s="79" t="n"/>
      <c r="H6" s="41" t="n"/>
      <c r="I6" s="75" t="n"/>
      <c r="J6" s="43" t="n"/>
      <c r="K6" s="82" t="n"/>
      <c r="L6" s="41" t="n"/>
      <c r="M6" s="62" t="n"/>
      <c r="N6" s="43" t="n"/>
      <c r="O6" s="40" t="n"/>
      <c r="P6" s="41" t="n"/>
      <c r="Q6" s="42" t="n"/>
      <c r="R6" s="43" t="n"/>
      <c r="S6" s="50" t="n"/>
      <c r="T6" s="41" t="n"/>
    </row>
    <row r="7" ht="17.25" customHeight="1">
      <c r="A7" s="49" t="inlineStr">
        <is>
          <t>華南Sny活存</t>
        </is>
      </c>
      <c r="B7" s="43" t="n"/>
      <c r="C7" s="44" t="n">
        <v>100000</v>
      </c>
      <c r="D7" s="41" t="n"/>
      <c r="E7" s="48" t="n"/>
      <c r="F7" s="43" t="n"/>
      <c r="G7" s="79" t="n"/>
      <c r="H7" s="41" t="n"/>
      <c r="I7" s="75" t="n"/>
      <c r="J7" s="43" t="n"/>
      <c r="K7" s="82" t="n"/>
      <c r="L7" s="41" t="n"/>
      <c r="M7" s="62" t="n"/>
      <c r="N7" s="43" t="n"/>
      <c r="O7" s="40" t="n"/>
      <c r="P7" s="41" t="n"/>
      <c r="Q7" s="42" t="n"/>
      <c r="R7" s="43" t="n"/>
      <c r="S7" s="50" t="n"/>
      <c r="T7" s="41" t="n"/>
    </row>
    <row r="8" ht="17.25" customHeight="1">
      <c r="A8" s="49" t="inlineStr">
        <is>
          <t>定存</t>
        </is>
      </c>
      <c r="B8" s="43" t="n"/>
      <c r="C8" s="44" t="n">
        <v>60000</v>
      </c>
      <c r="D8" s="41" t="n"/>
      <c r="E8" s="48" t="n"/>
      <c r="F8" s="43" t="n"/>
      <c r="G8" s="79" t="n"/>
      <c r="H8" s="41" t="n"/>
      <c r="I8" s="75" t="n"/>
      <c r="J8" s="43" t="n"/>
      <c r="K8" s="82" t="n"/>
      <c r="L8" s="41" t="n"/>
      <c r="M8" s="62" t="n"/>
      <c r="N8" s="43" t="n"/>
      <c r="O8" s="40" t="n"/>
      <c r="P8" s="41" t="n"/>
      <c r="Q8" s="42" t="n"/>
      <c r="R8" s="43" t="n"/>
      <c r="S8" s="50" t="n"/>
      <c r="T8" s="41" t="n"/>
    </row>
    <row r="9" ht="17.25" customHeight="1" thickBot="1">
      <c r="A9" s="66" t="inlineStr">
        <is>
          <t>錢包</t>
        </is>
      </c>
      <c r="B9" s="67" t="n"/>
      <c r="C9" s="95" t="n">
        <v>6000</v>
      </c>
      <c r="D9" s="96" t="n"/>
      <c r="E9" s="97" t="n"/>
      <c r="F9" s="58" t="n"/>
      <c r="G9" s="83" t="n"/>
      <c r="H9" s="61" t="n"/>
      <c r="I9" s="84" t="n"/>
      <c r="J9" s="58" t="n"/>
      <c r="K9" s="87" t="n"/>
      <c r="L9" s="61" t="n"/>
      <c r="M9" s="88" t="n"/>
      <c r="N9" s="58" t="n"/>
      <c r="O9" s="90" t="n"/>
      <c r="P9" s="61" t="n"/>
      <c r="Q9" s="57" t="n"/>
      <c r="R9" s="58" t="n"/>
      <c r="S9" s="60" t="n"/>
      <c r="T9" s="61" t="n"/>
    </row>
    <row r="10" ht="17.25" customHeight="1" thickBot="1">
      <c r="A10" s="51" t="inlineStr">
        <is>
          <t>總計</t>
        </is>
      </c>
      <c r="B10" s="52" t="n"/>
      <c r="C10" s="53">
        <f>SUM(C2:D9)</f>
        <v/>
      </c>
      <c r="D10" s="54" t="n"/>
      <c r="E10" s="51" t="inlineStr">
        <is>
          <t>總計</t>
        </is>
      </c>
      <c r="F10" s="52" t="n"/>
      <c r="G10" s="53">
        <f>SUM(G2:H9)*投資!G2</f>
        <v/>
      </c>
      <c r="H10" s="54" t="n"/>
      <c r="I10" s="51" t="inlineStr">
        <is>
          <t>總計</t>
        </is>
      </c>
      <c r="J10" s="52" t="n"/>
      <c r="K10" s="53">
        <f>SUM(K2:L9)</f>
        <v/>
      </c>
      <c r="L10" s="54" t="n"/>
      <c r="M10" s="51" t="inlineStr">
        <is>
          <t>總計</t>
        </is>
      </c>
      <c r="N10" s="52" t="n"/>
      <c r="O10" s="53">
        <f>SUM(O2:P9)</f>
        <v/>
      </c>
      <c r="P10" s="54" t="n"/>
      <c r="Q10" s="51" t="inlineStr">
        <is>
          <t>總計</t>
        </is>
      </c>
      <c r="R10" s="52" t="n"/>
      <c r="S10" s="53">
        <f>SUM(S2:T9)</f>
        <v/>
      </c>
      <c r="T10" s="54" t="n"/>
    </row>
    <row r="11" ht="31.5" customHeight="1" thickBot="1">
      <c r="A11" s="78" t="inlineStr">
        <is>
          <t>總資產</t>
        </is>
      </c>
      <c r="B11" s="54" t="n"/>
      <c r="C11" s="103" t="inlineStr">
        <is>
          <t>負債</t>
        </is>
      </c>
      <c r="D11" s="54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8">
        <f>C10+G10+K10+O10+S10</f>
        <v/>
      </c>
      <c r="B12" s="47" t="n"/>
      <c r="C12" s="71" t="n">
        <v>19182</v>
      </c>
      <c r="D12" s="72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69" t="n"/>
      <c r="B13" s="70" t="n"/>
      <c r="C13" s="73" t="n"/>
      <c r="D13" s="74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8" t="inlineStr">
        <is>
          <t>淨資產</t>
        </is>
      </c>
      <c r="B14" s="47" t="n"/>
      <c r="C14" s="103" t="inlineStr">
        <is>
          <t>負債率</t>
        </is>
      </c>
      <c r="D14" s="47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69" t="n"/>
      <c r="B15" s="70" t="n"/>
      <c r="C15" s="69" t="n"/>
      <c r="D15" s="70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8">
        <f>A12-C12</f>
        <v/>
      </c>
      <c r="B16" s="47" t="n"/>
      <c r="C16" s="80">
        <f>C12/A12</f>
        <v/>
      </c>
      <c r="D16" s="47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69" t="n"/>
      <c r="B17" s="70" t="n"/>
      <c r="C17" s="69" t="n"/>
      <c r="D17" s="70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H5" sqref="H5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9" t="inlineStr">
        <is>
          <t>台股</t>
        </is>
      </c>
      <c r="B1" s="104" t="n"/>
      <c r="C1" s="43" t="n"/>
      <c r="D1" s="3" t="n"/>
      <c r="E1" s="128" t="inlineStr">
        <is>
          <t>折讓款</t>
        </is>
      </c>
      <c r="F1" s="128" t="inlineStr">
        <is>
          <t>交易稅</t>
        </is>
      </c>
      <c r="G1" s="128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31.575</v>
      </c>
    </row>
    <row r="3" ht="17.25" customHeight="1">
      <c r="A3" s="133">
        <f>('006208.TW'!E3+'00692.TW'!E3+'2890.TW'!E3)-('006208.TW'!F3+'00692.TW'!F3+'2890.TW'!F3)-E2+7345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6" t="n"/>
      <c r="B4" s="106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29" t="inlineStr">
        <is>
          <t>美股</t>
        </is>
      </c>
      <c r="B8" s="104" t="n"/>
      <c r="C8" s="43" t="n"/>
      <c r="D8" s="5" t="n"/>
      <c r="E8" s="129" t="inlineStr">
        <is>
          <t>Total</t>
        </is>
      </c>
      <c r="F8" s="104" t="n"/>
      <c r="G8" s="43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06" t="n"/>
      <c r="B11" s="106" t="n"/>
      <c r="C11" s="134">
        <f>B10-A10</f>
        <v/>
      </c>
      <c r="D11" s="5" t="n"/>
      <c r="E11" s="106" t="n"/>
      <c r="F11" s="106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29" t="inlineStr">
        <is>
          <t>加密貨幣</t>
        </is>
      </c>
      <c r="B15" s="104" t="n"/>
      <c r="C15" s="43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120060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6" t="n"/>
      <c r="B18" s="106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006208.TW</t>
        </is>
      </c>
      <c r="G1" s="43" t="n"/>
      <c r="H1" s="120" t="n"/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n"/>
      <c r="I2" s="110" t="n"/>
      <c r="J2" s="19" t="n"/>
    </row>
    <row r="3" ht="18.75" customHeight="1">
      <c r="A3" s="109">
        <f>(E3-F3)/D3</f>
        <v/>
      </c>
      <c r="B3" s="112">
        <f>E3/D3</f>
        <v/>
      </c>
      <c r="C3" s="124" t="inlineStr">
        <is>
          <t>168.85</t>
        </is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n"/>
      <c r="I3" s="137" t="n"/>
      <c r="J3" s="115" t="n"/>
    </row>
    <row r="4" ht="18.75" customHeight="1">
      <c r="A4" s="106" t="n"/>
      <c r="B4" s="106" t="n"/>
      <c r="C4" s="111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n"/>
      <c r="I5" s="110" t="n"/>
      <c r="J5" s="110" t="n"/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07" t="n">
        <v>6</v>
      </c>
      <c r="E7" s="107" t="n">
        <v>459</v>
      </c>
      <c r="F7" s="107" t="n"/>
      <c r="G7" s="43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07" t="n">
        <v>20</v>
      </c>
      <c r="E8" s="107" t="n">
        <v>1475</v>
      </c>
      <c r="F8" s="107" t="n"/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07" t="n">
        <v>40</v>
      </c>
      <c r="E9" s="107" t="n">
        <v>2976</v>
      </c>
      <c r="F9" s="107" t="n"/>
      <c r="G9" s="43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07" t="n">
        <v>20</v>
      </c>
      <c r="E10" s="107" t="n">
        <v>1472</v>
      </c>
      <c r="F10" s="107" t="n"/>
      <c r="G10" s="43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07" t="n">
        <v>21</v>
      </c>
      <c r="E11" s="107" t="n">
        <v>1505</v>
      </c>
      <c r="F11" s="107" t="n"/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07" t="n">
        <v>21</v>
      </c>
      <c r="E12" s="107" t="n">
        <v>1510</v>
      </c>
      <c r="F12" s="107" t="n"/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07" t="n">
        <v>30</v>
      </c>
      <c r="E13" s="107" t="n">
        <v>2125</v>
      </c>
      <c r="F13" s="107" t="n"/>
      <c r="G13" s="43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07" t="n">
        <v>21</v>
      </c>
      <c r="E14" s="18" t="n">
        <v>1539</v>
      </c>
      <c r="F14" s="107" t="n"/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07" t="n">
        <v>20</v>
      </c>
      <c r="E15" s="107" t="n">
        <v>1497</v>
      </c>
      <c r="F15" s="107" t="n"/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07" t="n"/>
      <c r="E16" s="107" t="n"/>
      <c r="F16" s="107" t="n">
        <v>152</v>
      </c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07" t="n">
        <v>20</v>
      </c>
      <c r="E17" s="107" t="n">
        <v>1505</v>
      </c>
      <c r="F17" s="107" t="n"/>
      <c r="G17" s="43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07" t="n">
        <v>20</v>
      </c>
      <c r="E18" s="107" t="n">
        <v>1520</v>
      </c>
      <c r="F18" s="107" t="n"/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07" t="n">
        <v>20</v>
      </c>
      <c r="E19" s="107" t="n">
        <v>1565</v>
      </c>
      <c r="F19" s="107" t="n"/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07" t="n">
        <v>19</v>
      </c>
      <c r="E20" s="107" t="n">
        <v>1576</v>
      </c>
      <c r="F20" s="107" t="n"/>
      <c r="G20" s="43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07" t="n">
        <v>17</v>
      </c>
      <c r="E21" s="107" t="n">
        <v>1473</v>
      </c>
      <c r="F21" s="107" t="n"/>
      <c r="G21" s="43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07" t="n">
        <v>16</v>
      </c>
      <c r="E22" s="107" t="n">
        <v>1493</v>
      </c>
      <c r="F22" s="107" t="n"/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07" t="n">
        <v>17</v>
      </c>
      <c r="E23" s="107" t="n">
        <v>1591</v>
      </c>
      <c r="F23" s="107" t="n"/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07" t="n">
        <v>15</v>
      </c>
      <c r="E24" s="107" t="n">
        <v>1530</v>
      </c>
      <c r="F24" s="107" t="n"/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07" t="n">
        <v>13</v>
      </c>
      <c r="E25" s="107" t="n">
        <v>1500</v>
      </c>
      <c r="F25" s="107" t="n"/>
      <c r="G25" s="43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07" t="n">
        <v>16</v>
      </c>
      <c r="E26" s="107" t="n">
        <v>1555</v>
      </c>
      <c r="F26" s="107" t="n"/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07" t="n"/>
      <c r="E27" s="107" t="n"/>
      <c r="F27" s="107" t="n">
        <v>279</v>
      </c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07" t="n">
        <v>1</v>
      </c>
      <c r="E28" s="107" t="n">
        <v>108</v>
      </c>
      <c r="F28" s="107" t="n"/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07" t="n">
        <v>15</v>
      </c>
      <c r="E29" s="107" t="n">
        <v>1532</v>
      </c>
      <c r="F29" s="107" t="n"/>
      <c r="G29" s="43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07" t="n">
        <v>14</v>
      </c>
      <c r="E30" s="107" t="n">
        <v>1535</v>
      </c>
      <c r="F30" s="107" t="n"/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07" t="n">
        <v>13</v>
      </c>
      <c r="E31" s="107" t="n">
        <v>1493</v>
      </c>
      <c r="F31" s="107" t="n"/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07" t="n">
        <v>14</v>
      </c>
      <c r="E32" s="107" t="n">
        <v>1592</v>
      </c>
      <c r="F32" s="107" t="n"/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07" t="n"/>
      <c r="E33" s="107" t="n"/>
      <c r="F33" s="107" t="n">
        <v>374</v>
      </c>
      <c r="G33" s="43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07" t="n">
        <v>2</v>
      </c>
      <c r="E34" s="107" t="n">
        <v>226</v>
      </c>
      <c r="F34" s="107" t="n"/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07" t="n">
        <v>13</v>
      </c>
      <c r="E35" s="107" t="n">
        <v>1515</v>
      </c>
      <c r="F35" s="107" t="n"/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07" t="n">
        <v>13</v>
      </c>
      <c r="E36" s="107" t="n">
        <v>1511</v>
      </c>
      <c r="F36" s="107" t="n"/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07" t="n">
        <v>100</v>
      </c>
      <c r="E37" s="107" t="n">
        <v>10814</v>
      </c>
      <c r="F37" s="107" t="n"/>
      <c r="G37" s="43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07" t="n">
        <v>18</v>
      </c>
      <c r="E38" s="107" t="n">
        <v>1989</v>
      </c>
      <c r="F38" s="107" t="n"/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07" t="n">
        <v>22</v>
      </c>
      <c r="E39" s="107" t="n">
        <v>2054</v>
      </c>
      <c r="F39" s="107" t="n"/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07" t="n">
        <v>20</v>
      </c>
      <c r="E40" s="107" t="n">
        <v>2011</v>
      </c>
      <c r="F40" s="107" t="n"/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07" t="n">
        <v>19</v>
      </c>
      <c r="E41" s="107" t="n">
        <v>2034</v>
      </c>
      <c r="F41" s="107" t="n"/>
      <c r="G41" s="43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07" t="n">
        <v>18</v>
      </c>
      <c r="E42" s="107" t="n">
        <v>2053</v>
      </c>
      <c r="F42" s="107" t="n"/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07" t="n">
        <v>17</v>
      </c>
      <c r="E43" s="107" t="n">
        <v>2028</v>
      </c>
      <c r="F43" s="107" t="n"/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07" t="n"/>
      <c r="E44" s="107" t="n"/>
      <c r="F44" s="107" t="n">
        <v>647</v>
      </c>
      <c r="G44" s="43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07" t="n">
        <v>4</v>
      </c>
      <c r="E45" s="107" t="n">
        <v>499</v>
      </c>
      <c r="F45" s="107" t="n"/>
      <c r="G45" s="43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07" t="n">
        <v>14</v>
      </c>
      <c r="E46" s="107" t="n">
        <v>1996</v>
      </c>
      <c r="F46" s="107" t="n"/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07" t="n">
        <v>21</v>
      </c>
      <c r="E47" s="107" t="n">
        <v>3016</v>
      </c>
      <c r="F47" s="107" t="n"/>
      <c r="G47" s="43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07" t="n">
        <v>20</v>
      </c>
      <c r="E48" s="107" t="n">
        <v>2971</v>
      </c>
      <c r="F48" s="107" t="n"/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07" t="n">
        <v>21</v>
      </c>
      <c r="E49" s="107" t="n">
        <v>3051</v>
      </c>
      <c r="F49" s="107" t="n"/>
      <c r="G49" s="43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07" t="n"/>
      <c r="E50" s="107" t="n"/>
      <c r="F50" s="107" t="n">
        <v>2517</v>
      </c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07" t="n">
        <v>17</v>
      </c>
      <c r="E51" s="107" t="n">
        <v>2412</v>
      </c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07" t="n">
        <v>19</v>
      </c>
      <c r="E52" s="107" t="n">
        <v>3029</v>
      </c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9" t="n"/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2890.TW</t>
        </is>
      </c>
      <c r="G1" s="43" t="n"/>
      <c r="H1" s="120" t="n"/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n"/>
      <c r="I2" s="110" t="n"/>
      <c r="J2" s="19" t="n"/>
    </row>
    <row r="3" ht="18.75" customHeight="1">
      <c r="A3" s="109">
        <f>(E3-F3)/D3</f>
        <v/>
      </c>
      <c r="B3" s="112">
        <f>E3/D3</f>
        <v/>
      </c>
      <c r="C3" s="125" t="inlineStr">
        <is>
          <t>29.30</t>
        </is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n"/>
      <c r="I3" s="137" t="n"/>
      <c r="J3" s="115" t="n"/>
    </row>
    <row r="4" ht="18.75" customHeight="1">
      <c r="A4" s="106" t="n"/>
      <c r="B4" s="106" t="n"/>
      <c r="C4" s="126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n"/>
      <c r="I5" s="110" t="n"/>
      <c r="J5" s="110" t="n"/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07" t="n">
        <v>2000</v>
      </c>
      <c r="E7" s="107" t="n">
        <v>37453</v>
      </c>
      <c r="F7" s="107" t="n"/>
      <c r="G7" s="43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07" t="n">
        <v>65</v>
      </c>
      <c r="E8" s="107" t="n">
        <v>1171</v>
      </c>
      <c r="F8" s="107" t="n"/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07" t="n">
        <v>50</v>
      </c>
      <c r="E9" s="107" t="n">
        <v>897</v>
      </c>
      <c r="F9" s="107" t="n"/>
      <c r="G9" s="43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07" t="n">
        <v>1000</v>
      </c>
      <c r="E10" s="18" t="n">
        <v>17124</v>
      </c>
      <c r="F10" s="107" t="n"/>
      <c r="G10" s="43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07" t="n">
        <v>50</v>
      </c>
      <c r="E11" s="107" t="n">
        <v>864</v>
      </c>
      <c r="F11" s="107" t="n"/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07" t="n">
        <v>40</v>
      </c>
      <c r="E12" s="107" t="n">
        <v>0</v>
      </c>
      <c r="F12" s="107" t="n">
        <v>1200</v>
      </c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07" t="n">
        <v>50</v>
      </c>
      <c r="E13" s="107" t="n">
        <v>882</v>
      </c>
      <c r="F13" s="107" t="n"/>
      <c r="G13" s="43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07" t="n">
        <v>100</v>
      </c>
      <c r="E14" s="107" t="n">
        <v>1812</v>
      </c>
      <c r="F14" s="107" t="n"/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07" t="n">
        <v>30</v>
      </c>
      <c r="E15" s="107" t="n">
        <v>535</v>
      </c>
      <c r="F15" s="107" t="n"/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07" t="n">
        <v>47</v>
      </c>
      <c r="E16" s="107" t="n">
        <v>871</v>
      </c>
      <c r="F16" s="107" t="n"/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07" t="n">
        <v>45</v>
      </c>
      <c r="E17" s="107" t="n">
        <v>869</v>
      </c>
      <c r="F17" s="107" t="n"/>
      <c r="G17" s="43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07" t="n">
        <v>45</v>
      </c>
      <c r="E18" s="107" t="n">
        <v>862</v>
      </c>
      <c r="F18" s="107" t="n"/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07" t="n">
        <v>44</v>
      </c>
      <c r="E19" s="107" t="n">
        <v>864</v>
      </c>
      <c r="F19" s="107" t="n"/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07" t="n">
        <v>45</v>
      </c>
      <c r="E20" s="107" t="n">
        <v>875</v>
      </c>
      <c r="F20" s="107" t="n"/>
      <c r="G20" s="43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07" t="n">
        <v>43</v>
      </c>
      <c r="E21" s="107" t="n">
        <v>863</v>
      </c>
      <c r="F21" s="107" t="n"/>
      <c r="G21" s="43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07" t="n">
        <v>41</v>
      </c>
      <c r="E22" s="107" t="n">
        <v>880</v>
      </c>
      <c r="F22" s="107" t="n"/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07" t="n">
        <v>39</v>
      </c>
      <c r="E23" s="107" t="n">
        <v>879</v>
      </c>
      <c r="F23" s="107" t="n"/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07" t="n">
        <v>38</v>
      </c>
      <c r="E24" s="107" t="n">
        <v>883</v>
      </c>
      <c r="F24" s="107" t="n"/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07" t="n"/>
      <c r="G25" s="43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07" t="n">
        <v>36</v>
      </c>
      <c r="E26" s="107" t="n">
        <v>893</v>
      </c>
      <c r="F26" s="107" t="n"/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07" t="n">
        <v>38</v>
      </c>
      <c r="E27" s="107" t="n">
        <v>894</v>
      </c>
      <c r="F27" s="107" t="n"/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07" t="n">
        <v>96</v>
      </c>
      <c r="E28" s="107" t="n">
        <v>0</v>
      </c>
      <c r="F28" s="107" t="n">
        <v>2880</v>
      </c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07" t="n">
        <v>37</v>
      </c>
      <c r="E29" s="107" t="n">
        <v>891</v>
      </c>
      <c r="F29" s="107" t="n"/>
      <c r="G29" s="43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07" t="n">
        <v>63</v>
      </c>
      <c r="E30" s="107" t="n">
        <v>1491</v>
      </c>
      <c r="F30" s="107" t="n"/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07" t="n">
        <v>59</v>
      </c>
      <c r="E31" s="107" t="n">
        <v>1395</v>
      </c>
      <c r="F31" s="107" t="n"/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07" t="n">
        <v>39</v>
      </c>
      <c r="E32" s="107" t="n">
        <v>889</v>
      </c>
      <c r="F32" s="107" t="n"/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07" t="n">
        <v>36</v>
      </c>
      <c r="E33" s="107" t="n">
        <v>880</v>
      </c>
      <c r="F33" s="107" t="n"/>
      <c r="G33" s="43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07" t="n">
        <v>38</v>
      </c>
      <c r="E34" s="107" t="n">
        <v>879</v>
      </c>
      <c r="F34" s="107" t="n"/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07" t="n">
        <v>39</v>
      </c>
      <c r="E35" s="107" t="n">
        <v>880</v>
      </c>
      <c r="F35" s="107" t="n"/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07" t="n">
        <v>39</v>
      </c>
      <c r="E36" s="107" t="n">
        <v>888</v>
      </c>
      <c r="F36" s="107" t="n"/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07" t="n">
        <v>44</v>
      </c>
      <c r="E37" s="107" t="n">
        <v>894</v>
      </c>
      <c r="F37" s="107" t="n"/>
      <c r="G37" s="43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07" t="n">
        <v>41</v>
      </c>
      <c r="E38" s="107" t="n">
        <v>898</v>
      </c>
      <c r="F38" s="107" t="n"/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07" t="n">
        <v>39</v>
      </c>
      <c r="E39" s="107" t="n">
        <v>898</v>
      </c>
      <c r="F39" s="107" t="n"/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07" t="n">
        <v>36</v>
      </c>
      <c r="E40" s="107" t="n">
        <v>884</v>
      </c>
      <c r="F40" s="107" t="n"/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07" t="n">
        <v>34</v>
      </c>
      <c r="E41" s="107" t="n">
        <v>892</v>
      </c>
      <c r="F41" s="107" t="n"/>
      <c r="G41" s="43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07" t="n">
        <v>36</v>
      </c>
      <c r="E42" s="107" t="n">
        <v>888</v>
      </c>
      <c r="F42" s="107" t="n"/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07" t="n">
        <v>153</v>
      </c>
      <c r="E43" s="107" t="n">
        <v>0</v>
      </c>
      <c r="F43" s="107" t="n">
        <v>4112</v>
      </c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07" t="n">
        <v>167</v>
      </c>
      <c r="E44" s="107" t="n">
        <v>4085</v>
      </c>
      <c r="F44" s="107" t="n"/>
      <c r="G44" s="43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07" t="n">
        <v>34</v>
      </c>
      <c r="E45" s="107" t="n">
        <v>872</v>
      </c>
      <c r="F45" s="107" t="n"/>
      <c r="G45" s="43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07" t="n">
        <v>33</v>
      </c>
      <c r="E46" s="107" t="n">
        <v>874</v>
      </c>
      <c r="F46" s="107" t="n"/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07" t="n">
        <v>32</v>
      </c>
      <c r="E47" s="107" t="n">
        <v>878</v>
      </c>
      <c r="F47" s="107" t="n"/>
      <c r="G47" s="43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07" t="n">
        <v>31</v>
      </c>
      <c r="E48" s="107" t="n">
        <v>899</v>
      </c>
      <c r="F48" s="107" t="n"/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0" t="n"/>
      <c r="D49" s="107" t="n"/>
      <c r="E49" s="107" t="n"/>
      <c r="F49" s="107" t="n"/>
      <c r="G49" s="43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07" t="n"/>
      <c r="E50" s="107" t="n"/>
      <c r="F50" s="107" t="n"/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07" t="n"/>
      <c r="E51" s="107" t="n"/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07" t="n"/>
      <c r="E52" s="107" t="n"/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VT</t>
        </is>
      </c>
      <c r="G1" s="43" t="n"/>
      <c r="H1" s="120" t="inlineStr">
        <is>
          <t>USD</t>
        </is>
      </c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inlineStr">
        <is>
          <t>目前市價</t>
        </is>
      </c>
      <c r="I2" s="110" t="inlineStr">
        <is>
          <t>目前匯率</t>
        </is>
      </c>
      <c r="J2" s="110" t="inlineStr">
        <is>
          <t>總成本</t>
        </is>
      </c>
    </row>
    <row r="3" ht="18.75" customHeight="1">
      <c r="A3" s="109">
        <f>(E3-F3)/D3</f>
        <v/>
      </c>
      <c r="B3" s="112">
        <f>E3/D3</f>
        <v/>
      </c>
      <c r="C3" s="124">
        <f>H3*I3</f>
        <v/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inlineStr">
        <is>
          <t>145.61</t>
        </is>
      </c>
      <c r="I3" s="142">
        <f>投資!G2</f>
        <v/>
      </c>
      <c r="J3" s="115">
        <f>SUM(J7:J505)</f>
        <v/>
      </c>
    </row>
    <row r="4" ht="18.75" customHeight="1">
      <c r="A4" s="106" t="n"/>
      <c r="B4" s="106" t="n"/>
      <c r="C4" s="111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inlineStr">
        <is>
          <t>購入價格</t>
        </is>
      </c>
      <c r="I5" s="110" t="inlineStr">
        <is>
          <t>購入匯率</t>
        </is>
      </c>
      <c r="J5" s="110" t="inlineStr">
        <is>
          <t>購入金額</t>
        </is>
      </c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07" t="n">
        <v>0.326071</v>
      </c>
      <c r="E7" s="107" t="n">
        <v>1000</v>
      </c>
      <c r="F7" s="107" t="n"/>
      <c r="G7" s="43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07" t="n">
        <v>0.325535</v>
      </c>
      <c r="E8" s="107" t="n">
        <v>1000</v>
      </c>
      <c r="F8" s="107" t="n"/>
      <c r="G8" s="43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07" t="n">
        <v>0.321135</v>
      </c>
      <c r="E9" s="107" t="n">
        <v>1000</v>
      </c>
      <c r="F9" s="107" t="n"/>
      <c r="G9" s="43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07" t="n">
        <v>12.84426</v>
      </c>
      <c r="E10" s="18" t="n">
        <v>40004</v>
      </c>
      <c r="F10" s="107" t="n"/>
      <c r="G10" s="43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07" t="n"/>
      <c r="E11" s="107" t="n"/>
      <c r="F11" s="107" t="n">
        <v>126</v>
      </c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07" t="n">
        <v>0.337951</v>
      </c>
      <c r="E12" s="107" t="n">
        <v>1000</v>
      </c>
      <c r="F12" s="107" t="n"/>
      <c r="G12" s="43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07" t="n">
        <v>0.328741</v>
      </c>
      <c r="E13" s="107" t="n">
        <v>1000</v>
      </c>
      <c r="F13" s="107" t="n"/>
      <c r="G13" s="43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07" t="n">
        <v>0.319359</v>
      </c>
      <c r="E14" s="107" t="n">
        <v>1000</v>
      </c>
      <c r="F14" s="107" t="n"/>
      <c r="G14" s="43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07" t="n"/>
      <c r="E15" s="107" t="n"/>
      <c r="F15" s="107" t="n">
        <v>254</v>
      </c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07" t="n">
        <v>0.318718</v>
      </c>
      <c r="E16" s="107" t="n">
        <v>1003</v>
      </c>
      <c r="F16" s="107" t="n"/>
      <c r="G16" s="43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07" t="n">
        <v>0.305353</v>
      </c>
      <c r="E17" s="107" t="n">
        <v>1000</v>
      </c>
      <c r="F17" s="107" t="n"/>
      <c r="G17" s="43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07" t="n">
        <v>0.291167</v>
      </c>
      <c r="E18" s="107" t="n">
        <v>1000</v>
      </c>
      <c r="F18" s="107" t="n"/>
      <c r="G18" s="43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07" t="n"/>
      <c r="E19" s="107" t="n"/>
      <c r="F19" s="107" t="n">
        <v>148</v>
      </c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07" t="n">
        <v>0.282856</v>
      </c>
      <c r="E20" s="107" t="n">
        <v>1000</v>
      </c>
      <c r="F20" s="107" t="n"/>
      <c r="G20" s="43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07" t="n">
        <v>0.282434</v>
      </c>
      <c r="E21" s="107" t="n">
        <v>1000</v>
      </c>
      <c r="F21" s="107" t="n"/>
      <c r="G21" s="43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07" t="n">
        <v>0.27448</v>
      </c>
      <c r="E22" s="107" t="n">
        <v>1000</v>
      </c>
      <c r="F22" s="107" t="n"/>
      <c r="G22" s="43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07" t="n"/>
      <c r="E23" s="107" t="n"/>
      <c r="F23" s="107" t="n">
        <v>217</v>
      </c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07" t="n">
        <v>7.77443</v>
      </c>
      <c r="E24" s="107" t="n">
        <v>29003</v>
      </c>
      <c r="F24" s="107" t="n"/>
      <c r="G24" s="43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07" t="n">
        <v>0.84917</v>
      </c>
      <c r="E25" s="107" t="n">
        <v>3000</v>
      </c>
      <c r="F25" s="107" t="n"/>
      <c r="G25" s="43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07" t="n">
        <v>0.8148</v>
      </c>
      <c r="E26" s="107" t="n">
        <v>3000</v>
      </c>
      <c r="F26" s="107" t="n"/>
      <c r="G26" s="43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07" t="n"/>
      <c r="E27" s="107" t="n"/>
      <c r="F27" s="107" t="n">
        <v>241</v>
      </c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07" t="n">
        <v>0.78006</v>
      </c>
      <c r="E28" s="107" t="n">
        <v>3000</v>
      </c>
      <c r="F28" s="107" t="n"/>
      <c r="G28" s="43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07" t="n">
        <v>0.7771</v>
      </c>
      <c r="E29" s="107" t="n">
        <v>3000</v>
      </c>
      <c r="F29" s="107" t="n"/>
      <c r="G29" s="43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07" t="n">
        <v>0.7498</v>
      </c>
      <c r="E30" s="107" t="n">
        <v>3000</v>
      </c>
      <c r="F30" s="107" t="n"/>
      <c r="G30" s="43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07" t="n"/>
      <c r="E31" s="107" t="n"/>
      <c r="F31" s="107" t="n">
        <v>568</v>
      </c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07" t="n">
        <v>0.76234</v>
      </c>
      <c r="E32" s="107" t="n">
        <v>3000</v>
      </c>
      <c r="F32" s="107" t="n"/>
      <c r="G32" s="43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07" t="n">
        <v>0.74614</v>
      </c>
      <c r="E33" s="107" t="n">
        <v>3000</v>
      </c>
      <c r="F33" s="107" t="n"/>
      <c r="G33" s="43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07" t="n">
        <v>0.76347</v>
      </c>
      <c r="E34" s="107" t="n">
        <v>3000</v>
      </c>
      <c r="F34" s="107" t="n"/>
      <c r="G34" s="43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07" t="n"/>
      <c r="E35" s="107" t="n"/>
      <c r="F35" s="107" t="n">
        <v>273</v>
      </c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07" t="n">
        <v>0.88548</v>
      </c>
      <c r="E36" s="107" t="n">
        <v>3000</v>
      </c>
      <c r="F36" s="107" t="n"/>
      <c r="G36" s="43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07" t="n">
        <v>0.84048</v>
      </c>
      <c r="E37" s="107" t="n">
        <v>3000</v>
      </c>
      <c r="F37" s="107" t="n"/>
      <c r="G37" s="43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07" t="n">
        <v>0.7988499999999999</v>
      </c>
      <c r="E38" s="107" t="n">
        <v>3000</v>
      </c>
      <c r="F38" s="107" t="n"/>
      <c r="G38" s="43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07" t="n"/>
      <c r="E39" s="107" t="n"/>
      <c r="F39" s="107" t="n">
        <v>398</v>
      </c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07" t="n">
        <v>1.00626</v>
      </c>
      <c r="E40" s="107" t="n">
        <v>3804.35055</v>
      </c>
      <c r="F40" s="107" t="n"/>
      <c r="G40" s="43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07" t="n">
        <v>0.99724</v>
      </c>
      <c r="E41" s="107" t="n">
        <v>3859.16037</v>
      </c>
      <c r="F41" s="107" t="n"/>
      <c r="G41" s="43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07" t="n">
        <v>0.96232</v>
      </c>
      <c r="E42" s="107" t="n">
        <v>3955.03421</v>
      </c>
      <c r="F42" s="107" t="n"/>
      <c r="G42" s="43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07" t="n">
        <v>-33.10018</v>
      </c>
      <c r="E43" s="107" t="n">
        <v>-135835</v>
      </c>
      <c r="F43" s="107" t="n"/>
      <c r="G43" s="43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07" t="n">
        <v>41.16668</v>
      </c>
      <c r="E44" s="107" t="n">
        <v>170451.20115</v>
      </c>
      <c r="F44" s="107" t="n"/>
      <c r="G44" s="43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07" t="n">
        <v>0.93123</v>
      </c>
      <c r="E45" s="107" t="n">
        <v>3966.6051</v>
      </c>
      <c r="F45" s="107" t="n"/>
      <c r="G45" s="43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07" t="n">
        <v>0.93123</v>
      </c>
      <c r="E46" s="107" t="n">
        <v>4027</v>
      </c>
      <c r="F46" s="107" t="n"/>
      <c r="G46" s="43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07" t="n">
        <v>0.91691</v>
      </c>
      <c r="E47" s="107" t="n">
        <v>4075</v>
      </c>
      <c r="F47" s="107" t="n"/>
      <c r="G47" s="43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07" t="n"/>
      <c r="E48" s="107" t="n"/>
      <c r="F48" s="107">
        <f>36.62*投資!G2</f>
        <v/>
      </c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07" t="n">
        <v>0.21018</v>
      </c>
      <c r="E49" s="107">
        <f>30.01*投資!G2</f>
        <v/>
      </c>
      <c r="F49" s="107" t="n"/>
      <c r="G49" s="43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07" t="n">
        <v>0.9056</v>
      </c>
      <c r="E50" s="107" t="n">
        <v>4090</v>
      </c>
      <c r="F50" s="107" t="n"/>
      <c r="G50" s="43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n"/>
      <c r="C51" s="143">
        <f>H51*I51</f>
        <v/>
      </c>
      <c r="D51" s="107" t="n"/>
      <c r="E51" s="107" t="n"/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3">
        <f>H52*I52</f>
        <v/>
      </c>
      <c r="D52" s="107" t="n"/>
      <c r="E52" s="107" t="n"/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00692.TW</t>
        </is>
      </c>
      <c r="G1" s="43" t="n"/>
      <c r="H1" s="120" t="n"/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n"/>
      <c r="I2" s="110" t="n"/>
      <c r="J2" s="19" t="n"/>
    </row>
    <row r="3" ht="18.75" customHeight="1">
      <c r="A3" s="109">
        <f>(E3-F3)/D3</f>
        <v/>
      </c>
      <c r="B3" s="112">
        <f>E3/D3</f>
        <v/>
      </c>
      <c r="C3" s="124" t="inlineStr">
        <is>
          <t>61.25</t>
        </is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n"/>
      <c r="I3" s="137" t="n"/>
      <c r="J3" s="115" t="n"/>
    </row>
    <row r="4" ht="18.75" customHeight="1">
      <c r="A4" s="106" t="n"/>
      <c r="B4" s="106" t="n"/>
      <c r="C4" s="111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n"/>
      <c r="I5" s="110" t="n"/>
      <c r="J5" s="110" t="n"/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7" t="n">
        <v>31.92</v>
      </c>
      <c r="D7" s="107" t="n">
        <v>30</v>
      </c>
      <c r="E7" s="107" t="n">
        <v>958</v>
      </c>
      <c r="F7" s="107" t="n"/>
      <c r="G7" s="43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7" t="n">
        <v>31.18</v>
      </c>
      <c r="D8" s="107" t="n">
        <v>1000</v>
      </c>
      <c r="E8" s="107" t="n">
        <v>31224</v>
      </c>
      <c r="F8" s="107" t="n"/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7" t="n">
        <v>31.03</v>
      </c>
      <c r="D9" s="107" t="n">
        <v>30</v>
      </c>
      <c r="E9" s="107" t="n">
        <v>932</v>
      </c>
      <c r="F9" s="107" t="n"/>
      <c r="G9" s="43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7" t="n">
        <v>31.12</v>
      </c>
      <c r="D10" s="107" t="n">
        <v>31</v>
      </c>
      <c r="E10" s="18" t="n">
        <v>966</v>
      </c>
      <c r="F10" s="107" t="n"/>
      <c r="G10" s="43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7" t="n">
        <v>30.79</v>
      </c>
      <c r="D11" s="107" t="n">
        <v>50</v>
      </c>
      <c r="E11" s="107" t="n">
        <v>1541</v>
      </c>
      <c r="F11" s="107" t="n"/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7" t="n">
        <v>31.67</v>
      </c>
      <c r="D12" s="107" t="n">
        <v>30</v>
      </c>
      <c r="E12" s="107" t="n">
        <v>951</v>
      </c>
      <c r="F12" s="107" t="n"/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7" t="n">
        <v>31.67</v>
      </c>
      <c r="D13" s="107" t="n">
        <v>30</v>
      </c>
      <c r="E13" s="107" t="n">
        <v>951</v>
      </c>
      <c r="F13" s="107" t="n"/>
      <c r="G13" s="43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7" t="n"/>
      <c r="D14" s="107" t="n"/>
      <c r="E14" s="107" t="n"/>
      <c r="F14" s="107" t="n">
        <v>1234</v>
      </c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7" t="n">
        <v>32.1</v>
      </c>
      <c r="D15" s="107" t="n">
        <v>30</v>
      </c>
      <c r="E15" s="107" t="n">
        <v>964</v>
      </c>
      <c r="F15" s="107" t="n"/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7" t="n">
        <v>31.57</v>
      </c>
      <c r="D16" s="107" t="n">
        <v>50</v>
      </c>
      <c r="E16" s="107" t="n">
        <v>1580</v>
      </c>
      <c r="F16" s="107" t="n"/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7" t="n">
        <v>34.36</v>
      </c>
      <c r="D17" s="107" t="n">
        <v>28</v>
      </c>
      <c r="E17" s="107" t="n">
        <v>863</v>
      </c>
      <c r="F17" s="107" t="n"/>
      <c r="G17" s="43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7" t="n">
        <v>35.65</v>
      </c>
      <c r="D18" s="107" t="n">
        <v>26</v>
      </c>
      <c r="E18" s="107" t="n">
        <v>928</v>
      </c>
      <c r="F18" s="107" t="n"/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7" t="n">
        <v>38.24</v>
      </c>
      <c r="D19" s="107" t="n">
        <v>25</v>
      </c>
      <c r="E19" s="107" t="n">
        <v>957</v>
      </c>
      <c r="F19" s="107" t="n"/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7" t="n">
        <v>38.52</v>
      </c>
      <c r="D20" s="107" t="n">
        <v>25</v>
      </c>
      <c r="E20" s="107" t="n">
        <v>964</v>
      </c>
      <c r="F20" s="107" t="n"/>
      <c r="G20" s="43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7" t="n">
        <v>41.65</v>
      </c>
      <c r="D21" s="107" t="n">
        <v>23</v>
      </c>
      <c r="E21" s="107" t="n">
        <v>959</v>
      </c>
      <c r="F21" s="107" t="n"/>
      <c r="G21" s="43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7" t="n">
        <v>46.29</v>
      </c>
      <c r="D22" s="107" t="n">
        <v>21</v>
      </c>
      <c r="E22" s="107" t="n">
        <v>973</v>
      </c>
      <c r="F22" s="107" t="n"/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7" t="n">
        <v>39.24</v>
      </c>
      <c r="D23" s="107" t="n">
        <v>25</v>
      </c>
      <c r="E23" s="107" t="n">
        <v>982</v>
      </c>
      <c r="F23" s="107" t="n"/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7" t="n"/>
      <c r="D24" s="107" t="n"/>
      <c r="E24" s="107" t="n"/>
      <c r="F24" s="107" t="n">
        <v>593</v>
      </c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7" t="n">
        <v>43</v>
      </c>
      <c r="D25" s="107" t="n">
        <v>11</v>
      </c>
      <c r="E25" s="107" t="n">
        <v>474</v>
      </c>
      <c r="F25" s="107" t="n"/>
      <c r="G25" s="43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7" t="n">
        <v>41.04</v>
      </c>
      <c r="D26" s="107" t="n">
        <v>24</v>
      </c>
      <c r="E26" s="107" t="n">
        <v>986</v>
      </c>
      <c r="F26" s="107" t="n"/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7" t="n">
        <v>43.86</v>
      </c>
      <c r="D27" s="107" t="n">
        <v>22</v>
      </c>
      <c r="E27" s="107" t="n">
        <v>965</v>
      </c>
      <c r="F27" s="107" t="n"/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7" t="n">
        <v>45.76</v>
      </c>
      <c r="D28" s="107" t="n">
        <v>21</v>
      </c>
      <c r="E28" s="107" t="n">
        <v>962</v>
      </c>
      <c r="F28" s="107" t="n"/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7" t="n">
        <v>44.95</v>
      </c>
      <c r="D29" s="107" t="n">
        <v>22</v>
      </c>
      <c r="E29" s="107" t="n">
        <v>990</v>
      </c>
      <c r="F29" s="107" t="n"/>
      <c r="G29" s="43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7" t="n"/>
      <c r="D30" s="107" t="n"/>
      <c r="E30" s="107" t="n"/>
      <c r="F30" s="107" t="n">
        <v>919</v>
      </c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7" t="n">
        <v>44.45</v>
      </c>
      <c r="D31" s="107" t="n">
        <v>20</v>
      </c>
      <c r="E31" s="107" t="n">
        <v>890</v>
      </c>
      <c r="F31" s="107" t="n"/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7" t="n">
        <v>45.95</v>
      </c>
      <c r="D32" s="107" t="n">
        <v>21</v>
      </c>
      <c r="E32" s="107" t="n">
        <v>966</v>
      </c>
      <c r="F32" s="107" t="n"/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7" t="n">
        <v>45.67</v>
      </c>
      <c r="D33" s="107" t="n">
        <v>21</v>
      </c>
      <c r="E33" s="107" t="n">
        <v>960</v>
      </c>
      <c r="F33" s="107" t="n"/>
      <c r="G33" s="43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7" t="n">
        <v>43.82</v>
      </c>
      <c r="D34" s="107" t="n">
        <v>22</v>
      </c>
      <c r="E34" s="107" t="n">
        <v>965</v>
      </c>
      <c r="F34" s="107" t="n"/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7" t="n">
        <v>37.08</v>
      </c>
      <c r="D35" s="107" t="n">
        <v>26</v>
      </c>
      <c r="E35" s="107" t="n">
        <v>965</v>
      </c>
      <c r="F35" s="107" t="n"/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7" t="n">
        <v>39.92</v>
      </c>
      <c r="D36" s="107" t="n">
        <v>24</v>
      </c>
      <c r="E36" s="107" t="n">
        <v>959</v>
      </c>
      <c r="F36" s="107" t="n"/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7" t="n">
        <v>42.22</v>
      </c>
      <c r="D37" s="107" t="n">
        <v>23</v>
      </c>
      <c r="E37" s="107" t="n">
        <v>972</v>
      </c>
      <c r="F37" s="107" t="n"/>
      <c r="G37" s="43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7" t="n">
        <v>44.82</v>
      </c>
      <c r="D38" s="107" t="n">
        <v>22</v>
      </c>
      <c r="E38" s="107" t="n">
        <v>987</v>
      </c>
      <c r="F38" s="107" t="n"/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7" t="n">
        <v>46.48</v>
      </c>
      <c r="D39" s="107" t="n">
        <v>21</v>
      </c>
      <c r="E39" s="107" t="n">
        <v>977</v>
      </c>
      <c r="F39" s="107" t="n"/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7" t="n"/>
      <c r="D40" s="107" t="n"/>
      <c r="E40" s="107" t="n"/>
      <c r="F40" s="107" t="n">
        <v>1088</v>
      </c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7" t="n">
        <v>48.25</v>
      </c>
      <c r="D41" s="107" t="n">
        <v>20</v>
      </c>
      <c r="E41" s="107" t="n">
        <v>966</v>
      </c>
      <c r="F41" s="107" t="n"/>
      <c r="G41" s="43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7" t="n">
        <v>48.6</v>
      </c>
      <c r="D42" s="107" t="n">
        <v>20</v>
      </c>
      <c r="E42" s="107" t="n">
        <v>973</v>
      </c>
      <c r="F42" s="107" t="n"/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7" t="n">
        <v>48.75</v>
      </c>
      <c r="D43" s="107" t="n">
        <v>-1794</v>
      </c>
      <c r="E43" s="107" t="n"/>
      <c r="F43" s="107" t="n">
        <v>94370</v>
      </c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7" t="n"/>
      <c r="D44" s="107" t="n"/>
      <c r="E44" s="107" t="n"/>
      <c r="F44" s="107" t="n"/>
      <c r="G44" s="43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7" t="n"/>
      <c r="D45" s="107" t="n"/>
      <c r="E45" s="107" t="n"/>
      <c r="F45" s="107" t="n"/>
      <c r="G45" s="43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7" t="n"/>
      <c r="D46" s="107" t="n"/>
      <c r="E46" s="107" t="n"/>
      <c r="F46" s="107" t="n"/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7" t="n"/>
      <c r="D47" s="107" t="n"/>
      <c r="E47" s="107" t="n"/>
      <c r="F47" s="107" t="n"/>
      <c r="G47" s="43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7" t="n"/>
      <c r="D48" s="107" t="n"/>
      <c r="E48" s="107" t="n"/>
      <c r="F48" s="107" t="n"/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7" t="n"/>
      <c r="D49" s="107" t="n"/>
      <c r="E49" s="107" t="n"/>
      <c r="F49" s="107" t="n"/>
      <c r="G49" s="43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7" t="n"/>
      <c r="D50" s="107" t="n"/>
      <c r="E50" s="107" t="n"/>
      <c r="F50" s="107" t="n"/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7" t="n"/>
      <c r="D51" s="107" t="n"/>
      <c r="E51" s="107" t="n"/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7" t="n"/>
      <c r="D52" s="107" t="n"/>
      <c r="E52" s="107" t="n"/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7" t="n"/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7" t="n"/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7" t="n"/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7" t="n"/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7" t="n"/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7" t="n"/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7" t="n"/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7" t="n"/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7" t="n"/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7" t="n"/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7" t="n"/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7" t="n"/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7" t="n"/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7" t="n"/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7" t="n"/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7" t="n"/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7" t="n"/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7" t="n"/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7" t="n"/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7" t="n"/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7" t="n"/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7" t="n"/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7" t="n"/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7" t="n"/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7" t="n"/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7" t="n"/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7" t="n"/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7" t="n"/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7" t="n"/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7" t="n"/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7" t="n"/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7" t="n"/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7" t="n"/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7" t="n"/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7" t="n"/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7" t="n"/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7" t="n"/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7" t="n"/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7" t="n"/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7" t="n"/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7" t="n"/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7" t="n"/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7" t="n"/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7" t="n"/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7" t="n"/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7" t="n"/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7" t="n"/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7" t="n"/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7" t="n"/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7" t="n"/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7" t="n"/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7" t="n"/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7" t="n"/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7" t="n"/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7" t="n"/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7" t="n"/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7" t="n"/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7" t="n"/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7" t="n"/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7" t="n"/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7" t="n"/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7" t="n"/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7" t="n"/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7" t="n"/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7" t="n"/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7" t="n"/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7" t="n"/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7" t="n"/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7" t="n"/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7" t="n"/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7" t="n"/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7" t="n"/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7" t="n"/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7" t="n"/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7" t="n"/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7" t="n"/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7" t="n"/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7" t="n"/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7" t="n"/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7" t="n"/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7" t="n"/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7" t="n"/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7" t="n"/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7" t="n"/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7" t="n"/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7" t="n"/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7" t="n"/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7" t="n"/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7" t="n"/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7" t="n"/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7" t="n"/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7" t="n"/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7" t="n"/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7" t="n"/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7" t="n"/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7" t="n"/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7" t="n"/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7" t="n"/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7" t="n"/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7" t="n"/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7" t="n"/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7" t="n"/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7" t="n"/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7" t="n"/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7" t="n"/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7" t="n"/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7" t="n"/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7" t="n"/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7" t="n"/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7" t="n"/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7" t="n"/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7" t="n"/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7" t="n"/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7" t="n"/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7" t="n"/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7" t="n"/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7" t="n"/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7" t="n"/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7" t="n"/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7" t="n"/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7" t="n"/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7" t="n"/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7" t="n"/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7" t="n"/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7" t="n"/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7" t="n"/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7" t="n"/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7" t="n"/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7" t="n"/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7" t="n"/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7" t="n"/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7" t="n"/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7" t="n"/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7" t="n"/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7" t="n"/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7" t="n"/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7" t="n"/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7" t="n"/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7" t="n"/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7" t="n"/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7" t="n"/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7" t="n"/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7" t="n"/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7" t="n"/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7" t="n"/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7" t="n"/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7" t="n"/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7" t="n"/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7" t="n"/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7" t="n"/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7" t="n"/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7" t="n"/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7" t="n"/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7" t="n"/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7" t="n"/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7" t="n"/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7" t="n"/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7" t="n"/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7" t="n"/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7" t="n"/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7" t="n"/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7" t="n"/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7" t="n"/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7" t="n"/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7" t="n"/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7" t="n"/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7" t="n"/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7" t="n"/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7" t="n"/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7" t="n"/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7" t="n"/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7" t="n"/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7" t="n"/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7" t="n"/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7" t="n"/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7" t="n"/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7" t="n"/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7" t="n"/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7" t="n"/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7" t="n"/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7" t="n"/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7" t="n"/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7" t="n"/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7" t="n"/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7" t="n"/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7" t="n"/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7" t="n"/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7" t="n"/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7" t="n"/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7" t="n"/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7" t="n"/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7" t="n"/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7" t="n"/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7" t="n"/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7" t="n"/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7" t="n"/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7" t="n"/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7" t="n"/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7" t="n"/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7" t="n"/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7" t="n"/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7" t="n"/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7" t="n"/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7" t="n"/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7" t="n"/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7" t="n"/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7" t="n"/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7" t="n"/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7" t="n"/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7" t="n"/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7" t="n"/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7" t="n"/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7" t="n"/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7" t="n"/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7" t="n"/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7" t="n"/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7" t="n"/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7" t="n"/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7" t="n"/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7" t="n"/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7" t="n"/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7" t="n"/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7" t="n"/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7" t="n"/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7" t="n"/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7" t="n"/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7" t="n"/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7" t="n"/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7" t="n"/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7" t="n"/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7" t="n"/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7" t="n"/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7" t="n"/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7" t="n"/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7" t="n"/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7" t="n"/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7" t="n"/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7" t="n"/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7" t="n"/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7" t="n"/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7" t="n"/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7" t="n"/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7" t="n"/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7" t="n"/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7" t="n"/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7" t="n"/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7" t="n"/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7" t="n"/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7" t="n"/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7" t="n"/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7" t="n"/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7" t="n"/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7" t="n"/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7" t="n"/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7" t="n"/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7" t="n"/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7" t="n"/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7" t="n"/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7" t="n"/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7" t="n"/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7" t="n"/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7" t="n"/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7" t="n"/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7" t="n"/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7" t="n"/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7" t="n"/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7" t="n"/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7" t="n"/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7" t="n"/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7" t="n"/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7" t="n"/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7" t="n"/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7" t="n"/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7" t="n"/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7" t="n"/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7" t="n"/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7" t="n"/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7" t="n"/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7" t="n"/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7" t="n"/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7" t="n"/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7" t="n"/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7" t="n"/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7" t="n"/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7" t="n"/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7" t="n"/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7" t="n"/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7" t="n"/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7" t="n"/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7" t="n"/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7" t="n"/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7" t="n"/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7" t="n"/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7" t="n"/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7" t="n"/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7" t="n"/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7" t="n"/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7" t="n"/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7" t="n"/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7" t="n"/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7" t="n"/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7" t="n"/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7" t="n"/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7" t="n"/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7" t="n"/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7" t="n"/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7" t="n"/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7" t="n"/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7" t="n"/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7" t="n"/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7" t="n"/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7" t="n"/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7" t="n"/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7" t="n"/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7" t="n"/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7" t="n"/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7" t="n"/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7" t="n"/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7" t="n"/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7" t="n"/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7" t="n"/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7" t="n"/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7" t="n"/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7" t="n"/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7" t="n"/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7" t="n"/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7" t="n"/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7" t="n"/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7" t="n"/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7" t="n"/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7" t="n"/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7" t="n"/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7" t="n"/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7" t="n"/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7" t="n"/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7" t="n"/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7" t="n"/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7" t="n"/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7" t="n"/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7" t="n"/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7" t="n"/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7" t="n"/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7" t="n"/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7" t="n"/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7" t="n"/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7" t="n"/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7" t="n"/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7" t="n"/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7" t="n"/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7" t="n"/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7" t="n"/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7" t="n"/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7" t="n"/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7" t="n"/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7" t="n"/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7" t="n"/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7" t="n"/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7" t="n"/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7" t="n"/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7" t="n"/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7" t="n"/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7" t="n"/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7" t="n"/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7" t="n"/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7" t="n"/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7" t="n"/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7" t="n"/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7" t="n"/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7" t="n"/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7" t="n"/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7" t="n"/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7" t="n"/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7" t="n"/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7" t="n"/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7" t="n"/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7" t="n"/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7" t="n"/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7" t="n"/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7" t="n"/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7" t="n"/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7" t="n"/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7" t="n"/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7" t="n"/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7" t="n"/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7" t="n"/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7" t="n"/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7" t="n"/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7" t="n"/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7" t="n"/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7" t="n"/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7" t="n"/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7" t="n"/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7" t="n"/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7" t="n"/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7" t="n"/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7" t="n"/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7" t="n"/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7" t="n"/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7" t="n"/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7" t="n"/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7" t="n"/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7" t="n"/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7" t="n"/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7" t="n"/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7" t="n"/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7" t="n"/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7" t="n"/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7" t="n"/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7" t="n"/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7" t="n"/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7" t="n"/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7" t="n"/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7" t="n"/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7" t="n"/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7" t="n"/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7" t="n"/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7" t="n"/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7" t="n"/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7" t="n"/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7" t="n"/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7" t="n"/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7" t="n"/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7" t="n"/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7" t="n"/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7" t="n"/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7" t="n"/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7" t="n"/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7" t="n"/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7" t="n"/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7" t="n"/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7" t="n"/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7" t="n"/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7" t="n"/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7" t="n"/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7" t="n"/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7" t="n"/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7" t="n"/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7" t="n"/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7" t="n"/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7" t="n"/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7" t="n"/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7" t="n"/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7" t="n"/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7" t="n"/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7" t="n"/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7" t="n"/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7" t="n"/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7" t="n"/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7" t="n"/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7" t="n"/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7" t="n"/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7" t="n"/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7" t="n"/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BND</t>
        </is>
      </c>
      <c r="G1" s="43" t="n"/>
      <c r="H1" s="120" t="inlineStr">
        <is>
          <t>USD</t>
        </is>
      </c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inlineStr">
        <is>
          <t>目前市價</t>
        </is>
      </c>
      <c r="I2" s="110" t="inlineStr">
        <is>
          <t>目前匯率</t>
        </is>
      </c>
      <c r="J2" s="110" t="inlineStr">
        <is>
          <t>總成本</t>
        </is>
      </c>
    </row>
    <row r="3" ht="18.75" customHeight="1">
      <c r="A3" s="109">
        <f>(E3-F3)/D3</f>
        <v/>
      </c>
      <c r="B3" s="112">
        <f>E3/D3</f>
        <v/>
      </c>
      <c r="C3" s="125">
        <f>H3*I3</f>
        <v/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inlineStr">
        <is>
          <t>74.18</t>
        </is>
      </c>
      <c r="I3" s="137">
        <f>投資!G2</f>
        <v/>
      </c>
      <c r="J3" s="115">
        <f>SUM(J7:J505)</f>
        <v/>
      </c>
    </row>
    <row r="4" ht="18.75" customHeight="1">
      <c r="A4" s="106" t="n"/>
      <c r="B4" s="106" t="n"/>
      <c r="C4" s="126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inlineStr">
        <is>
          <t>購入價格</t>
        </is>
      </c>
      <c r="I5" s="110" t="inlineStr">
        <is>
          <t>購入匯率</t>
        </is>
      </c>
      <c r="J5" s="110" t="inlineStr">
        <is>
          <t>購入金額</t>
        </is>
      </c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07" t="n">
        <v>0.443373</v>
      </c>
      <c r="E7" s="107" t="n">
        <v>1000</v>
      </c>
      <c r="F7" s="107" t="n"/>
      <c r="G7" s="43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07" t="n"/>
      <c r="E8" s="107" t="n"/>
      <c r="F8" s="107" t="n">
        <v>2</v>
      </c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07" t="n">
        <v>0.441048</v>
      </c>
      <c r="E9" s="107" t="n">
        <v>1000</v>
      </c>
      <c r="F9" s="107" t="n"/>
      <c r="G9" s="43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07" t="n">
        <v>0.440621</v>
      </c>
      <c r="E10" s="18" t="n">
        <v>1000</v>
      </c>
      <c r="F10" s="107" t="n"/>
      <c r="G10" s="43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07" t="n">
        <v>4.405785</v>
      </c>
      <c r="E11" s="107" t="n">
        <v>10001</v>
      </c>
      <c r="F11" s="107" t="n"/>
      <c r="G11" s="43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07" t="n"/>
      <c r="E12" s="107" t="n"/>
      <c r="F12" s="107" t="n">
        <v>4</v>
      </c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07" t="n">
        <v>0.451706</v>
      </c>
      <c r="E13" s="107" t="n">
        <v>1000</v>
      </c>
      <c r="F13" s="107" t="n"/>
      <c r="G13" s="43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07" t="n"/>
      <c r="E14" s="107" t="n"/>
      <c r="F14" s="107" t="n">
        <v>25</v>
      </c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07" t="n">
        <v>0.446087</v>
      </c>
      <c r="E15" s="107" t="n">
        <v>1000</v>
      </c>
      <c r="F15" s="107" t="n"/>
      <c r="G15" s="43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07" t="n"/>
      <c r="E16" s="107" t="n"/>
      <c r="F16" s="107" t="n">
        <v>28</v>
      </c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07" t="n">
        <v>0.439224</v>
      </c>
      <c r="E17" s="107" t="n">
        <v>1000</v>
      </c>
      <c r="F17" s="107" t="n"/>
      <c r="G17" s="43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07" t="n"/>
      <c r="E18" s="107" t="n"/>
      <c r="F18" s="107" t="n">
        <v>29</v>
      </c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07" t="n"/>
      <c r="E19" s="107" t="n"/>
      <c r="F19" s="107" t="n">
        <v>32</v>
      </c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07" t="n">
        <v>0.442402</v>
      </c>
      <c r="E20" s="107" t="n">
        <v>1003</v>
      </c>
      <c r="F20" s="107" t="n"/>
      <c r="G20" s="43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07" t="n">
        <v>0.438853</v>
      </c>
      <c r="E21" s="107" t="n">
        <v>1000</v>
      </c>
      <c r="F21" s="107" t="n"/>
      <c r="G21" s="43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07" t="n"/>
      <c r="E22" s="107" t="n"/>
      <c r="F22" s="107" t="n">
        <v>35</v>
      </c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07" t="n">
        <v>0.434866</v>
      </c>
      <c r="E23" s="107" t="n">
        <v>1000</v>
      </c>
      <c r="F23" s="107" t="n"/>
      <c r="G23" s="43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07" t="n"/>
      <c r="E24" s="107" t="n"/>
      <c r="F24" s="107" t="n">
        <v>35</v>
      </c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07" t="n">
        <v>0.434236</v>
      </c>
      <c r="E25" s="107" t="n">
        <v>1000</v>
      </c>
      <c r="F25" s="107" t="n"/>
      <c r="G25" s="43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07" t="n"/>
      <c r="E26" s="107" t="n"/>
      <c r="F26" s="107" t="n">
        <v>41</v>
      </c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07" t="n">
        <v>0.432494</v>
      </c>
      <c r="E27" s="107" t="n">
        <v>1000</v>
      </c>
      <c r="F27" s="107" t="n"/>
      <c r="G27" s="43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07" t="n"/>
      <c r="E28" s="107" t="n"/>
      <c r="F28" s="107" t="n">
        <v>43</v>
      </c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07" t="n">
        <v>0.42778</v>
      </c>
      <c r="E29" s="107" t="n">
        <v>1000</v>
      </c>
      <c r="F29" s="107" t="n"/>
      <c r="G29" s="43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07" t="n"/>
      <c r="E30" s="107" t="n"/>
      <c r="F30" s="107" t="n">
        <v>46</v>
      </c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07" t="n">
        <v>0.42549</v>
      </c>
      <c r="E31" s="107" t="n">
        <v>1000</v>
      </c>
      <c r="F31" s="107" t="n"/>
      <c r="G31" s="43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07" t="n"/>
      <c r="E32" s="107" t="n"/>
      <c r="F32" s="107" t="n">
        <v>48</v>
      </c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07" t="n">
        <v>0.41078</v>
      </c>
      <c r="E33" s="107" t="n">
        <v>1000</v>
      </c>
      <c r="F33" s="107" t="n"/>
      <c r="G33" s="43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07" t="n"/>
      <c r="E34" s="107" t="n"/>
      <c r="F34" s="107" t="n">
        <v>51</v>
      </c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07" t="n">
        <v>0.41619</v>
      </c>
      <c r="E35" s="107" t="n">
        <v>1000</v>
      </c>
      <c r="F35" s="107" t="n"/>
      <c r="G35" s="43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07" t="n"/>
      <c r="E36" s="107" t="n"/>
      <c r="F36" s="107" t="n">
        <v>53</v>
      </c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07" t="n">
        <v>0.41966</v>
      </c>
      <c r="E37" s="107" t="n">
        <v>1000</v>
      </c>
      <c r="F37" s="107" t="n"/>
      <c r="G37" s="43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07" t="n"/>
      <c r="E38" s="107" t="n"/>
      <c r="F38" s="107" t="n">
        <v>54</v>
      </c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07" t="n">
        <v>0.42988</v>
      </c>
      <c r="E39" s="107" t="n">
        <v>1000</v>
      </c>
      <c r="F39" s="107" t="n"/>
      <c r="G39" s="43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07" t="n"/>
      <c r="E40" s="107" t="n"/>
      <c r="F40" s="107" t="n">
        <v>58</v>
      </c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07" t="n">
        <v>0.41779</v>
      </c>
      <c r="E41" s="107" t="n">
        <v>1000</v>
      </c>
      <c r="F41" s="107" t="n"/>
      <c r="G41" s="43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07" t="n"/>
      <c r="E42" s="107" t="n"/>
      <c r="F42" s="107" t="n">
        <v>60</v>
      </c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07" t="n"/>
      <c r="E43" s="107" t="n"/>
      <c r="F43" s="107" t="n">
        <v>65</v>
      </c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07" t="n">
        <v>0.42245</v>
      </c>
      <c r="E44" s="107" t="n">
        <v>1000</v>
      </c>
      <c r="F44" s="107" t="n"/>
      <c r="G44" s="43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07" t="n">
        <v>0.41891</v>
      </c>
      <c r="E45" s="107" t="n">
        <v>1000</v>
      </c>
      <c r="F45" s="107" t="n"/>
      <c r="G45" s="43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07" t="n"/>
      <c r="E46" s="107" t="n"/>
      <c r="F46" s="107" t="n">
        <v>68</v>
      </c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07" t="n">
        <v>0.41562</v>
      </c>
      <c r="E47" s="107" t="n">
        <v>1000</v>
      </c>
      <c r="F47" s="107" t="n"/>
      <c r="G47" s="43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07" t="n"/>
      <c r="E48" s="107" t="n"/>
      <c r="F48" s="107" t="n">
        <v>66</v>
      </c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07" t="n">
        <v>0.40957</v>
      </c>
      <c r="E49" s="107" t="n">
        <v>1000</v>
      </c>
      <c r="F49" s="107" t="n"/>
      <c r="G49" s="43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07" t="n"/>
      <c r="E50" s="107" t="n"/>
      <c r="F50" s="107" t="n">
        <v>246</v>
      </c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07" t="n">
        <v>0.45549</v>
      </c>
      <c r="E51" s="107" t="n">
        <v>1000</v>
      </c>
      <c r="F51" s="107" t="n"/>
      <c r="G51" s="43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07" t="n"/>
      <c r="E52" s="107" t="n"/>
      <c r="F52" s="107" t="n">
        <v>69</v>
      </c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07" t="n">
        <v>0.46129</v>
      </c>
      <c r="E53" s="107" t="n">
        <v>1000</v>
      </c>
      <c r="F53" s="107" t="n"/>
      <c r="G53" s="43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07" t="n"/>
      <c r="E54" s="107" t="n"/>
      <c r="F54" s="107" t="n">
        <v>72</v>
      </c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07" t="n"/>
      <c r="E55" s="107" t="n"/>
      <c r="F55" s="107" t="n">
        <v>71</v>
      </c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07" t="n"/>
      <c r="E56" s="107" t="n"/>
      <c r="F56" s="107" t="n">
        <v>74</v>
      </c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07" t="n"/>
      <c r="E57" s="107" t="n"/>
      <c r="F57" s="107" t="n">
        <v>76</v>
      </c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07" t="n">
        <v>-14.781595</v>
      </c>
      <c r="E58" s="107" t="n">
        <v>-32996</v>
      </c>
      <c r="F58" s="107" t="n"/>
      <c r="G58" s="43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2026-02-04T06:31:06Z</dcterms:modified>
  <cp:lastModifiedBy>劉祐廷</cp:lastModifiedBy>
  <cp:revision>39</cp:revision>
  <cp:lastPrinted>2024-02-22T01:18:13Z</cp:lastPrinted>
</cp:coreProperties>
</file>