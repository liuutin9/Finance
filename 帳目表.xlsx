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79" firstSheet="0" activeTab="5" autoFilterDateGrouping="1"/>
  </bookViews>
  <sheets>
    <sheet xmlns:r="http://schemas.openxmlformats.org/officeDocument/2006/relationships" name="總資產" sheetId="1" state="visible" r:id="rId1"/>
    <sheet xmlns:r="http://schemas.openxmlformats.org/officeDocument/2006/relationships" name="投資" sheetId="2" state="visible" r:id="rId2"/>
    <sheet xmlns:r="http://schemas.openxmlformats.org/officeDocument/2006/relationships" name="006208" sheetId="3" state="visible" r:id="rId3"/>
    <sheet xmlns:r="http://schemas.openxmlformats.org/officeDocument/2006/relationships" name="2890" sheetId="4" state="visible" r:id="rId4"/>
    <sheet xmlns:r="http://schemas.openxmlformats.org/officeDocument/2006/relationships" name="VT" sheetId="5" state="visible" r:id="rId5"/>
    <sheet xmlns:r="http://schemas.openxmlformats.org/officeDocument/2006/relationships" name="VOO" sheetId="6" state="visible" r:id="rId6"/>
    <sheet xmlns:r="http://schemas.openxmlformats.org/officeDocument/2006/relationships" name="00692" sheetId="7" state="visible" r:id="rId7"/>
    <sheet xmlns:r="http://schemas.openxmlformats.org/officeDocument/2006/relationships" name="BND" sheetId="8" state="visible" r:id="rId8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6">
    <numFmt numFmtId="164" formatCode="0.0000_ "/>
    <numFmt numFmtId="165" formatCode="#,##0_ "/>
    <numFmt numFmtId="166" formatCode="0.00_ "/>
    <numFmt numFmtId="167" formatCode="0_ "/>
    <numFmt numFmtId="168" formatCode="0.00_);[Red]\(0.00\)"/>
    <numFmt numFmtId="169" formatCode="0;\-0;;@"/>
  </numFmts>
  <fonts count="14">
    <font>
      <name val="新細明體"/>
      <charset val="1"/>
      <family val="2"/>
      <color rgb="FF000000"/>
      <sz val="12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FFFF"/>
      <sz val="14"/>
    </font>
    <font>
      <name val="微軟正黑體"/>
      <charset val="136"/>
      <family val="2"/>
      <b val="1"/>
      <color rgb="FFFFFFFF"/>
      <sz val="18"/>
    </font>
    <font>
      <name val="微軟正黑體"/>
      <charset val="136"/>
      <family val="2"/>
      <b val="1"/>
      <color rgb="FF000000"/>
      <sz val="14"/>
    </font>
    <font>
      <name val="微軟正黑體"/>
      <charset val="136"/>
      <family val="2"/>
      <b val="1"/>
      <color rgb="FFFFFFFF"/>
      <sz val="12"/>
    </font>
    <font>
      <name val="新細明體"/>
      <charset val="1"/>
      <family val="2"/>
      <color rgb="FF000000"/>
      <sz val="12"/>
    </font>
    <font>
      <name val="新細明體"/>
      <charset val="1"/>
      <family val="2"/>
      <color rgb="FF000000"/>
      <sz val="18"/>
    </font>
    <font>
      <name val="Source Sans Pro"/>
      <family val="2"/>
      <b val="1"/>
      <color rgb="FFFFFFFF"/>
      <sz val="18"/>
    </font>
    <font>
      <name val="Source Sans Pro"/>
      <family val="2"/>
      <b val="1"/>
      <sz val="12"/>
    </font>
    <font>
      <name val="Source Sans Pro"/>
      <family val="2"/>
      <color rgb="FF000000"/>
      <sz val="12"/>
    </font>
    <font>
      <name val="Source Sans Pro"/>
      <family val="2"/>
      <b val="1"/>
      <color rgb="FF000000"/>
      <sz val="12"/>
    </font>
    <font>
      <name val="Source Sans Pro"/>
      <family val="2"/>
      <b val="1"/>
      <color rgb="FFFFFFFF"/>
      <sz val="16"/>
    </font>
    <font>
      <name val="細明體"/>
      <charset val="136"/>
      <family val="3"/>
      <sz val="9"/>
    </font>
  </fonts>
  <fills count="30">
    <fill>
      <patternFill/>
    </fill>
    <fill>
      <patternFill patternType="gray125"/>
    </fill>
    <fill>
      <patternFill patternType="solid">
        <fgColor rgb="FF9BBB59"/>
        <bgColor rgb="FF70AD47"/>
      </patternFill>
    </fill>
    <fill>
      <patternFill patternType="solid">
        <fgColor rgb="FF4F81BD"/>
        <bgColor rgb="FF3C7AC7"/>
      </patternFill>
    </fill>
    <fill>
      <patternFill patternType="solid">
        <fgColor rgb="FFF79646"/>
        <bgColor rgb="FFE46C0A"/>
      </patternFill>
    </fill>
    <fill>
      <patternFill patternType="solid">
        <fgColor rgb="FF4BACC6"/>
        <bgColor rgb="FF558ED5"/>
      </patternFill>
    </fill>
    <fill>
      <patternFill patternType="solid">
        <fgColor rgb="FF00B050"/>
        <bgColor rgb="FF4BACC6"/>
      </patternFill>
    </fill>
    <fill>
      <patternFill patternType="solid">
        <fgColor rgb="FFFF0000"/>
        <bgColor rgb="FFCB3D39"/>
      </patternFill>
    </fill>
    <fill>
      <patternFill patternType="solid">
        <fgColor rgb="FFC3D69B"/>
        <bgColor rgb="FFC5E0B4"/>
      </patternFill>
    </fill>
    <fill>
      <patternFill patternType="solid">
        <fgColor rgb="FFD7E4BD"/>
        <bgColor rgb="FFC5E0B4"/>
      </patternFill>
    </fill>
    <fill>
      <patternFill patternType="solid">
        <fgColor rgb="FF95B3D7"/>
        <bgColor rgb="FF93CDDD"/>
      </patternFill>
    </fill>
    <fill>
      <patternFill patternType="solid">
        <fgColor rgb="FFB9CDE5"/>
        <bgColor rgb="FFC6D9F1"/>
      </patternFill>
    </fill>
    <fill>
      <patternFill patternType="solid">
        <fgColor rgb="FFFAC090"/>
        <bgColor rgb="FFE6B9B8"/>
      </patternFill>
    </fill>
    <fill>
      <patternFill patternType="solid">
        <fgColor rgb="FFFCD5B5"/>
        <bgColor rgb="FFFFE79B"/>
      </patternFill>
    </fill>
    <fill>
      <patternFill patternType="solid">
        <fgColor rgb="FF93CDDD"/>
        <bgColor rgb="FF99CCFF"/>
      </patternFill>
    </fill>
    <fill>
      <patternFill patternType="solid">
        <fgColor rgb="FFB7DEE8"/>
        <bgColor rgb="FFC6D9F1"/>
      </patternFill>
    </fill>
    <fill>
      <patternFill patternType="solid">
        <fgColor rgb="FFE6B9B8"/>
        <bgColor rgb="FFFAC090"/>
      </patternFill>
    </fill>
    <fill>
      <patternFill patternType="solid">
        <fgColor rgb="FFFFC000"/>
        <bgColor rgb="FFF79646"/>
      </patternFill>
    </fill>
    <fill>
      <patternFill patternType="solid">
        <fgColor rgb="FFFFE79B"/>
        <bgColor rgb="FFFCD5B5"/>
      </patternFill>
    </fill>
    <fill>
      <patternFill patternType="solid">
        <fgColor rgb="FF558ED5"/>
        <bgColor rgb="FF4F81BD"/>
      </patternFill>
    </fill>
    <fill>
      <patternFill patternType="solid">
        <fgColor rgb="FF77933C"/>
        <bgColor rgb="FF70AD47"/>
      </patternFill>
    </fill>
    <fill>
      <patternFill patternType="solid">
        <fgColor rgb="FFFDEADA"/>
        <bgColor rgb="FFEBF1DE"/>
      </patternFill>
    </fill>
    <fill>
      <patternFill patternType="solid">
        <fgColor rgb="FFE46C0A"/>
        <bgColor rgb="FFC0504D"/>
      </patternFill>
    </fill>
    <fill>
      <patternFill patternType="solid">
        <fgColor rgb="FFFFFF00"/>
        <bgColor rgb="FFFFC000"/>
      </patternFill>
    </fill>
    <fill>
      <patternFill patternType="solid">
        <fgColor rgb="FFFFFFFF"/>
        <bgColor rgb="FFEBF1DE"/>
      </patternFill>
    </fill>
    <fill>
      <patternFill patternType="solid">
        <fgColor rgb="FFC6D9F1"/>
        <bgColor rgb="FFB7DEE8"/>
      </patternFill>
    </fill>
    <fill>
      <patternFill patternType="solid">
        <fgColor rgb="FFEBF1DE"/>
        <bgColor rgb="FFFDEADA"/>
      </patternFill>
    </fill>
    <fill>
      <patternFill patternType="solid">
        <fgColor rgb="FF9966FF"/>
        <bgColor rgb="FF558ED5"/>
      </patternFill>
    </fill>
    <fill>
      <patternFill patternType="solid">
        <fgColor rgb="FFCCCCFF"/>
        <bgColor rgb="FFC6D9F1"/>
      </patternFill>
    </fill>
    <fill>
      <patternFill patternType="solid">
        <fgColor rgb="FFCC99FF"/>
        <bgColor rgb="FF99CCFF"/>
      </patternFill>
    </fill>
  </fills>
  <borders count="3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6" fillId="0" borderId="0"/>
    <xf numFmtId="9" fontId="6" fillId="0" borderId="0"/>
  </cellStyleXfs>
  <cellXfs count="142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center" shrinkToFit="1"/>
      <protection locked="0" hidden="0"/>
    </xf>
    <xf numFmtId="0" fontId="3" fillId="0" borderId="0" applyAlignment="1" pivotButton="0" quotePrefix="0" xfId="0">
      <alignment horizontal="center" vertical="center" shrinkToFit="1"/>
    </xf>
    <xf numFmtId="0" fontId="1" fillId="12" borderId="11" applyAlignment="1" applyProtection="1" pivotButton="0" quotePrefix="0" xfId="0">
      <alignment horizontal="center" vertical="center" shrinkToFit="1"/>
      <protection locked="0" hidden="0"/>
    </xf>
    <xf numFmtId="0" fontId="1" fillId="0" borderId="0" applyAlignment="1" applyProtection="1" pivotButton="0" quotePrefix="0" xfId="0">
      <alignment horizontal="center" vertical="center" shrinkToFit="1"/>
      <protection locked="0" hidden="0"/>
    </xf>
    <xf numFmtId="0" fontId="4" fillId="9" borderId="11" applyAlignment="1" applyProtection="1" pivotButton="0" quotePrefix="0" xfId="0">
      <alignment horizontal="center"/>
      <protection locked="0" hidden="0"/>
    </xf>
    <xf numFmtId="10" fontId="4" fillId="21" borderId="11" applyAlignment="1" applyProtection="1" pivotButton="0" quotePrefix="0" xfId="1">
      <alignment horizontal="center" vertical="center" shrinkToFit="1"/>
      <protection locked="1" hidden="1"/>
    </xf>
    <xf numFmtId="0" fontId="4" fillId="0" borderId="0" applyAlignment="1" applyProtection="1" pivotButton="0" quotePrefix="0" xfId="0">
      <alignment horizontal="center" vertical="center" shrinkToFit="1"/>
      <protection locked="1" hidden="1"/>
    </xf>
    <xf numFmtId="49" fontId="3" fillId="0" borderId="0" applyAlignment="1" applyProtection="1" pivotButton="0" quotePrefix="0" xfId="0">
      <alignment vertical="center" shrinkToFit="1"/>
      <protection locked="0" hidden="0"/>
    </xf>
    <xf numFmtId="0" fontId="5" fillId="0" borderId="0" applyAlignment="1" applyProtection="1" pivotButton="0" quotePrefix="0" xfId="0">
      <alignment horizontal="center" vertical="center" shrinkToFit="1"/>
      <protection locked="0" hidden="0"/>
    </xf>
    <xf numFmtId="0" fontId="1" fillId="0" borderId="11" applyAlignment="1" applyProtection="1" pivotButton="0" quotePrefix="0" xfId="0">
      <alignment horizontal="center" shrinkToFit="1"/>
      <protection locked="0" hidden="0"/>
    </xf>
    <xf numFmtId="0" fontId="1" fillId="0" borderId="0" applyAlignment="1" applyProtection="1" pivotButton="0" quotePrefix="0" xfId="0">
      <alignment horizontal="center"/>
      <protection locked="0" hidden="0"/>
    </xf>
    <xf numFmtId="0" fontId="1" fillId="0" borderId="0" applyProtection="1" pivotButton="0" quotePrefix="0" xfId="0">
      <protection locked="0" hidden="0"/>
    </xf>
    <xf numFmtId="0" fontId="2" fillId="22" borderId="12" applyAlignment="1" pivotButton="0" quotePrefix="0" xfId="0">
      <alignment vertical="center" shrinkToFit="1"/>
    </xf>
    <xf numFmtId="0" fontId="2" fillId="22" borderId="13" applyAlignment="1" pivotButton="0" quotePrefix="0" xfId="0">
      <alignment vertical="center" shrinkToFit="1"/>
    </xf>
    <xf numFmtId="0" fontId="1" fillId="12" borderId="11" applyAlignment="1" applyProtection="1" pivotButton="0" quotePrefix="0" xfId="0">
      <alignment horizontal="center" shrinkToFit="1"/>
      <protection locked="0" hidden="0"/>
    </xf>
    <xf numFmtId="0" fontId="1" fillId="21" borderId="11" applyAlignment="1" applyProtection="1" pivotButton="0" quotePrefix="0" xfId="0">
      <alignment horizontal="center" shrinkToFit="1"/>
      <protection locked="0" hidden="0"/>
    </xf>
    <xf numFmtId="1" fontId="1" fillId="24" borderId="11" applyAlignment="1" applyProtection="1" pivotButton="0" quotePrefix="0" xfId="0">
      <alignment horizontal="center" shrinkToFit="1"/>
      <protection locked="0" hidden="0"/>
    </xf>
    <xf numFmtId="0" fontId="1" fillId="8" borderId="11" applyProtection="1" pivotButton="0" quotePrefix="0" xfId="0">
      <protection locked="0" hidden="0"/>
    </xf>
    <xf numFmtId="0" fontId="1" fillId="0" borderId="11" applyAlignment="1" applyProtection="1" pivotButton="0" quotePrefix="0" xfId="0">
      <alignment horizontal="center"/>
      <protection locked="0" hidden="0"/>
    </xf>
    <xf numFmtId="14" fontId="1" fillId="0" borderId="0" applyAlignment="1" applyProtection="1" pivotButton="0" quotePrefix="0" xfId="0">
      <alignment horizontal="center" shrinkToFit="1"/>
      <protection locked="0" hidden="0"/>
    </xf>
    <xf numFmtId="14" fontId="1" fillId="0" borderId="0" applyAlignment="1" applyProtection="1" pivotButton="0" quotePrefix="0" xfId="0">
      <alignment horizontal="center" vertical="center" shrinkToFit="1"/>
      <protection locked="0" hidden="0"/>
    </xf>
    <xf numFmtId="14" fontId="1" fillId="0" borderId="11" applyAlignment="1" applyProtection="1" pivotButton="0" quotePrefix="0" xfId="0">
      <alignment horizontal="center" shrinkToFit="1"/>
      <protection locked="0" hidden="0"/>
    </xf>
    <xf numFmtId="14" fontId="1" fillId="12" borderId="11" applyAlignment="1" applyProtection="1" pivotButton="0" quotePrefix="0" xfId="0">
      <alignment horizontal="center" shrinkToFit="1"/>
      <protection locked="0" hidden="0"/>
    </xf>
    <xf numFmtId="14" fontId="1" fillId="24" borderId="11" applyAlignment="1" applyProtection="1" pivotButton="0" quotePrefix="0" xfId="0">
      <alignment horizontal="center" shrinkToFit="1"/>
      <protection locked="0" hidden="0"/>
    </xf>
    <xf numFmtId="0" fontId="1" fillId="24" borderId="11" applyAlignment="1" applyProtection="1" pivotButton="0" quotePrefix="0" xfId="0">
      <alignment horizontal="center" shrinkToFit="1"/>
      <protection locked="0" hidden="0"/>
    </xf>
    <xf numFmtId="0" fontId="1" fillId="8" borderId="11" applyAlignment="1" applyProtection="1" pivotButton="0" quotePrefix="0" xfId="0">
      <alignment horizontal="center" vertical="center"/>
      <protection locked="0" hidden="0"/>
    </xf>
    <xf numFmtId="164" fontId="4" fillId="9" borderId="11" applyAlignment="1" applyProtection="1" pivotButton="0" quotePrefix="0" xfId="0">
      <alignment horizontal="center"/>
      <protection locked="0" hidden="0"/>
    </xf>
    <xf numFmtId="165" fontId="4" fillId="21" borderId="11" applyAlignment="1" applyProtection="1" pivotButton="0" quotePrefix="0" xfId="1">
      <alignment horizontal="center" vertical="center" shrinkToFit="1"/>
      <protection locked="1" hidden="1"/>
    </xf>
    <xf numFmtId="166" fontId="1" fillId="0" borderId="0" applyAlignment="1" applyProtection="1" pivotButton="0" quotePrefix="0" xfId="0">
      <alignment horizontal="center" vertical="center" shrinkToFit="1"/>
      <protection locked="0" hidden="0"/>
    </xf>
    <xf numFmtId="165" fontId="4" fillId="21" borderId="11" applyAlignment="1" pivotButton="0" quotePrefix="0" xfId="0">
      <alignment horizontal="center" vertical="center"/>
    </xf>
    <xf numFmtId="167" fontId="4" fillId="21" borderId="11" applyAlignment="1" applyProtection="1" pivotButton="0" quotePrefix="0" xfId="1">
      <alignment horizontal="center" vertical="center" shrinkToFit="1"/>
      <protection locked="1" hidden="1"/>
    </xf>
    <xf numFmtId="166" fontId="1" fillId="24" borderId="11" applyAlignment="1" applyProtection="1" pivotButton="0" quotePrefix="0" xfId="0">
      <alignment horizontal="center" shrinkToFit="1"/>
      <protection locked="0" hidden="0"/>
    </xf>
    <xf numFmtId="168" fontId="1" fillId="24" borderId="11" applyAlignment="1" applyProtection="1" pivotButton="0" quotePrefix="0" xfId="0">
      <alignment horizontal="center" shrinkToFit="1"/>
      <protection locked="0" hidden="0"/>
    </xf>
    <xf numFmtId="168" fontId="1" fillId="0" borderId="11" applyAlignment="1" applyProtection="1" pivotButton="0" quotePrefix="0" xfId="0">
      <alignment horizontal="center"/>
      <protection locked="0" hidden="0"/>
    </xf>
    <xf numFmtId="169" fontId="1" fillId="24" borderId="11" applyAlignment="1" applyProtection="1" pivotButton="0" quotePrefix="0" xfId="0">
      <alignment horizontal="center" shrinkToFit="1"/>
      <protection locked="0" hidden="0"/>
    </xf>
    <xf numFmtId="0" fontId="7" fillId="0" borderId="0" pivotButton="0" quotePrefix="0" xfId="0"/>
    <xf numFmtId="0" fontId="10" fillId="0" borderId="0" pivotButton="0" quotePrefix="0" xfId="0"/>
    <xf numFmtId="0" fontId="10" fillId="0" borderId="0" applyProtection="1" pivotButton="0" quotePrefix="0" xfId="0">
      <protection locked="0" hidden="0"/>
    </xf>
    <xf numFmtId="0" fontId="12" fillId="20" borderId="11" applyAlignment="1" applyProtection="1" pivotButton="0" quotePrefix="0" xfId="0">
      <alignment horizontal="center" vertical="center"/>
      <protection locked="0" hidden="0"/>
    </xf>
    <xf numFmtId="0" fontId="1" fillId="24" borderId="11" applyAlignment="1" applyProtection="1" pivotButton="0" quotePrefix="0" xfId="0">
      <alignment horizontal="center" shrinkToFit="1"/>
      <protection locked="0" hidden="0"/>
    </xf>
    <xf numFmtId="0" fontId="0" fillId="0" borderId="14" applyProtection="1" pivotButton="0" quotePrefix="0" xfId="0">
      <protection locked="0" hidden="0"/>
    </xf>
    <xf numFmtId="0" fontId="5" fillId="19" borderId="11" applyAlignment="1" applyProtection="1" pivotButton="0" quotePrefix="0" xfId="0">
      <alignment horizontal="center" shrinkToFit="1"/>
      <protection locked="0" hidden="0"/>
    </xf>
    <xf numFmtId="0" fontId="0" fillId="0" borderId="13" applyProtection="1" pivotButton="0" quotePrefix="0" xfId="0">
      <protection locked="0" hidden="0"/>
    </xf>
    <xf numFmtId="2" fontId="4" fillId="23" borderId="11" applyAlignment="1" applyProtection="1" pivotButton="0" quotePrefix="0" xfId="0">
      <alignment horizontal="center" vertical="center" shrinkToFit="1"/>
      <protection locked="1" hidden="1"/>
    </xf>
    <xf numFmtId="0" fontId="0" fillId="0" borderId="26" applyProtection="1" pivotButton="0" quotePrefix="0" xfId="0">
      <protection locked="1" hidden="1"/>
    </xf>
    <xf numFmtId="0" fontId="1" fillId="8" borderId="11" applyAlignment="1" applyProtection="1" pivotButton="0" quotePrefix="0" xfId="0">
      <alignment horizontal="center" vertical="center"/>
      <protection locked="0" hidden="0"/>
    </xf>
    <xf numFmtId="0" fontId="0" fillId="0" borderId="26" applyProtection="1" pivotButton="0" quotePrefix="0" xfId="0">
      <protection locked="0" hidden="0"/>
    </xf>
    <xf numFmtId="2" fontId="4" fillId="21" borderId="11" applyAlignment="1" applyProtection="1" pivotButton="0" quotePrefix="0" xfId="0">
      <alignment horizontal="center" vertical="center" shrinkToFit="1"/>
      <protection locked="1" hidden="1"/>
    </xf>
    <xf numFmtId="0" fontId="1" fillId="25" borderId="11" applyAlignment="1" applyProtection="1" pivotButton="0" quotePrefix="0" xfId="0">
      <alignment horizontal="center" shrinkToFit="1"/>
      <protection locked="0" hidden="0"/>
    </xf>
    <xf numFmtId="0" fontId="4" fillId="26" borderId="11" applyAlignment="1" applyProtection="1" pivotButton="0" quotePrefix="0" xfId="0">
      <alignment horizontal="center" vertical="center"/>
      <protection locked="0" hidden="0"/>
    </xf>
    <xf numFmtId="0" fontId="1" fillId="26" borderId="11" applyAlignment="1" applyProtection="1" pivotButton="0" quotePrefix="0" xfId="0">
      <alignment horizontal="center" vertical="center"/>
      <protection locked="0" hidden="0"/>
    </xf>
    <xf numFmtId="0" fontId="3" fillId="22" borderId="13" applyAlignment="1" pivotButton="0" quotePrefix="0" xfId="0">
      <alignment horizontal="center" vertical="center" shrinkToFit="1"/>
    </xf>
    <xf numFmtId="0" fontId="0" fillId="0" borderId="13" pivotButton="0" quotePrefix="0" xfId="0"/>
    <xf numFmtId="164" fontId="4" fillId="26" borderId="11" applyAlignment="1" applyProtection="1" pivotButton="0" quotePrefix="0" xfId="0">
      <alignment vertical="center"/>
      <protection locked="0" hidden="0"/>
    </xf>
    <xf numFmtId="0" fontId="4" fillId="21" borderId="11" applyAlignment="1" applyProtection="1" pivotButton="0" quotePrefix="0" xfId="0">
      <alignment horizontal="center" vertical="center" shrinkToFit="1"/>
      <protection locked="1" hidden="1"/>
    </xf>
    <xf numFmtId="0" fontId="3" fillId="20" borderId="11" applyAlignment="1" applyProtection="1" pivotButton="0" quotePrefix="0" xfId="0">
      <alignment horizontal="center" vertical="center"/>
      <protection locked="0" hidden="0"/>
    </xf>
    <xf numFmtId="49" fontId="3" fillId="19" borderId="14" applyAlignment="1" applyProtection="1" pivotButton="0" quotePrefix="0" xfId="0">
      <alignment horizontal="center" vertical="center" shrinkToFit="1"/>
      <protection locked="0" hidden="0"/>
    </xf>
    <xf numFmtId="1" fontId="4" fillId="21" borderId="11" applyAlignment="1" applyProtection="1" pivotButton="0" quotePrefix="0" xfId="0">
      <alignment horizontal="center" vertical="center" shrinkToFit="1"/>
      <protection locked="1" hidden="1"/>
    </xf>
    <xf numFmtId="0" fontId="1" fillId="23" borderId="11" applyAlignment="1" applyProtection="1" pivotButton="0" quotePrefix="0" xfId="0">
      <alignment horizontal="center" shrinkToFit="1"/>
      <protection locked="0" hidden="0"/>
    </xf>
    <xf numFmtId="0" fontId="4" fillId="24" borderId="11" applyAlignment="1" applyProtection="1" pivotButton="0" quotePrefix="0" xfId="0">
      <alignment horizontal="center" vertical="center" shrinkToFit="1"/>
      <protection locked="0" hidden="0"/>
    </xf>
    <xf numFmtId="40" fontId="10" fillId="15" borderId="6" applyAlignment="1" applyProtection="1" pivotButton="0" quotePrefix="0" xfId="0">
      <alignment horizontal="right" vertical="center"/>
      <protection locked="0" hidden="0"/>
    </xf>
    <xf numFmtId="0" fontId="0" fillId="0" borderId="24" applyProtection="1" pivotButton="0" quotePrefix="0" xfId="0">
      <protection locked="0" hidden="0"/>
    </xf>
    <xf numFmtId="0" fontId="11" fillId="29" borderId="5" applyAlignment="1" applyProtection="1" pivotButton="0" quotePrefix="0" xfId="0">
      <alignment horizontal="center" vertical="center"/>
      <protection locked="0" hidden="0"/>
    </xf>
    <xf numFmtId="40" fontId="10" fillId="9" borderId="6" applyAlignment="1" applyProtection="1" pivotButton="0" quotePrefix="0" xfId="0">
      <alignment horizontal="right" vertical="center"/>
      <protection locked="0" hidden="0"/>
    </xf>
    <xf numFmtId="0" fontId="8" fillId="4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9" fillId="10" borderId="5" applyAlignment="1" applyProtection="1" pivotButton="0" quotePrefix="0" xfId="0">
      <alignment horizontal="center" vertical="center"/>
      <protection locked="0" hidden="0"/>
    </xf>
    <xf numFmtId="0" fontId="9" fillId="8" borderId="5" applyAlignment="1" applyProtection="1" pivotButton="0" quotePrefix="0" xfId="0">
      <alignment horizontal="center" vertical="center"/>
      <protection locked="0" hidden="0"/>
    </xf>
    <xf numFmtId="40" fontId="10" fillId="28" borderId="6" applyAlignment="1" applyProtection="1" pivotButton="0" quotePrefix="0" xfId="0">
      <alignment horizontal="right" vertical="center"/>
      <protection locked="0" hidden="0"/>
    </xf>
    <xf numFmtId="0" fontId="11" fillId="17" borderId="9" applyAlignment="1" pivotButton="0" quotePrefix="0" xfId="0">
      <alignment horizontal="center" vertical="center"/>
    </xf>
    <xf numFmtId="0" fontId="0" fillId="0" borderId="25" pivotButton="0" quotePrefix="0" xfId="0"/>
    <xf numFmtId="40" fontId="10" fillId="18" borderId="10" applyAlignment="1" pivotButton="0" quotePrefix="0" xfId="0">
      <alignment horizontal="right" vertical="center"/>
    </xf>
    <xf numFmtId="0" fontId="0" fillId="0" borderId="18" pivotButton="0" quotePrefix="0" xfId="0"/>
    <xf numFmtId="40" fontId="10" fillId="13" borderId="4" applyAlignment="1" applyProtection="1" pivotButton="0" quotePrefix="0" xfId="0">
      <alignment horizontal="right" vertical="center"/>
      <protection locked="0" hidden="0"/>
    </xf>
    <xf numFmtId="0" fontId="0" fillId="0" borderId="19" applyProtection="1" pivotButton="0" quotePrefix="0" xfId="0">
      <protection locked="0" hidden="0"/>
    </xf>
    <xf numFmtId="0" fontId="11" fillId="29" borderId="7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8" fillId="3" borderId="1" applyAlignment="1" pivotButton="0" quotePrefix="0" xfId="0">
      <alignment horizontal="center" vertical="center"/>
    </xf>
    <xf numFmtId="40" fontId="10" fillId="28" borderId="8" applyAlignment="1" applyProtection="1" pivotButton="0" quotePrefix="0" xfId="0">
      <alignment horizontal="right" vertical="center"/>
      <protection locked="0" hidden="0"/>
    </xf>
    <xf numFmtId="0" fontId="0" fillId="0" borderId="23" applyProtection="1" pivotButton="0" quotePrefix="0" xfId="0">
      <protection locked="0" hidden="0"/>
    </xf>
    <xf numFmtId="0" fontId="11" fillId="14" borderId="5" applyAlignment="1" applyProtection="1" pivotButton="0" quotePrefix="0" xfId="0">
      <alignment horizontal="center" vertical="center"/>
      <protection locked="0" hidden="0"/>
    </xf>
    <xf numFmtId="40" fontId="10" fillId="15" borderId="4" applyAlignment="1" applyProtection="1" pivotButton="0" quotePrefix="0" xfId="0">
      <alignment horizontal="right" vertical="center"/>
      <protection locked="0" hidden="0"/>
    </xf>
    <xf numFmtId="0" fontId="11" fillId="29" borderId="3" applyAlignment="1" pivotButton="0" quotePrefix="0" xfId="0">
      <alignment horizontal="center" vertical="center"/>
    </xf>
    <xf numFmtId="0" fontId="0" fillId="0" borderId="15" pivotButton="0" quotePrefix="0" xfId="0"/>
    <xf numFmtId="0" fontId="9" fillId="8" borderId="31" applyAlignment="1" applyProtection="1" pivotButton="0" quotePrefix="0" xfId="0">
      <alignment horizontal="center" vertical="center"/>
      <protection locked="0" hidden="0"/>
    </xf>
    <xf numFmtId="0" fontId="0" fillId="0" borderId="28" applyProtection="1" pivotButton="0" quotePrefix="0" xfId="0">
      <protection locked="0" hidden="0"/>
    </xf>
    <xf numFmtId="40" fontId="10" fillId="9" borderId="2" applyAlignment="1" pivotButton="0" quotePrefix="0" xfId="0">
      <alignment horizontal="right" vertical="center"/>
    </xf>
    <xf numFmtId="0" fontId="0" fillId="0" borderId="20" pivotButton="0" quotePrefix="0" xfId="0"/>
    <xf numFmtId="0" fontId="0" fillId="0" borderId="21" pivotButton="0" quotePrefix="0" xfId="0"/>
    <xf numFmtId="40" fontId="10" fillId="16" borderId="2" applyAlignment="1" applyProtection="1" pivotButton="0" quotePrefix="0" xfId="0">
      <alignment horizontal="right" vertical="center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9" fontId="11" fillId="12" borderId="5" applyAlignment="1" applyProtection="1" pivotButton="0" quotePrefix="0" xfId="0">
      <alignment horizontal="center" vertical="center"/>
      <protection locked="0" hidden="0"/>
    </xf>
    <xf numFmtId="0" fontId="11" fillId="29" borderId="5" applyAlignment="1" pivotButton="0" quotePrefix="0" xfId="0">
      <alignment horizontal="center" vertical="center"/>
    </xf>
    <xf numFmtId="0" fontId="0" fillId="0" borderId="14" pivotButton="0" quotePrefix="0" xfId="0"/>
    <xf numFmtId="0" fontId="8" fillId="6" borderId="2" applyAlignment="1" pivotButton="0" quotePrefix="0" xfId="0">
      <alignment horizontal="center" vertical="center"/>
    </xf>
    <xf numFmtId="40" fontId="10" fillId="11" borderId="6" applyAlignment="1" applyProtection="1" pivotButton="0" quotePrefix="0" xfId="0">
      <alignment horizontal="right" vertical="center"/>
      <protection locked="0" hidden="0"/>
    </xf>
    <xf numFmtId="10" fontId="10" fillId="16" borderId="2" applyAlignment="1" pivotButton="0" quotePrefix="0" xfId="0">
      <alignment horizontal="right" vertical="center"/>
    </xf>
    <xf numFmtId="0" fontId="8" fillId="27" borderId="1" applyAlignment="1" pivotButton="0" quotePrefix="0" xfId="0">
      <alignment horizontal="center" vertical="center"/>
    </xf>
    <xf numFmtId="40" fontId="10" fillId="13" borderId="6" applyAlignment="1" applyProtection="1" pivotButton="0" quotePrefix="0" xfId="0">
      <alignment horizontal="right" vertical="center"/>
      <protection locked="0" hidden="0"/>
    </xf>
    <xf numFmtId="40" fontId="10" fillId="11" borderId="8" applyAlignment="1" applyProtection="1" pivotButton="0" quotePrefix="0" xfId="0">
      <alignment horizontal="right" vertical="center"/>
      <protection locked="0" hidden="0"/>
    </xf>
    <xf numFmtId="49" fontId="11" fillId="12" borderId="7" applyAlignment="1" applyProtection="1" pivotButton="0" quotePrefix="0" xfId="0">
      <alignment horizontal="center" vertical="center"/>
      <protection locked="0" hidden="0"/>
    </xf>
    <xf numFmtId="40" fontId="10" fillId="11" borderId="4" applyAlignment="1" applyProtection="1" pivotButton="0" quotePrefix="0" xfId="0">
      <alignment horizontal="right" vertical="center"/>
      <protection locked="0" hidden="0"/>
    </xf>
    <xf numFmtId="49" fontId="11" fillId="12" borderId="3" applyAlignment="1" pivotButton="0" quotePrefix="0" xfId="0">
      <alignment horizontal="center" vertical="center"/>
    </xf>
    <xf numFmtId="40" fontId="10" fillId="13" borderId="8" applyAlignment="1" applyProtection="1" pivotButton="0" quotePrefix="0" xfId="0">
      <alignment horizontal="right" vertical="center"/>
      <protection locked="0" hidden="0"/>
    </xf>
    <xf numFmtId="0" fontId="11" fillId="14" borderId="7" applyAlignment="1" applyProtection="1" pivotButton="0" quotePrefix="0" xfId="0">
      <alignment horizontal="center" vertical="center"/>
      <protection locked="0" hidden="0"/>
    </xf>
    <xf numFmtId="0" fontId="11" fillId="14" borderId="5" applyAlignment="1" pivotButton="0" quotePrefix="0" xfId="0">
      <alignment horizontal="center" vertical="center"/>
    </xf>
    <xf numFmtId="40" fontId="10" fillId="15" borderId="8" applyAlignment="1" applyProtection="1" pivotButton="0" quotePrefix="0" xfId="0">
      <alignment horizontal="right" vertical="center"/>
      <protection locked="0" hidden="0"/>
    </xf>
    <xf numFmtId="0" fontId="11" fillId="14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40" fontId="10" fillId="28" borderId="4" applyAlignment="1" applyProtection="1" pivotButton="0" quotePrefix="0" xfId="0">
      <alignment horizontal="right" vertical="center"/>
      <protection locked="0" hidden="0"/>
    </xf>
    <xf numFmtId="40" fontId="10" fillId="9" borderId="30" applyAlignment="1" applyProtection="1" pivotButton="0" quotePrefix="0" xfId="0">
      <alignment horizontal="right" vertical="center"/>
      <protection locked="0" hidden="0"/>
    </xf>
    <xf numFmtId="0" fontId="0" fillId="0" borderId="29" applyProtection="1" pivotButton="0" quotePrefix="0" xfId="0">
      <protection locked="0" hidden="0"/>
    </xf>
    <xf numFmtId="0" fontId="9" fillId="10" borderId="7" applyAlignment="1" applyProtection="1" pivotButton="0" quotePrefix="0" xfId="0">
      <alignment horizontal="center" vertical="center"/>
      <protection locked="0" hidden="0"/>
    </xf>
    <xf numFmtId="49" fontId="11" fillId="12" borderId="5" applyAlignment="1" pivotButton="0" quotePrefix="0" xfId="0">
      <alignment horizontal="center" vertical="center"/>
    </xf>
    <xf numFmtId="0" fontId="9" fillId="8" borderId="3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40" fontId="10" fillId="9" borderId="4" applyAlignment="1" applyProtection="1" pivotButton="0" quotePrefix="0" xfId="0">
      <alignment horizontal="right" vertical="center"/>
      <protection locked="0" hidden="0"/>
    </xf>
    <xf numFmtId="0" fontId="9" fillId="10" borderId="3" applyAlignment="1" applyProtection="1" pivotButton="0" quotePrefix="0" xfId="0">
      <alignment horizontal="center" vertical="center"/>
      <protection locked="0" hidden="0"/>
    </xf>
    <xf numFmtId="0" fontId="8" fillId="7" borderId="2" applyAlignment="1" pivotButton="0" quotePrefix="0" xfId="0">
      <alignment horizontal="center" vertical="center"/>
    </xf>
    <xf numFmtId="49" fontId="12" fillId="19" borderId="11" applyAlignment="1" applyProtection="1" pivotButton="0" quotePrefix="0" xfId="0">
      <alignment horizontal="center" vertical="center" shrinkToFit="1"/>
      <protection locked="0" hidden="0"/>
    </xf>
    <xf numFmtId="165" fontId="4" fillId="21" borderId="11" applyAlignment="1" applyProtection="1" pivotButton="0" quotePrefix="0" xfId="0">
      <alignment horizontal="center" vertical="center" shrinkToFit="1"/>
      <protection locked="1" hidden="1"/>
    </xf>
    <xf numFmtId="164" fontId="4" fillId="26" borderId="11" applyAlignment="1" applyProtection="1" pivotButton="0" quotePrefix="0" xfId="0">
      <alignment horizontal="center" vertical="center"/>
      <protection locked="0" hidden="0"/>
    </xf>
    <xf numFmtId="0" fontId="4" fillId="24" borderId="27" applyAlignment="1" pivotButton="0" quotePrefix="0" xfId="0">
      <alignment horizontal="center" vertical="center"/>
    </xf>
    <xf numFmtId="0" fontId="0" fillId="0" borderId="27" pivotButton="0" quotePrefix="0" xfId="0"/>
    <xf numFmtId="164" fontId="4" fillId="9" borderId="11" applyAlignment="1" applyProtection="1" pivotButton="0" quotePrefix="0" xfId="0">
      <alignment horizontal="center"/>
      <protection locked="0" hidden="0"/>
    </xf>
    <xf numFmtId="165" fontId="4" fillId="21" borderId="11" applyAlignment="1" applyProtection="1" pivotButton="0" quotePrefix="0" xfId="0">
      <alignment horizontal="center" vertical="center" shrinkToFit="1"/>
      <protection locked="1" hidden="1"/>
    </xf>
    <xf numFmtId="165" fontId="4" fillId="21" borderId="11" applyAlignment="1" applyProtection="1" pivotButton="0" quotePrefix="0" xfId="1">
      <alignment horizontal="center" vertical="center" shrinkToFit="1"/>
      <protection locked="1" hidden="1"/>
    </xf>
    <xf numFmtId="166" fontId="1" fillId="0" borderId="0" applyAlignment="1" applyProtection="1" pivotButton="0" quotePrefix="0" xfId="0">
      <alignment horizontal="center" vertical="center" shrinkToFit="1"/>
      <protection locked="0" hidden="0"/>
    </xf>
    <xf numFmtId="165" fontId="4" fillId="21" borderId="11" applyAlignment="1" pivotButton="0" quotePrefix="0" xfId="0">
      <alignment horizontal="center" vertical="center"/>
    </xf>
    <xf numFmtId="164" fontId="4" fillId="26" borderId="11" applyAlignment="1" applyProtection="1" pivotButton="0" quotePrefix="0" xfId="0">
      <alignment horizontal="center" vertical="center"/>
      <protection locked="0" hidden="0"/>
    </xf>
    <xf numFmtId="167" fontId="4" fillId="21" borderId="11" applyAlignment="1" applyProtection="1" pivotButton="0" quotePrefix="0" xfId="1">
      <alignment horizontal="center" vertical="center" shrinkToFit="1"/>
      <protection locked="1" hidden="1"/>
    </xf>
    <xf numFmtId="166" fontId="1" fillId="24" borderId="11" applyAlignment="1" applyProtection="1" pivotButton="0" quotePrefix="0" xfId="0">
      <alignment horizontal="center" shrinkToFit="1"/>
      <protection locked="0" hidden="0"/>
    </xf>
    <xf numFmtId="168" fontId="1" fillId="24" borderId="11" applyAlignment="1" applyProtection="1" pivotButton="0" quotePrefix="0" xfId="0">
      <alignment horizontal="center" shrinkToFit="1"/>
      <protection locked="0" hidden="0"/>
    </xf>
    <xf numFmtId="168" fontId="1" fillId="0" borderId="11" applyAlignment="1" applyProtection="1" pivotButton="0" quotePrefix="0" xfId="0">
      <alignment horizontal="center"/>
      <protection locked="0" hidden="0"/>
    </xf>
    <xf numFmtId="164" fontId="4" fillId="26" borderId="11" applyAlignment="1" applyProtection="1" pivotButton="0" quotePrefix="0" xfId="0">
      <alignment vertical="center"/>
      <protection locked="0" hidden="0"/>
    </xf>
    <xf numFmtId="169" fontId="1" fillId="24" borderId="11" applyAlignment="1" applyProtection="1" pivotButton="0" quotePrefix="0" xfId="0">
      <alignment horizontal="center" shrinkToFit="1"/>
      <protection locked="0" hidden="0"/>
    </xf>
  </cellXfs>
  <cellStyles count="2">
    <cellStyle name="一般" xfId="0" builtinId="0"/>
    <cellStyle name="百分比" xfId="1" builtinId="5"/>
  </cellStyles>
  <dxfs count="20">
    <dxf>
      <font>
        <b val="1"/>
        <color rgb="FFFF0000"/>
      </font>
    </dxf>
    <dxf>
      <font>
        <b val="1"/>
        <color rgb="FF77933C"/>
      </font>
    </dxf>
    <dxf>
      <font>
        <b val="1"/>
        <color rgb="FFFF0000"/>
      </font>
    </dxf>
    <dxf>
      <font>
        <b val="1"/>
        <color rgb="FF77933C"/>
      </font>
    </dxf>
    <dxf>
      <font>
        <b val="1"/>
        <color rgb="FFFF0000"/>
      </font>
    </dxf>
    <dxf>
      <font>
        <b val="1"/>
        <color rgb="FF77933C"/>
      </font>
    </dxf>
    <dxf>
      <font>
        <b val="1"/>
        <color rgb="FFFF0000"/>
      </font>
    </dxf>
    <dxf>
      <font>
        <b val="1"/>
        <color rgb="FF77933C"/>
      </font>
    </dxf>
    <dxf>
      <font>
        <b val="1"/>
        <color rgb="FFFF0000"/>
      </font>
    </dxf>
    <dxf>
      <font>
        <b val="1"/>
        <color rgb="FF77933C"/>
      </font>
    </dxf>
    <dxf>
      <font>
        <b val="1"/>
        <color rgb="FFFF0000"/>
      </font>
    </dxf>
    <dxf>
      <font>
        <b val="1"/>
        <color rgb="FF77933C"/>
      </font>
    </dxf>
    <dxf>
      <font>
        <b val="1"/>
        <color rgb="FFFF0000"/>
      </font>
    </dxf>
    <dxf>
      <font>
        <b val="1"/>
        <color rgb="FF77933C"/>
      </font>
    </dxf>
    <dxf>
      <font>
        <b val="1"/>
        <color rgb="FFFF0000"/>
      </font>
    </dxf>
    <dxf>
      <font>
        <b val="1"/>
        <color rgb="FF77933C"/>
      </font>
    </dxf>
    <dxf>
      <font>
        <b val="1"/>
        <color rgb="FFFF0000"/>
      </font>
    </dxf>
    <dxf>
      <font>
        <b val="1"/>
        <color rgb="FF77933C"/>
      </font>
    </dxf>
    <dxf>
      <font>
        <b val="1"/>
        <color rgb="FFFF0000"/>
      </font>
    </dxf>
    <dxf>
      <font>
        <b val="1"/>
        <color rgb="FF77933C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C5E0B4"/>
      <rgbColor rgb="FF800000"/>
      <rgbColor rgb="FF70AD47"/>
      <rgbColor rgb="FF000080"/>
      <rgbColor rgb="FF77933C"/>
      <rgbColor rgb="FF800080"/>
      <rgbColor rgb="FF4F81BD"/>
      <rgbColor rgb="FFB3B3B3"/>
      <rgbColor rgb="FF808080"/>
      <rgbColor rgb="FF95B3D7"/>
      <rgbColor rgb="FFC0504D"/>
      <rgbColor rgb="FFEBF1DE"/>
      <rgbColor rgb="FFB7DEE8"/>
      <rgbColor rgb="FF660066"/>
      <rgbColor rgb="FFFCD5B5"/>
      <rgbColor rgb="FF2E5F99"/>
      <rgbColor rgb="FFC6D9F1"/>
      <rgbColor rgb="FF000080"/>
      <rgbColor rgb="FFFF00FF"/>
      <rgbColor rgb="FFC3D69B"/>
      <rgbColor rgb="FFFDEADA"/>
      <rgbColor rgb="FF800080"/>
      <rgbColor rgb="FF800000"/>
      <rgbColor rgb="FF558ED5"/>
      <rgbColor rgb="FF0000FF"/>
      <rgbColor rgb="FF93CDDD"/>
      <rgbColor rgb="FFD9D9D9"/>
      <rgbColor rgb="FFD7E4BD"/>
      <rgbColor rgb="FFFFE79B"/>
      <rgbColor rgb="FF99CCFF"/>
      <rgbColor rgb="FFE6B9B8"/>
      <rgbColor rgb="FFB9CDE5"/>
      <rgbColor rgb="FFFAC090"/>
      <rgbColor rgb="FF3C7AC7"/>
      <rgbColor rgb="FF4BACC6"/>
      <rgbColor rgb="FF9BBB59"/>
      <rgbColor rgb="FFFFC000"/>
      <rgbColor rgb="FFF79646"/>
      <rgbColor rgb="FFE46C0A"/>
      <rgbColor rgb="FF8064A2"/>
      <rgbColor rgb="FF8B8B8B"/>
      <rgbColor rgb="FF003366"/>
      <rgbColor rgb="FF00B050"/>
      <rgbColor rgb="FF003300"/>
      <rgbColor rgb="FF404040"/>
      <rgbColor rgb="FF9C2F2C"/>
      <rgbColor rgb="FFCB3D39"/>
      <rgbColor rgb="FF59595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zh-TW" altLang="en-US"/>
              <a:t>資產配置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doughnutChart>
        <varyColors val="1"/>
        <ser>
          <idx val="0"/>
          <order val="0"/>
          <tx>
            <v>資產分布</v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solidFill xmlns:a="http://schemas.openxmlformats.org/drawingml/2006/main">
                <a:schemeClr val="bg1"/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60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Source Sans Pro" panose="020B0503030403020204" pitchFamily="34" charset="0"/>
                    <a:cs typeface="+mn-cs"/>
                  </a:defRPr>
                </a:pPr>
                <a:r>
                  <a:t>None</a:t>
                </a:r>
                <a:endParaRPr lang="zh-TW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(總資產!$A$1,總資產!$E$1,總資產!$I$1,總資產!$M$1,總資產!$Q$1)</f>
              <strCache>
                <ptCount val="5"/>
                <pt idx="0">
                  <v>新台幣</v>
                </pt>
                <pt idx="1">
                  <v>美元</v>
                </pt>
                <pt idx="2">
                  <v>台股</v>
                </pt>
                <pt idx="3">
                  <v>美股</v>
                </pt>
                <pt idx="4">
                  <v>加密貨幣</v>
                </pt>
              </strCache>
            </strRef>
          </cat>
          <val>
            <numRef>
              <f>(總資產!$C$10,總資產!$G$10,總資產!$K$10,總資產!$O$10,總資產!$S$10)</f>
              <numCache>
                <formatCode>#,##0.00_);[Red]\(#,##0.00\)</formatCode>
                <ptCount val="5"/>
                <pt idx="0">
                  <v>525135</v>
                </pt>
                <pt idx="1">
                  <v>7118.383</v>
                </pt>
                <pt idx="2">
                  <v>484808.199</v>
                </pt>
                <pt idx="3">
                  <v>290271.0443159703</v>
                </pt>
                <pt idx="4">
                  <v>235726.849095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  <holeSize val="50"/>
      </doughnut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Source Sans Pro" panose="020B0503030403020204" pitchFamily="34" charset="0"/>
              <a:cs typeface="+mn-cs"/>
            </a:defRPr>
          </a:pPr>
          <a:r>
            <a:t>None</a:t>
          </a:r>
          <a:endParaRPr lang="zh-TW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bg1">
          <a:lumMod val="7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zh-TW" altLang="en-US"/>
              <a:t>投資配置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doughnutChart>
        <varyColors val="1"/>
        <ser>
          <idx val="0"/>
          <order val="0"/>
          <tx>
            <v>投資分布</v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solidFill xmlns:a="http://schemas.openxmlformats.org/drawingml/2006/main">
                <a:schemeClr val="bg1"/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horzOverflow="clip" vert="horz" wrap="square" lIns="360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/>
                    </a:solidFill>
                    <a:latin typeface="Source Sans Pro" panose="020B0503030403020204" pitchFamily="34" charset="0"/>
                    <a:ea typeface="Source Sans Pro" panose="020B0503030403020204" pitchFamily="34" charset="0"/>
                    <a:cs typeface="+mn-cs"/>
                  </a:defRPr>
                </a:pPr>
                <a:r>
                  <a:t>None</a:t>
                </a:r>
                <a:endParaRPr lang="zh-TW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(總資產!$I$2,總資產!$I$3,總資產!$M$2,總資產!$Q$2,總資產!$Q$3,總資產!$Q$4)</f>
              <strCache>
                <ptCount val="6"/>
                <pt idx="0">
                  <v>006208</v>
                </pt>
                <pt idx="1">
                  <v>2890</v>
                </pt>
                <pt idx="2">
                  <v>VT</v>
                </pt>
                <pt idx="3">
                  <v>BTC</v>
                </pt>
                <pt idx="4">
                  <v>ETH</v>
                </pt>
                <pt idx="5">
                  <v>SOL</v>
                </pt>
              </strCache>
            </strRef>
          </cat>
          <val>
            <numRef>
              <f>(總資產!$K$2,總資產!$K$3,總資產!$O$2,總資產!$S$2,總資產!$S$3,總資產!$S$4)</f>
              <numCache>
                <formatCode>#,##0.00_);[Red]\(#,##0.00\)</formatCode>
                <ptCount val="6"/>
                <pt idx="0">
                  <v>244489.7238</v>
                </pt>
                <pt idx="1">
                  <v>240318.4752</v>
                </pt>
                <pt idx="2">
                  <v>268271.7116346735</v>
                </pt>
                <pt idx="3">
                  <v>69494.25147</v>
                </pt>
                <pt idx="4">
                  <v>7496.00843</v>
                </pt>
                <pt idx="5">
                  <v>9889.764219999999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  <holeSize val="50"/>
      </doughnut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ource Sans Pro" panose="020B0503030403020204" pitchFamily="34" charset="0"/>
              <a:ea typeface="Source Sans Pro" panose="020B0503030403020204" pitchFamily="34" charset="0"/>
              <a:cs typeface="+mn-cs"/>
            </a:defRPr>
          </a:pPr>
          <a:r>
            <a:t>None</a:t>
          </a:r>
          <a:endParaRPr lang="zh-TW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bg1">
          <a:lumMod val="7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4</col>
      <colOff>28575</colOff>
      <row>10</row>
      <rowOff>20760</rowOff>
    </from>
    <to>
      <col>11</col>
      <colOff>466725</colOff>
      <row>21</row>
      <rowOff>204910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486996</colOff>
      <row>10</row>
      <rowOff>18560</rowOff>
    </from>
    <to>
      <col>19</col>
      <colOff>334596</colOff>
      <row>21</row>
      <rowOff>201733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zoomScaleNormal="100" workbookViewId="0">
      <selection activeCell="C7" sqref="C7:D7"/>
    </sheetView>
  </sheetViews>
  <sheetFormatPr baseColWidth="8" defaultColWidth="8.5" defaultRowHeight="16.5"/>
  <cols>
    <col width="8.5" customWidth="1" min="2" max="2"/>
  </cols>
  <sheetData>
    <row r="1" ht="31.5" customFormat="1" customHeight="1" s="37" thickBot="1">
      <c r="A1" s="113" t="inlineStr">
        <is>
          <t>新台幣</t>
        </is>
      </c>
      <c r="B1" s="67" t="n"/>
      <c r="C1" s="67" t="n"/>
      <c r="D1" s="68" t="n"/>
      <c r="E1" s="80" t="inlineStr">
        <is>
          <t>美元</t>
        </is>
      </c>
      <c r="F1" s="67" t="n"/>
      <c r="G1" s="67" t="n"/>
      <c r="H1" s="68" t="n"/>
      <c r="I1" s="66" t="inlineStr">
        <is>
          <t>台股</t>
        </is>
      </c>
      <c r="J1" s="67" t="n"/>
      <c r="K1" s="67" t="n"/>
      <c r="L1" s="68" t="n"/>
      <c r="M1" s="114" t="inlineStr">
        <is>
          <t>美股</t>
        </is>
      </c>
      <c r="N1" s="67" t="n"/>
      <c r="O1" s="67" t="n"/>
      <c r="P1" s="68" t="n"/>
      <c r="Q1" s="102" t="inlineStr">
        <is>
          <t>加密貨幣</t>
        </is>
      </c>
      <c r="R1" s="67" t="n"/>
      <c r="S1" s="67" t="n"/>
      <c r="T1" s="68" t="n"/>
    </row>
    <row r="2" ht="17.25" customHeight="1">
      <c r="A2" s="120" t="inlineStr">
        <is>
          <t>永豐大戶活存</t>
        </is>
      </c>
      <c r="B2" s="121" t="n"/>
      <c r="C2" s="122" t="n">
        <v>201256</v>
      </c>
      <c r="D2" s="77" t="n"/>
      <c r="E2" s="123" t="inlineStr">
        <is>
          <t>美元活存</t>
        </is>
      </c>
      <c r="F2" s="121" t="n"/>
      <c r="G2" s="106" t="n">
        <v>220</v>
      </c>
      <c r="H2" s="77" t="n"/>
      <c r="I2" s="107" t="inlineStr">
        <is>
          <t>006208</t>
        </is>
      </c>
      <c r="J2" s="86" t="n"/>
      <c r="K2" s="76">
        <f>'006208'!D3*'006208'!C3*0.997</f>
        <v/>
      </c>
      <c r="L2" s="77" t="n"/>
      <c r="M2" s="112" t="inlineStr">
        <is>
          <t>VT</t>
        </is>
      </c>
      <c r="N2" s="86" t="n"/>
      <c r="O2" s="84">
        <f>VT!H3*VT!D3</f>
        <v/>
      </c>
      <c r="P2" s="77" t="n"/>
      <c r="Q2" s="85" t="inlineStr">
        <is>
          <t>BTC</t>
        </is>
      </c>
      <c r="R2" s="86" t="n"/>
      <c r="S2" s="115">
        <f>(682.1+1166.72+328.25)*投資!G2</f>
        <v/>
      </c>
      <c r="T2" s="77" t="n"/>
    </row>
    <row r="3" ht="17.25" customHeight="1">
      <c r="A3" s="70" t="inlineStr">
        <is>
          <t>玉山銀行活存</t>
        </is>
      </c>
      <c r="B3" s="42" t="n"/>
      <c r="C3" s="65" t="n">
        <v>11601</v>
      </c>
      <c r="D3" s="63" t="n"/>
      <c r="E3" s="69" t="inlineStr">
        <is>
          <t>Chase</t>
        </is>
      </c>
      <c r="F3" s="42" t="n"/>
      <c r="G3" s="100" t="n">
        <v>0</v>
      </c>
      <c r="H3" s="63" t="n"/>
      <c r="I3" s="119" t="inlineStr">
        <is>
          <t>2890</t>
        </is>
      </c>
      <c r="J3" s="98" t="n"/>
      <c r="K3" s="103">
        <f>'2890'!D3*'2890'!C3*0.997</f>
        <v/>
      </c>
      <c r="L3" s="63" t="n"/>
      <c r="M3" s="110" t="inlineStr">
        <is>
          <t>VOO</t>
        </is>
      </c>
      <c r="N3" s="98" t="n"/>
      <c r="O3" s="62">
        <f>VOO!C3*VOO!D3</f>
        <v/>
      </c>
      <c r="P3" s="63" t="n"/>
      <c r="Q3" s="97" t="inlineStr">
        <is>
          <t>ETH</t>
        </is>
      </c>
      <c r="R3" s="98" t="n"/>
      <c r="S3" s="71">
        <f>234.83*投資!G2</f>
        <v/>
      </c>
      <c r="T3" s="63" t="n"/>
    </row>
    <row r="4" ht="15.75" customHeight="1">
      <c r="A4" s="70" t="inlineStr">
        <is>
          <t>一銀iLeo活存</t>
        </is>
      </c>
      <c r="B4" s="42" t="n"/>
      <c r="C4" s="65" t="n">
        <v>150039</v>
      </c>
      <c r="D4" s="63" t="n"/>
      <c r="E4" s="69" t="inlineStr">
        <is>
          <t>Ether.fi</t>
        </is>
      </c>
      <c r="F4" s="42" t="n"/>
      <c r="G4" s="100" t="n">
        <v>3</v>
      </c>
      <c r="H4" s="63" t="n"/>
      <c r="I4" s="119" t="n"/>
      <c r="J4" s="98" t="n"/>
      <c r="K4" s="103" t="n"/>
      <c r="L4" s="63" t="n"/>
      <c r="M4" s="110" t="n"/>
      <c r="N4" s="98" t="n"/>
      <c r="O4" s="62" t="n"/>
      <c r="P4" s="63" t="n"/>
      <c r="Q4" s="97" t="inlineStr">
        <is>
          <t>SOL</t>
        </is>
      </c>
      <c r="R4" s="98" t="n"/>
      <c r="S4" s="71">
        <f>309.82*投資!G2</f>
        <v/>
      </c>
      <c r="T4" s="63" t="n"/>
    </row>
    <row r="5" ht="16.5" customHeight="1">
      <c r="A5" s="70" t="inlineStr">
        <is>
          <t>中華郵政活存</t>
        </is>
      </c>
      <c r="B5" s="42" t="n"/>
      <c r="C5" s="65" t="n">
        <v>550</v>
      </c>
      <c r="D5" s="63" t="n"/>
      <c r="E5" s="69" t="n"/>
      <c r="F5" s="42" t="n"/>
      <c r="G5" s="100" t="n"/>
      <c r="H5" s="63" t="n"/>
      <c r="I5" s="96" t="n"/>
      <c r="J5" s="42" t="n"/>
      <c r="K5" s="103" t="n"/>
      <c r="L5" s="63" t="n"/>
      <c r="M5" s="110" t="n"/>
      <c r="N5" s="98" t="n"/>
      <c r="O5" s="62" t="n"/>
      <c r="P5" s="63" t="n"/>
      <c r="Q5" s="97" t="inlineStr">
        <is>
          <t>SUI</t>
        </is>
      </c>
      <c r="R5" s="98" t="n"/>
      <c r="S5" s="71">
        <f>15.45*投資!G2</f>
        <v/>
      </c>
      <c r="T5" s="63" t="n"/>
    </row>
    <row r="6" ht="17.25" customHeight="1">
      <c r="A6" s="70" t="inlineStr">
        <is>
          <t>中國信託活存</t>
        </is>
      </c>
      <c r="B6" s="42" t="n"/>
      <c r="C6" s="65" t="n">
        <v>700</v>
      </c>
      <c r="D6" s="63" t="n"/>
      <c r="E6" s="69" t="n"/>
      <c r="F6" s="42" t="n"/>
      <c r="G6" s="100" t="n"/>
      <c r="H6" s="63" t="n"/>
      <c r="I6" s="96" t="n"/>
      <c r="J6" s="42" t="n"/>
      <c r="K6" s="103" t="n"/>
      <c r="L6" s="63" t="n"/>
      <c r="M6" s="83" t="n"/>
      <c r="N6" s="42" t="n"/>
      <c r="O6" s="62" t="n"/>
      <c r="P6" s="63" t="n"/>
      <c r="Q6" s="64" t="inlineStr">
        <is>
          <t>USDT</t>
        </is>
      </c>
      <c r="R6" s="42" t="n"/>
      <c r="S6" s="71">
        <f>(502.19+483.32+301.6+2206.02+151.975)*投資!G2</f>
        <v/>
      </c>
      <c r="T6" s="63" t="n"/>
    </row>
    <row r="7" ht="17.25" customHeight="1">
      <c r="A7" s="70" t="inlineStr">
        <is>
          <t>華南Sny活存</t>
        </is>
      </c>
      <c r="B7" s="42" t="n"/>
      <c r="C7" s="65" t="n">
        <v>100189</v>
      </c>
      <c r="D7" s="63" t="n"/>
      <c r="E7" s="69" t="n"/>
      <c r="F7" s="42" t="n"/>
      <c r="G7" s="100" t="n"/>
      <c r="H7" s="63" t="n"/>
      <c r="I7" s="96" t="n"/>
      <c r="J7" s="42" t="n"/>
      <c r="K7" s="103" t="n"/>
      <c r="L7" s="63" t="n"/>
      <c r="M7" s="83" t="n"/>
      <c r="N7" s="42" t="n"/>
      <c r="O7" s="62" t="n"/>
      <c r="P7" s="63" t="n"/>
      <c r="Q7" s="64" t="inlineStr">
        <is>
          <t>USDC</t>
        </is>
      </c>
      <c r="R7" s="42" t="n"/>
      <c r="S7" s="71">
        <f>(501.74+500.68)*投資!G2</f>
        <v/>
      </c>
      <c r="T7" s="63" t="n"/>
    </row>
    <row r="8" ht="17.25" customHeight="1">
      <c r="A8" s="70" t="inlineStr">
        <is>
          <t>定存</t>
        </is>
      </c>
      <c r="B8" s="42" t="n"/>
      <c r="C8" s="65" t="n">
        <v>60000</v>
      </c>
      <c r="D8" s="63" t="n"/>
      <c r="E8" s="69" t="n"/>
      <c r="F8" s="42" t="n"/>
      <c r="G8" s="100" t="n"/>
      <c r="H8" s="63" t="n"/>
      <c r="I8" s="96" t="n"/>
      <c r="J8" s="42" t="n"/>
      <c r="K8" s="103" t="n"/>
      <c r="L8" s="63" t="n"/>
      <c r="M8" s="83" t="n"/>
      <c r="N8" s="42" t="n"/>
      <c r="O8" s="62" t="n"/>
      <c r="P8" s="63" t="n"/>
      <c r="Q8" s="64" t="n"/>
      <c r="R8" s="42" t="n"/>
      <c r="S8" s="71" t="n"/>
      <c r="T8" s="63" t="n"/>
    </row>
    <row r="9" ht="17.25" customHeight="1" thickBot="1">
      <c r="A9" s="87" t="inlineStr">
        <is>
          <t>錢包</t>
        </is>
      </c>
      <c r="B9" s="88" t="n"/>
      <c r="C9" s="116" t="n">
        <v>800</v>
      </c>
      <c r="D9" s="117" t="n"/>
      <c r="E9" s="118" t="n"/>
      <c r="F9" s="79" t="n"/>
      <c r="G9" s="104" t="n"/>
      <c r="H9" s="82" t="n"/>
      <c r="I9" s="105" t="n"/>
      <c r="J9" s="79" t="n"/>
      <c r="K9" s="108" t="n"/>
      <c r="L9" s="82" t="n"/>
      <c r="M9" s="109" t="n"/>
      <c r="N9" s="79" t="n"/>
      <c r="O9" s="111" t="n"/>
      <c r="P9" s="82" t="n"/>
      <c r="Q9" s="78" t="n"/>
      <c r="R9" s="79" t="n"/>
      <c r="S9" s="81" t="n"/>
      <c r="T9" s="82" t="n"/>
    </row>
    <row r="10" ht="17.25" customHeight="1" thickBot="1">
      <c r="A10" s="72" t="inlineStr">
        <is>
          <t>總計</t>
        </is>
      </c>
      <c r="B10" s="73" t="n"/>
      <c r="C10" s="74">
        <f>SUM(C2:D9)</f>
        <v/>
      </c>
      <c r="D10" s="75" t="n"/>
      <c r="E10" s="72" t="inlineStr">
        <is>
          <t>總計</t>
        </is>
      </c>
      <c r="F10" s="73" t="n"/>
      <c r="G10" s="74">
        <f>SUM(G2:H9)*投資!G2</f>
        <v/>
      </c>
      <c r="H10" s="75" t="n"/>
      <c r="I10" s="72" t="inlineStr">
        <is>
          <t>總計</t>
        </is>
      </c>
      <c r="J10" s="73" t="n"/>
      <c r="K10" s="74">
        <f>SUM(K2:L9)</f>
        <v/>
      </c>
      <c r="L10" s="75" t="n"/>
      <c r="M10" s="72" t="inlineStr">
        <is>
          <t>總計</t>
        </is>
      </c>
      <c r="N10" s="73" t="n"/>
      <c r="O10" s="74">
        <f>SUM(O2:P9)</f>
        <v/>
      </c>
      <c r="P10" s="75" t="n"/>
      <c r="Q10" s="72" t="inlineStr">
        <is>
          <t>總計</t>
        </is>
      </c>
      <c r="R10" s="73" t="n"/>
      <c r="S10" s="74">
        <f>SUM(S2:T9)</f>
        <v/>
      </c>
      <c r="T10" s="75" t="n"/>
    </row>
    <row r="11" ht="31.5" customHeight="1" thickBot="1">
      <c r="A11" s="99" t="inlineStr">
        <is>
          <t>總資產</t>
        </is>
      </c>
      <c r="B11" s="75" t="n"/>
      <c r="C11" s="124" t="inlineStr">
        <is>
          <t>負債</t>
        </is>
      </c>
      <c r="D11" s="75" t="n"/>
      <c r="E11" s="38" t="n"/>
      <c r="F11" s="38" t="n"/>
      <c r="G11" s="38" t="n"/>
      <c r="H11" s="38" t="n"/>
      <c r="I11" s="38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1" t="n"/>
      <c r="V11" s="1" t="n"/>
      <c r="W11" s="1" t="n"/>
      <c r="X11" s="1" t="n"/>
      <c r="Y11" s="1" t="n"/>
      <c r="Z11" s="1" t="n"/>
    </row>
    <row r="12" ht="17.25" customHeight="1" thickBot="1">
      <c r="A12" s="89">
        <f>C10+G10+K10+O10+S10</f>
        <v/>
      </c>
      <c r="B12" s="68" t="n"/>
      <c r="C12" s="92">
        <f>12012</f>
        <v/>
      </c>
      <c r="D12" s="93" t="n"/>
      <c r="E12" s="38" t="n"/>
      <c r="F12" s="38" t="n"/>
      <c r="G12" s="38" t="n"/>
      <c r="H12" s="38" t="n"/>
      <c r="I12" s="38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1" t="n"/>
      <c r="V12" s="1" t="n"/>
      <c r="W12" s="1" t="n"/>
      <c r="X12" s="1" t="n"/>
      <c r="Y12" s="1" t="n"/>
      <c r="Z12" s="1" t="n"/>
    </row>
    <row r="13" ht="17.25" customHeight="1" thickBot="1">
      <c r="A13" s="90" t="n"/>
      <c r="B13" s="91" t="n"/>
      <c r="C13" s="94" t="n"/>
      <c r="D13" s="95" t="n"/>
      <c r="E13" s="38" t="n"/>
      <c r="F13" s="38" t="n"/>
      <c r="G13" s="38" t="n"/>
      <c r="H13" s="38" t="n"/>
      <c r="I13" s="38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1" t="n"/>
      <c r="V13" s="1" t="n"/>
      <c r="W13" s="1" t="n"/>
      <c r="X13" s="1" t="n"/>
      <c r="Y13" s="1" t="n"/>
      <c r="Z13" s="1" t="n"/>
    </row>
    <row r="14" ht="17.25" customHeight="1" thickBot="1">
      <c r="A14" s="99" t="inlineStr">
        <is>
          <t>淨資產</t>
        </is>
      </c>
      <c r="B14" s="68" t="n"/>
      <c r="C14" s="124" t="inlineStr">
        <is>
          <t>負債率</t>
        </is>
      </c>
      <c r="D14" s="68" t="n"/>
      <c r="E14" s="38" t="n"/>
      <c r="F14" s="38" t="n"/>
      <c r="G14" s="38" t="n"/>
      <c r="H14" s="38" t="n"/>
      <c r="I14" s="38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1" t="n"/>
      <c r="V14" s="1" t="n"/>
      <c r="W14" s="1" t="n"/>
      <c r="X14" s="1" t="n"/>
      <c r="Y14" s="1" t="n"/>
      <c r="Z14" s="1" t="n"/>
    </row>
    <row r="15" ht="17.25" customHeight="1" thickBot="1">
      <c r="A15" s="90" t="n"/>
      <c r="B15" s="91" t="n"/>
      <c r="C15" s="90" t="n"/>
      <c r="D15" s="91" t="n"/>
      <c r="E15" s="38" t="n"/>
      <c r="F15" s="38" t="n"/>
      <c r="G15" s="38" t="n"/>
      <c r="H15" s="38" t="n"/>
      <c r="I15" s="38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1" t="n"/>
      <c r="V15" s="1" t="n"/>
      <c r="W15" s="1" t="n"/>
      <c r="X15" s="1" t="n"/>
      <c r="Y15" s="1" t="n"/>
      <c r="Z15" s="1" t="n"/>
    </row>
    <row r="16" ht="17.25" customHeight="1" thickBot="1">
      <c r="A16" s="89">
        <f>A12-C12</f>
        <v/>
      </c>
      <c r="B16" s="68" t="n"/>
      <c r="C16" s="101">
        <f>C12/A12</f>
        <v/>
      </c>
      <c r="D16" s="68" t="n"/>
      <c r="E16" s="38" t="n"/>
      <c r="F16" s="38" t="n"/>
      <c r="G16" s="38" t="n"/>
      <c r="H16" s="38" t="n"/>
      <c r="I16" s="38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1" t="n"/>
      <c r="V16" s="1" t="n"/>
      <c r="W16" s="1" t="n"/>
      <c r="X16" s="1" t="n"/>
      <c r="Y16" s="1" t="n"/>
      <c r="Z16" s="1" t="n"/>
    </row>
    <row r="17" ht="17.25" customHeight="1" thickBot="1">
      <c r="A17" s="90" t="n"/>
      <c r="B17" s="91" t="n"/>
      <c r="C17" s="90" t="n"/>
      <c r="D17" s="91" t="n"/>
      <c r="E17" s="38" t="n"/>
      <c r="F17" s="38" t="n"/>
      <c r="G17" s="38" t="n"/>
      <c r="H17" s="38" t="n"/>
      <c r="I17" s="38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1" t="n"/>
      <c r="V17" s="1" t="n"/>
      <c r="W17" s="1" t="n"/>
      <c r="X17" s="1" t="n"/>
      <c r="Y17" s="1" t="n"/>
      <c r="Z17" s="1" t="n"/>
    </row>
    <row r="18"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</sheetData>
  <mergeCells count="103">
    <mergeCell ref="O7:P7"/>
    <mergeCell ref="Q7:R7"/>
    <mergeCell ref="C6:D6"/>
    <mergeCell ref="I1:L1"/>
    <mergeCell ref="O6:P6"/>
    <mergeCell ref="E8:F8"/>
    <mergeCell ref="A7:B7"/>
    <mergeCell ref="S7:T7"/>
    <mergeCell ref="M10:N10"/>
    <mergeCell ref="S10:T10"/>
    <mergeCell ref="K2:L2"/>
    <mergeCell ref="Q9:R9"/>
    <mergeCell ref="E1:H1"/>
    <mergeCell ref="S9:T9"/>
    <mergeCell ref="M8:N8"/>
    <mergeCell ref="O8:P8"/>
    <mergeCell ref="O2:P2"/>
    <mergeCell ref="Q2:R2"/>
    <mergeCell ref="S5:T5"/>
    <mergeCell ref="A9:B9"/>
    <mergeCell ref="C3:D3"/>
    <mergeCell ref="S4:T4"/>
    <mergeCell ref="E3:F3"/>
    <mergeCell ref="A12:B13"/>
    <mergeCell ref="O3:P3"/>
    <mergeCell ref="C12:D13"/>
    <mergeCell ref="I6:J6"/>
    <mergeCell ref="Q3:R3"/>
    <mergeCell ref="A11:B11"/>
    <mergeCell ref="C5:D5"/>
    <mergeCell ref="E5:F5"/>
    <mergeCell ref="A14:B15"/>
    <mergeCell ref="C4:D4"/>
    <mergeCell ref="E4:F4"/>
    <mergeCell ref="G7:H7"/>
    <mergeCell ref="I7:J7"/>
    <mergeCell ref="M7:N7"/>
    <mergeCell ref="I8:J8"/>
    <mergeCell ref="A8:B8"/>
    <mergeCell ref="C8:D8"/>
    <mergeCell ref="A16:B17"/>
    <mergeCell ref="C16:D17"/>
    <mergeCell ref="I10:J10"/>
    <mergeCell ref="K10:L10"/>
    <mergeCell ref="A10:B10"/>
    <mergeCell ref="Q1:T1"/>
    <mergeCell ref="K6:L6"/>
    <mergeCell ref="G9:H9"/>
    <mergeCell ref="I9:J9"/>
    <mergeCell ref="K3:L3"/>
    <mergeCell ref="G2:H2"/>
    <mergeCell ref="I2:J2"/>
    <mergeCell ref="K9:L9"/>
    <mergeCell ref="K5:L5"/>
    <mergeCell ref="M9:N9"/>
    <mergeCell ref="M5:N5"/>
    <mergeCell ref="O9:P9"/>
    <mergeCell ref="S3:T3"/>
    <mergeCell ref="M2:N2"/>
    <mergeCell ref="O5:P5"/>
    <mergeCell ref="Q5:R5"/>
    <mergeCell ref="O4:P4"/>
    <mergeCell ref="A3:B3"/>
    <mergeCell ref="Q4:R4"/>
    <mergeCell ref="A1:D1"/>
    <mergeCell ref="E6:F6"/>
    <mergeCell ref="K8:L8"/>
    <mergeCell ref="M1:P1"/>
    <mergeCell ref="Q6:R6"/>
    <mergeCell ref="A5:B5"/>
    <mergeCell ref="S6:T6"/>
    <mergeCell ref="A4:B4"/>
    <mergeCell ref="K7:L7"/>
    <mergeCell ref="C7:D7"/>
    <mergeCell ref="E7:F7"/>
    <mergeCell ref="O10:P10"/>
    <mergeCell ref="G8:H8"/>
    <mergeCell ref="A6:B6"/>
    <mergeCell ref="Q8:R8"/>
    <mergeCell ref="S8:T8"/>
    <mergeCell ref="S2:T2"/>
    <mergeCell ref="C10:D10"/>
    <mergeCell ref="E10:F10"/>
    <mergeCell ref="G10:H10"/>
    <mergeCell ref="Q10:R10"/>
    <mergeCell ref="G6:H6"/>
    <mergeCell ref="C9:D9"/>
    <mergeCell ref="E9:F9"/>
    <mergeCell ref="G3:H3"/>
    <mergeCell ref="I3:J3"/>
    <mergeCell ref="A2:B2"/>
    <mergeCell ref="C2:D2"/>
    <mergeCell ref="M6:N6"/>
    <mergeCell ref="E2:F2"/>
    <mergeCell ref="C11:D11"/>
    <mergeCell ref="G5:H5"/>
    <mergeCell ref="I5:J5"/>
    <mergeCell ref="C14:D15"/>
    <mergeCell ref="M3:N3"/>
    <mergeCell ref="G4:H4"/>
    <mergeCell ref="I4:J4"/>
    <mergeCell ref="K4:L4"/>
    <mergeCell ref="M4:N4"/>
  </mergeCells>
  <pageMargins left="0.25" right="0.25" top="0.75" bottom="0.75" header="0.3" footer="0.3"/>
  <pageSetup orientation="landscape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6"/>
  <sheetViews>
    <sheetView zoomScaleNormal="100" workbookViewId="0">
      <selection activeCell="A19" sqref="A19"/>
    </sheetView>
  </sheetViews>
  <sheetFormatPr baseColWidth="8" defaultColWidth="8.875" defaultRowHeight="17.25"/>
  <cols>
    <col width="15.125" customWidth="1" style="2" min="1" max="2"/>
    <col width="15" customWidth="1" style="21" min="3" max="3"/>
    <col width="12.875" customWidth="1" style="2" min="4" max="4"/>
    <col width="15.125" customWidth="1" style="2" min="5" max="6"/>
    <col width="15" customWidth="1" style="2" min="7" max="7"/>
    <col width="8.875" customWidth="1" style="12" min="8" max="8"/>
    <col width="15.125" customWidth="1" style="12" min="9" max="10"/>
    <col width="15" customWidth="1" style="13" min="11" max="11"/>
    <col width="8.875" customWidth="1" style="13" min="12" max="1024"/>
  </cols>
  <sheetData>
    <row r="1" ht="24.6" customHeight="1">
      <c r="A1" s="125" t="inlineStr">
        <is>
          <t>台股</t>
        </is>
      </c>
      <c r="B1" s="44" t="n"/>
      <c r="C1" s="42" t="n"/>
      <c r="D1" s="3" t="n"/>
      <c r="E1" s="40" t="inlineStr">
        <is>
          <t>折讓款</t>
        </is>
      </c>
      <c r="F1" s="40" t="inlineStr">
        <is>
          <t>交易稅</t>
        </is>
      </c>
      <c r="G1" s="40" t="inlineStr">
        <is>
          <t>匯率</t>
        </is>
      </c>
    </row>
    <row r="2" ht="21.75" customHeight="1">
      <c r="A2" s="4" t="inlineStr">
        <is>
          <t>總成本</t>
        </is>
      </c>
      <c r="B2" s="4" t="inlineStr">
        <is>
          <t>總現值</t>
        </is>
      </c>
      <c r="C2" s="4" t="inlineStr">
        <is>
          <t>報酬率(含息)</t>
        </is>
      </c>
      <c r="D2" s="5" t="n"/>
      <c r="E2" s="6" t="n">
        <v>304</v>
      </c>
      <c r="F2" s="6" t="n">
        <v>0</v>
      </c>
      <c r="G2" s="130" t="n">
        <v>32.379</v>
      </c>
    </row>
    <row r="3" ht="17.25" customHeight="1">
      <c r="A3" s="131">
        <f>('006208'!E3+'00692'!E3+'2890'!E3)-('006208'!F3+'00692'!F3+'2890'!F3)-E2+7345</f>
        <v/>
      </c>
      <c r="B3" s="131">
        <f>總資產!K10</f>
        <v/>
      </c>
      <c r="C3" s="7">
        <f>C4/A3</f>
        <v/>
      </c>
      <c r="D3" s="8" t="n"/>
      <c r="E3" s="9" t="n"/>
      <c r="F3" s="9" t="n"/>
      <c r="G3" s="9" t="n"/>
    </row>
    <row r="4" ht="17.25" customHeight="1">
      <c r="A4" s="46" t="n"/>
      <c r="B4" s="46" t="n"/>
      <c r="C4" s="132">
        <f>B3-A3</f>
        <v/>
      </c>
      <c r="D4" s="8" t="n"/>
      <c r="E4" s="9" t="n"/>
      <c r="F4" s="9" t="n"/>
      <c r="G4" s="9" t="n"/>
    </row>
    <row r="5" ht="15" customHeight="1">
      <c r="A5" s="5" t="n"/>
      <c r="B5" s="22" t="n"/>
      <c r="C5" s="5" t="n"/>
      <c r="D5" s="5" t="n"/>
      <c r="E5" s="9" t="n"/>
      <c r="F5" s="9" t="n"/>
      <c r="G5" s="9" t="n"/>
    </row>
    <row r="6" ht="15" customHeight="1">
      <c r="A6" s="5" t="n"/>
      <c r="B6" s="10" t="n"/>
      <c r="C6" s="10" t="n"/>
      <c r="D6" s="10" t="n"/>
      <c r="E6" s="9" t="n"/>
      <c r="F6" s="9" t="n"/>
      <c r="G6" s="9" t="n"/>
    </row>
    <row r="7" ht="15" customHeight="1">
      <c r="A7" s="5" t="n"/>
      <c r="B7" s="22" t="n"/>
      <c r="C7" s="133" t="n"/>
      <c r="D7" s="5" t="n"/>
      <c r="E7" s="9" t="n"/>
      <c r="F7" s="9" t="n"/>
      <c r="G7" s="9" t="n"/>
    </row>
    <row r="8" ht="24" customHeight="1">
      <c r="A8" s="125" t="inlineStr">
        <is>
          <t>美股</t>
        </is>
      </c>
      <c r="B8" s="44" t="n"/>
      <c r="C8" s="42" t="n"/>
      <c r="D8" s="5" t="n"/>
      <c r="E8" s="125" t="inlineStr">
        <is>
          <t>Total</t>
        </is>
      </c>
      <c r="F8" s="44" t="n"/>
      <c r="G8" s="42" t="n"/>
    </row>
    <row r="9" ht="15" customHeight="1">
      <c r="A9" s="4" t="inlineStr">
        <is>
          <t>總成本</t>
        </is>
      </c>
      <c r="B9" s="4" t="inlineStr">
        <is>
          <t>總現值</t>
        </is>
      </c>
      <c r="C9" s="4" t="inlineStr">
        <is>
          <t>報酬率(含息)</t>
        </is>
      </c>
      <c r="D9" s="5" t="n"/>
      <c r="E9" s="4" t="inlineStr">
        <is>
          <t>總成本</t>
        </is>
      </c>
      <c r="F9" s="4" t="inlineStr">
        <is>
          <t>總現值</t>
        </is>
      </c>
      <c r="G9" s="4" t="inlineStr">
        <is>
          <t>報酬率(含息)</t>
        </is>
      </c>
    </row>
    <row r="10" ht="18" customHeight="1">
      <c r="A10" s="131">
        <f>(BND!E3+VT!E3)-(BND!F3+VT!F3)</f>
        <v/>
      </c>
      <c r="B10" s="131">
        <f>總資產!O10</f>
        <v/>
      </c>
      <c r="C10" s="7">
        <f>C11/A10</f>
        <v/>
      </c>
      <c r="D10" s="5" t="n"/>
      <c r="E10" s="131">
        <f>A3+A10+A17</f>
        <v/>
      </c>
      <c r="F10" s="131">
        <f>B3+B10+B17</f>
        <v/>
      </c>
      <c r="G10" s="7">
        <f>G11/E10</f>
        <v/>
      </c>
    </row>
    <row r="11" ht="18" customHeight="1">
      <c r="A11" s="46" t="n"/>
      <c r="B11" s="46" t="n"/>
      <c r="C11" s="132">
        <f>B10-A10</f>
        <v/>
      </c>
      <c r="D11" s="5" t="n"/>
      <c r="E11" s="46" t="n"/>
      <c r="F11" s="46" t="n"/>
      <c r="G11" s="134">
        <f>F10-E10</f>
        <v/>
      </c>
    </row>
    <row r="12">
      <c r="A12" s="5" t="n"/>
      <c r="B12" s="22" t="n"/>
      <c r="C12" s="133" t="n"/>
      <c r="D12" s="5" t="n"/>
      <c r="E12" s="5" t="n"/>
      <c r="F12" s="5" t="n"/>
      <c r="G12" s="5" t="n"/>
    </row>
    <row r="13">
      <c r="A13" s="5" t="n"/>
      <c r="B13" s="22" t="n"/>
      <c r="C13" s="133" t="n"/>
      <c r="D13" s="5" t="n"/>
      <c r="E13" s="5" t="n"/>
      <c r="F13" s="5" t="n"/>
      <c r="G13" s="5" t="n"/>
    </row>
    <row r="14">
      <c r="A14" s="5" t="n"/>
      <c r="B14" s="22" t="n"/>
      <c r="C14" s="133" t="n"/>
      <c r="D14" s="5" t="n"/>
      <c r="E14" s="5" t="n"/>
      <c r="F14" s="5" t="n"/>
      <c r="G14" s="5" t="n"/>
    </row>
    <row r="15" ht="21" customHeight="1">
      <c r="A15" s="125" t="inlineStr">
        <is>
          <t>加密貨幣</t>
        </is>
      </c>
      <c r="B15" s="44" t="n"/>
      <c r="C15" s="42" t="n"/>
      <c r="D15" s="5" t="n"/>
      <c r="E15" s="12" t="n"/>
      <c r="F15" s="12" t="n"/>
      <c r="G15" s="12" t="n"/>
      <c r="H15" s="13" t="n"/>
      <c r="I15" s="13" t="n"/>
      <c r="J15" s="13" t="n"/>
    </row>
    <row r="16" ht="18.75" customHeight="1">
      <c r="A16" s="4" t="inlineStr">
        <is>
          <t>總成本</t>
        </is>
      </c>
      <c r="B16" s="4" t="inlineStr">
        <is>
          <t>總現值</t>
        </is>
      </c>
      <c r="C16" s="4" t="inlineStr">
        <is>
          <t>報酬率(含息)</t>
        </is>
      </c>
      <c r="D16" s="12" t="n"/>
      <c r="E16" s="12" t="n"/>
      <c r="F16" s="12" t="n"/>
      <c r="G16" s="13" t="n"/>
      <c r="H16" s="13" t="n"/>
      <c r="I16" s="13" t="n"/>
      <c r="J16" s="13" t="n"/>
    </row>
    <row r="17" ht="18.75" customHeight="1">
      <c r="A17" s="131" t="n">
        <v>253581</v>
      </c>
      <c r="B17" s="131">
        <f>總資產!S10</f>
        <v/>
      </c>
      <c r="C17" s="7">
        <f>C18/A17</f>
        <v/>
      </c>
      <c r="D17" s="5" t="n"/>
      <c r="E17" s="12" t="n"/>
      <c r="F17" s="12" t="n"/>
      <c r="G17" s="12" t="n"/>
      <c r="H17" s="13" t="n"/>
      <c r="I17" s="13" t="n"/>
      <c r="J17" s="13" t="n"/>
    </row>
    <row r="18" ht="16.5" customFormat="1" customHeight="1" s="12">
      <c r="A18" s="46" t="n"/>
      <c r="B18" s="46" t="n"/>
      <c r="C18" s="132">
        <f>B17-A17</f>
        <v/>
      </c>
      <c r="D18" s="5" t="n"/>
      <c r="E18" s="5" t="n"/>
      <c r="F18" s="5" t="n"/>
      <c r="G18" s="5" t="n"/>
    </row>
    <row r="19" ht="16.5" customFormat="1" customHeight="1" s="12">
      <c r="A19" s="5" t="n"/>
      <c r="B19" s="22" t="n"/>
      <c r="C19" s="133" t="n"/>
      <c r="D19" s="5" t="n"/>
      <c r="E19" s="5" t="n"/>
      <c r="F19" s="5" t="n"/>
      <c r="G19" s="5" t="n"/>
    </row>
    <row r="20" ht="16.5" customFormat="1" customHeight="1" s="12">
      <c r="A20" s="5" t="n"/>
      <c r="B20" s="22" t="n"/>
      <c r="C20" s="133" t="n"/>
      <c r="D20" s="5" t="n"/>
      <c r="E20" s="5" t="n"/>
      <c r="F20" s="5" t="n"/>
      <c r="G20" s="5" t="n"/>
    </row>
    <row r="21" ht="16.5" customFormat="1" customHeight="1" s="12">
      <c r="A21" s="5" t="n"/>
      <c r="B21" s="22" t="n"/>
      <c r="C21" s="133" t="n"/>
      <c r="D21" s="5" t="n"/>
      <c r="E21" s="5" t="n"/>
      <c r="F21" s="5" t="n"/>
      <c r="G21" s="5" t="n"/>
    </row>
    <row r="22" ht="16.5" customFormat="1" customHeight="1" s="12">
      <c r="A22" s="5" t="n"/>
      <c r="B22" s="22" t="n"/>
      <c r="C22" s="133" t="n"/>
      <c r="D22" s="5" t="n"/>
      <c r="E22" s="5" t="n"/>
      <c r="F22" s="5" t="n"/>
      <c r="G22" s="5" t="n"/>
    </row>
    <row r="23" ht="16.5" customFormat="1" customHeight="1" s="12">
      <c r="A23" s="5" t="n"/>
      <c r="B23" s="22" t="n"/>
      <c r="C23" s="133" t="n"/>
      <c r="D23" s="5" t="n"/>
      <c r="E23" s="5" t="n"/>
      <c r="F23" s="5" t="n"/>
      <c r="G23" s="5" t="n"/>
    </row>
    <row r="24" ht="16.5" customFormat="1" customHeight="1" s="12">
      <c r="A24" s="5" t="n"/>
      <c r="B24" s="22" t="n"/>
      <c r="C24" s="133" t="n"/>
      <c r="D24" s="5" t="n"/>
      <c r="E24" s="5" t="n"/>
      <c r="F24" s="5" t="n"/>
      <c r="G24" s="5" t="n"/>
    </row>
    <row r="25" ht="16.5" customFormat="1" customHeight="1" s="12">
      <c r="A25" s="5" t="n"/>
      <c r="B25" s="22" t="n"/>
      <c r="C25" s="133" t="n"/>
      <c r="D25" s="5" t="n"/>
      <c r="E25" s="5" t="n"/>
      <c r="F25" s="5" t="n"/>
      <c r="G25" s="5" t="n"/>
    </row>
    <row r="26" ht="16.5" customFormat="1" customHeight="1" s="12">
      <c r="A26" s="5" t="n"/>
      <c r="B26" s="22" t="n"/>
      <c r="C26" s="133" t="n"/>
      <c r="D26" s="5" t="n"/>
      <c r="E26" s="5" t="n"/>
      <c r="F26" s="5" t="n"/>
      <c r="G26" s="5" t="n"/>
    </row>
    <row r="27" ht="16.5" customFormat="1" customHeight="1" s="12">
      <c r="A27" s="5" t="n"/>
      <c r="B27" s="22" t="n"/>
      <c r="C27" s="133" t="n"/>
      <c r="D27" s="5" t="n"/>
      <c r="E27" s="5" t="n"/>
      <c r="F27" s="5" t="n"/>
      <c r="G27" s="5" t="n"/>
    </row>
    <row r="28" ht="16.5" customFormat="1" customHeight="1" s="12">
      <c r="A28" s="5" t="n"/>
      <c r="B28" s="22" t="n"/>
      <c r="C28" s="133" t="n"/>
      <c r="D28" s="5" t="n"/>
      <c r="E28" s="5" t="n"/>
      <c r="F28" s="5" t="n"/>
      <c r="G28" s="5" t="n"/>
    </row>
    <row r="29" ht="16.5" customFormat="1" customHeight="1" s="12">
      <c r="A29" s="5" t="n"/>
      <c r="B29" s="22" t="n"/>
      <c r="C29" s="133" t="n"/>
      <c r="D29" s="5" t="n"/>
      <c r="E29" s="5" t="n"/>
      <c r="F29" s="5" t="n"/>
      <c r="G29" s="5" t="n"/>
    </row>
    <row r="30" ht="16.5" customFormat="1" customHeight="1" s="12">
      <c r="A30" s="5" t="n"/>
      <c r="B30" s="22" t="n"/>
      <c r="C30" s="133" t="n"/>
      <c r="D30" s="5" t="n"/>
      <c r="E30" s="5" t="n"/>
      <c r="F30" s="5" t="n"/>
      <c r="G30" s="5" t="n"/>
    </row>
    <row r="31" ht="16.5" customFormat="1" customHeight="1" s="12">
      <c r="A31" s="5" t="n"/>
      <c r="B31" s="22" t="n"/>
      <c r="C31" s="133" t="n"/>
      <c r="D31" s="5" t="n"/>
      <c r="E31" s="5" t="n"/>
      <c r="F31" s="5" t="n"/>
      <c r="G31" s="5" t="n"/>
    </row>
    <row r="32" ht="16.5" customFormat="1" customHeight="1" s="12">
      <c r="A32" s="5" t="n"/>
      <c r="B32" s="22" t="n"/>
      <c r="C32" s="133" t="n"/>
      <c r="D32" s="5" t="n"/>
      <c r="E32" s="5" t="n"/>
      <c r="F32" s="5" t="n"/>
      <c r="G32" s="5" t="n"/>
    </row>
    <row r="33" ht="16.5" customFormat="1" customHeight="1" s="12">
      <c r="A33" s="5" t="n"/>
      <c r="B33" s="22" t="n"/>
      <c r="C33" s="133" t="n"/>
      <c r="D33" s="5" t="n"/>
      <c r="E33" s="5" t="n"/>
      <c r="F33" s="5" t="n"/>
      <c r="G33" s="5" t="n"/>
    </row>
    <row r="34" ht="16.5" customFormat="1" customHeight="1" s="12">
      <c r="A34" s="5" t="n"/>
      <c r="B34" s="22" t="n"/>
      <c r="C34" s="133" t="n"/>
      <c r="D34" s="5" t="n"/>
      <c r="E34" s="5" t="n"/>
      <c r="F34" s="5" t="n"/>
      <c r="G34" s="5" t="n"/>
    </row>
    <row r="35" ht="16.5" customFormat="1" customHeight="1" s="12">
      <c r="A35" s="5" t="n"/>
      <c r="B35" s="22" t="n"/>
      <c r="C35" s="133" t="n"/>
      <c r="D35" s="5" t="n"/>
      <c r="E35" s="5" t="n"/>
      <c r="F35" s="5" t="n"/>
      <c r="G35" s="5" t="n"/>
    </row>
    <row r="36" ht="16.5" customFormat="1" customHeight="1" s="12">
      <c r="A36" s="5" t="n"/>
      <c r="B36" s="22" t="n"/>
      <c r="C36" s="133" t="n"/>
      <c r="D36" s="5" t="n"/>
      <c r="E36" s="5" t="n"/>
      <c r="F36" s="5" t="n"/>
      <c r="G36" s="5" t="n"/>
    </row>
    <row r="37" ht="16.5" customFormat="1" customHeight="1" s="12">
      <c r="A37" s="5" t="n"/>
      <c r="B37" s="22" t="n"/>
      <c r="C37" s="133" t="n"/>
      <c r="D37" s="5" t="n"/>
      <c r="E37" s="5" t="n"/>
      <c r="F37" s="5" t="n"/>
      <c r="G37" s="5" t="n"/>
    </row>
    <row r="38" ht="16.5" customFormat="1" customHeight="1" s="12">
      <c r="A38" s="5" t="n"/>
      <c r="B38" s="22" t="n"/>
      <c r="C38" s="133" t="n"/>
      <c r="D38" s="5" t="n"/>
      <c r="E38" s="5" t="n"/>
      <c r="F38" s="5" t="n"/>
      <c r="G38" s="5" t="n"/>
    </row>
    <row r="39" ht="16.5" customFormat="1" customHeight="1" s="12">
      <c r="A39" s="5" t="n"/>
      <c r="B39" s="22" t="n"/>
      <c r="C39" s="133" t="n"/>
      <c r="D39" s="5" t="n"/>
      <c r="E39" s="5" t="n"/>
      <c r="F39" s="5" t="n"/>
      <c r="G39" s="5" t="n"/>
    </row>
    <row r="40" ht="16.5" customFormat="1" customHeight="1" s="12">
      <c r="A40" s="5" t="n"/>
      <c r="B40" s="22" t="n"/>
      <c r="C40" s="133" t="n"/>
      <c r="D40" s="5" t="n"/>
      <c r="E40" s="5" t="n"/>
      <c r="F40" s="5" t="n"/>
      <c r="G40" s="5" t="n"/>
    </row>
    <row r="41" ht="16.5" customFormat="1" customHeight="1" s="12">
      <c r="A41" s="5" t="n"/>
      <c r="B41" s="22" t="n"/>
      <c r="C41" s="133" t="n"/>
      <c r="D41" s="5" t="n"/>
      <c r="E41" s="5" t="n"/>
      <c r="F41" s="5" t="n"/>
      <c r="G41" s="5" t="n"/>
    </row>
    <row r="42" ht="16.5" customFormat="1" customHeight="1" s="12">
      <c r="A42" s="5" t="n"/>
      <c r="B42" s="22" t="n"/>
      <c r="C42" s="133" t="n"/>
      <c r="D42" s="5" t="n"/>
      <c r="E42" s="5" t="n"/>
      <c r="F42" s="5" t="n"/>
      <c r="G42" s="5" t="n"/>
    </row>
    <row r="43" ht="16.5" customFormat="1" customHeight="1" s="12">
      <c r="A43" s="5" t="n"/>
      <c r="B43" s="22" t="n"/>
      <c r="C43" s="133" t="n"/>
      <c r="D43" s="5" t="n"/>
      <c r="E43" s="5" t="n"/>
      <c r="F43" s="5" t="n"/>
      <c r="G43" s="5" t="n"/>
    </row>
    <row r="44" ht="16.5" customFormat="1" customHeight="1" s="12">
      <c r="A44" s="5" t="n"/>
      <c r="B44" s="22" t="n"/>
      <c r="C44" s="133" t="n"/>
      <c r="D44" s="5" t="n"/>
      <c r="E44" s="5" t="n"/>
      <c r="F44" s="5" t="n"/>
      <c r="G44" s="5" t="n"/>
    </row>
    <row r="45" ht="16.5" customFormat="1" customHeight="1" s="12">
      <c r="A45" s="5" t="n"/>
      <c r="B45" s="22" t="n"/>
      <c r="C45" s="133" t="n"/>
      <c r="D45" s="5" t="n"/>
      <c r="E45" s="5" t="n"/>
      <c r="F45" s="5" t="n"/>
      <c r="G45" s="5" t="n"/>
    </row>
    <row r="46" ht="16.5" customFormat="1" customHeight="1" s="12">
      <c r="A46" s="5" t="n"/>
      <c r="B46" s="22" t="n"/>
      <c r="C46" s="133" t="n"/>
      <c r="D46" s="5" t="n"/>
      <c r="E46" s="5" t="n"/>
      <c r="F46" s="5" t="n"/>
      <c r="G46" s="5" t="n"/>
    </row>
    <row r="47" ht="16.5" customFormat="1" customHeight="1" s="12">
      <c r="A47" s="5" t="n"/>
      <c r="B47" s="22" t="n"/>
      <c r="C47" s="133" t="n"/>
      <c r="D47" s="5" t="n"/>
      <c r="E47" s="5" t="n"/>
      <c r="F47" s="5" t="n"/>
      <c r="G47" s="5" t="n"/>
    </row>
    <row r="48" ht="16.5" customFormat="1" customHeight="1" s="12">
      <c r="A48" s="5" t="n"/>
      <c r="B48" s="22" t="n"/>
      <c r="C48" s="133" t="n"/>
      <c r="D48" s="5" t="n"/>
      <c r="E48" s="5" t="n"/>
      <c r="F48" s="5" t="n"/>
      <c r="G48" s="5" t="n"/>
    </row>
    <row r="49" ht="16.5" customFormat="1" customHeight="1" s="12">
      <c r="A49" s="5" t="n"/>
      <c r="B49" s="22" t="n"/>
      <c r="C49" s="133" t="n"/>
      <c r="D49" s="5" t="n"/>
      <c r="E49" s="5" t="n"/>
      <c r="F49" s="5" t="n"/>
      <c r="G49" s="5" t="n"/>
    </row>
    <row r="50" ht="16.5" customFormat="1" customHeight="1" s="12">
      <c r="A50" s="5" t="n"/>
      <c r="B50" s="22" t="n"/>
      <c r="C50" s="133" t="n"/>
      <c r="D50" s="5" t="n"/>
      <c r="E50" s="5" t="n"/>
      <c r="F50" s="5" t="n"/>
      <c r="G50" s="5" t="n"/>
    </row>
    <row r="51" ht="16.5" customFormat="1" customHeight="1" s="12">
      <c r="A51" s="5" t="n"/>
      <c r="B51" s="22" t="n"/>
      <c r="C51" s="133" t="n"/>
      <c r="D51" s="5" t="n"/>
      <c r="E51" s="5" t="n"/>
      <c r="F51" s="5" t="n"/>
      <c r="G51" s="5" t="n"/>
    </row>
    <row r="52" ht="16.5" customFormat="1" customHeight="1" s="12">
      <c r="A52" s="5" t="n"/>
      <c r="B52" s="22" t="n"/>
      <c r="C52" s="133" t="n"/>
      <c r="D52" s="5" t="n"/>
      <c r="E52" s="5" t="n"/>
      <c r="F52" s="5" t="n"/>
      <c r="G52" s="5" t="n"/>
    </row>
    <row r="53" ht="16.5" customFormat="1" customHeight="1" s="12">
      <c r="A53" s="5" t="n"/>
      <c r="B53" s="22" t="n"/>
      <c r="C53" s="133" t="n"/>
      <c r="D53" s="5" t="n"/>
      <c r="E53" s="5" t="n"/>
      <c r="F53" s="5" t="n"/>
      <c r="G53" s="5" t="n"/>
    </row>
    <row r="54" ht="16.5" customFormat="1" customHeight="1" s="12">
      <c r="A54" s="5" t="n"/>
      <c r="B54" s="22" t="n"/>
      <c r="C54" s="133" t="n"/>
      <c r="D54" s="5" t="n"/>
      <c r="E54" s="5" t="n"/>
      <c r="F54" s="5" t="n"/>
      <c r="G54" s="5" t="n"/>
    </row>
    <row r="55" ht="16.5" customFormat="1" customHeight="1" s="12">
      <c r="A55" s="5" t="n"/>
      <c r="B55" s="22" t="n"/>
      <c r="C55" s="133" t="n"/>
      <c r="D55" s="5" t="n"/>
      <c r="E55" s="5" t="n"/>
      <c r="F55" s="5" t="n"/>
      <c r="G55" s="5" t="n"/>
    </row>
    <row r="56" ht="16.5" customFormat="1" customHeight="1" s="12">
      <c r="A56" s="5" t="n"/>
      <c r="B56" s="22" t="n"/>
      <c r="C56" s="133" t="n"/>
      <c r="D56" s="5" t="n"/>
      <c r="E56" s="5" t="n"/>
      <c r="F56" s="5" t="n"/>
      <c r="G56" s="5" t="n"/>
    </row>
    <row r="57" ht="16.5" customFormat="1" customHeight="1" s="12">
      <c r="A57" s="5" t="n"/>
      <c r="B57" s="22" t="n"/>
      <c r="C57" s="133" t="n"/>
      <c r="D57" s="5" t="n"/>
      <c r="E57" s="5" t="n"/>
      <c r="F57" s="5" t="n"/>
      <c r="G57" s="5" t="n"/>
    </row>
    <row r="58" ht="16.5" customFormat="1" customHeight="1" s="12">
      <c r="A58" s="5" t="n"/>
      <c r="B58" s="22" t="n"/>
      <c r="C58" s="133" t="n"/>
      <c r="D58" s="5" t="n"/>
      <c r="E58" s="5" t="n"/>
      <c r="F58" s="5" t="n"/>
      <c r="G58" s="5" t="n"/>
    </row>
    <row r="59" ht="16.5" customFormat="1" customHeight="1" s="12">
      <c r="A59" s="5" t="n"/>
      <c r="B59" s="22" t="n"/>
      <c r="C59" s="133" t="n"/>
      <c r="D59" s="5" t="n"/>
      <c r="E59" s="5" t="n"/>
      <c r="F59" s="5" t="n"/>
      <c r="G59" s="5" t="n"/>
    </row>
    <row r="60" ht="16.5" customFormat="1" customHeight="1" s="12">
      <c r="A60" s="5" t="n"/>
      <c r="B60" s="22" t="n"/>
      <c r="C60" s="133" t="n"/>
      <c r="D60" s="5" t="n"/>
      <c r="E60" s="5" t="n"/>
      <c r="F60" s="5" t="n"/>
      <c r="G60" s="5" t="n"/>
    </row>
    <row r="61" ht="16.5" customFormat="1" customHeight="1" s="12">
      <c r="A61" s="5" t="n"/>
      <c r="B61" s="22" t="n"/>
      <c r="C61" s="133" t="n"/>
      <c r="D61" s="5" t="n"/>
      <c r="E61" s="5" t="n"/>
      <c r="F61" s="5" t="n"/>
      <c r="G61" s="5" t="n"/>
    </row>
    <row r="62" ht="16.5" customFormat="1" customHeight="1" s="12">
      <c r="A62" s="5" t="n"/>
      <c r="B62" s="22" t="n"/>
      <c r="C62" s="133" t="n"/>
      <c r="D62" s="5" t="n"/>
      <c r="E62" s="5" t="n"/>
      <c r="F62" s="5" t="n"/>
      <c r="G62" s="5" t="n"/>
    </row>
    <row r="63" ht="16.5" customFormat="1" customHeight="1" s="12">
      <c r="A63" s="5" t="n"/>
      <c r="B63" s="22" t="n"/>
      <c r="C63" s="133" t="n"/>
      <c r="D63" s="5" t="n"/>
      <c r="E63" s="5" t="n"/>
      <c r="F63" s="5" t="n"/>
      <c r="G63" s="5" t="n"/>
    </row>
    <row r="64" ht="16.5" customFormat="1" customHeight="1" s="12">
      <c r="A64" s="5" t="n"/>
      <c r="B64" s="22" t="n"/>
      <c r="C64" s="133" t="n"/>
      <c r="D64" s="5" t="n"/>
      <c r="E64" s="5" t="n"/>
      <c r="F64" s="5" t="n"/>
      <c r="G64" s="5" t="n"/>
    </row>
    <row r="65" ht="16.5" customFormat="1" customHeight="1" s="12">
      <c r="A65" s="5" t="n"/>
      <c r="B65" s="22" t="n"/>
      <c r="C65" s="133" t="n"/>
      <c r="D65" s="5" t="n"/>
      <c r="E65" s="5" t="n"/>
      <c r="F65" s="5" t="n"/>
      <c r="G65" s="5" t="n"/>
    </row>
    <row r="66" ht="16.5" customFormat="1" customHeight="1" s="12">
      <c r="A66" s="5" t="n"/>
      <c r="B66" s="22" t="n"/>
      <c r="C66" s="133" t="n"/>
      <c r="D66" s="5" t="n"/>
      <c r="E66" s="5" t="n"/>
      <c r="F66" s="5" t="n"/>
      <c r="G66" s="5" t="n"/>
    </row>
    <row r="67" ht="16.5" customFormat="1" customHeight="1" s="12">
      <c r="A67" s="5" t="n"/>
      <c r="B67" s="22" t="n"/>
      <c r="C67" s="133" t="n"/>
      <c r="D67" s="5" t="n"/>
      <c r="E67" s="5" t="n"/>
      <c r="F67" s="5" t="n"/>
      <c r="G67" s="5" t="n"/>
    </row>
    <row r="68" ht="16.5" customFormat="1" customHeight="1" s="12">
      <c r="A68" s="5" t="n"/>
      <c r="B68" s="22" t="n"/>
      <c r="C68" s="133" t="n"/>
      <c r="D68" s="5" t="n"/>
      <c r="E68" s="5" t="n"/>
      <c r="F68" s="5" t="n"/>
      <c r="G68" s="5" t="n"/>
    </row>
    <row r="69" ht="16.5" customFormat="1" customHeight="1" s="12">
      <c r="A69" s="5" t="n"/>
      <c r="B69" s="22" t="n"/>
      <c r="C69" s="133" t="n"/>
      <c r="D69" s="5" t="n"/>
      <c r="E69" s="5" t="n"/>
      <c r="F69" s="5" t="n"/>
      <c r="G69" s="5" t="n"/>
    </row>
    <row r="70" ht="16.5" customFormat="1" customHeight="1" s="12">
      <c r="A70" s="5" t="n"/>
      <c r="B70" s="22" t="n"/>
      <c r="C70" s="133" t="n"/>
      <c r="D70" s="5" t="n"/>
      <c r="E70" s="5" t="n"/>
      <c r="F70" s="5" t="n"/>
      <c r="G70" s="5" t="n"/>
    </row>
    <row r="71" ht="16.5" customFormat="1" customHeight="1" s="12">
      <c r="A71" s="5" t="n"/>
      <c r="B71" s="22" t="n"/>
      <c r="C71" s="133" t="n"/>
      <c r="D71" s="5" t="n"/>
      <c r="E71" s="5" t="n"/>
      <c r="F71" s="5" t="n"/>
      <c r="G71" s="5" t="n"/>
    </row>
    <row r="72" ht="16.5" customFormat="1" customHeight="1" s="12">
      <c r="A72" s="5" t="n"/>
      <c r="B72" s="22" t="n"/>
      <c r="C72" s="133" t="n"/>
      <c r="D72" s="5" t="n"/>
      <c r="E72" s="5" t="n"/>
      <c r="F72" s="5" t="n"/>
      <c r="G72" s="5" t="n"/>
    </row>
    <row r="73" ht="16.5" customFormat="1" customHeight="1" s="12">
      <c r="A73" s="5" t="n"/>
      <c r="B73" s="22" t="n"/>
      <c r="C73" s="133" t="n"/>
      <c r="D73" s="5" t="n"/>
      <c r="E73" s="5" t="n"/>
      <c r="F73" s="5" t="n"/>
      <c r="G73" s="5" t="n"/>
    </row>
    <row r="74" ht="16.5" customFormat="1" customHeight="1" s="12">
      <c r="A74" s="5" t="n"/>
      <c r="B74" s="22" t="n"/>
      <c r="C74" s="133" t="n"/>
      <c r="D74" s="5" t="n"/>
      <c r="E74" s="5" t="n"/>
      <c r="F74" s="5" t="n"/>
      <c r="G74" s="5" t="n"/>
    </row>
    <row r="75" ht="16.5" customFormat="1" customHeight="1" s="12">
      <c r="A75" s="5" t="n"/>
      <c r="B75" s="22" t="n"/>
      <c r="C75" s="133" t="n"/>
      <c r="D75" s="5" t="n"/>
      <c r="E75" s="5" t="n"/>
      <c r="F75" s="5" t="n"/>
      <c r="G75" s="5" t="n"/>
    </row>
    <row r="76" ht="16.5" customFormat="1" customHeight="1" s="12">
      <c r="A76" s="5" t="n"/>
      <c r="B76" s="22" t="n"/>
      <c r="C76" s="133" t="n"/>
      <c r="D76" s="5" t="n"/>
      <c r="E76" s="5" t="n"/>
      <c r="F76" s="5" t="n"/>
      <c r="G76" s="5" t="n"/>
    </row>
    <row r="77" ht="16.5" customFormat="1" customHeight="1" s="12">
      <c r="A77" s="5" t="n"/>
      <c r="B77" s="22" t="n"/>
      <c r="C77" s="133" t="n"/>
      <c r="D77" s="5" t="n"/>
      <c r="E77" s="5" t="n"/>
      <c r="F77" s="5" t="n"/>
      <c r="G77" s="5" t="n"/>
    </row>
    <row r="78" ht="16.5" customFormat="1" customHeight="1" s="12">
      <c r="A78" s="5" t="n"/>
      <c r="B78" s="22" t="n"/>
      <c r="C78" s="133" t="n"/>
      <c r="D78" s="5" t="n"/>
      <c r="E78" s="5" t="n"/>
      <c r="F78" s="5" t="n"/>
      <c r="G78" s="5" t="n"/>
    </row>
    <row r="79" ht="16.5" customFormat="1" customHeight="1" s="12">
      <c r="A79" s="5" t="n"/>
      <c r="B79" s="22" t="n"/>
      <c r="C79" s="133" t="n"/>
      <c r="D79" s="5" t="n"/>
      <c r="E79" s="5" t="n"/>
      <c r="F79" s="5" t="n"/>
      <c r="G79" s="5" t="n"/>
    </row>
    <row r="80" ht="16.5" customFormat="1" customHeight="1" s="12">
      <c r="A80" s="5" t="n"/>
      <c r="B80" s="22" t="n"/>
      <c r="C80" s="133" t="n"/>
      <c r="D80" s="5" t="n"/>
      <c r="E80" s="5" t="n"/>
      <c r="F80" s="5" t="n"/>
      <c r="G80" s="5" t="n"/>
    </row>
    <row r="81" ht="16.5" customFormat="1" customHeight="1" s="12">
      <c r="A81" s="5" t="n"/>
      <c r="B81" s="22" t="n"/>
      <c r="C81" s="133" t="n"/>
      <c r="D81" s="5" t="n"/>
      <c r="E81" s="5" t="n"/>
      <c r="F81" s="5" t="n"/>
      <c r="G81" s="5" t="n"/>
    </row>
    <row r="82" ht="16.5" customFormat="1" customHeight="1" s="12">
      <c r="A82" s="5" t="n"/>
      <c r="B82" s="22" t="n"/>
      <c r="C82" s="133" t="n"/>
      <c r="D82" s="5" t="n"/>
      <c r="E82" s="5" t="n"/>
      <c r="F82" s="5" t="n"/>
      <c r="G82" s="5" t="n"/>
    </row>
    <row r="83" ht="16.5" customFormat="1" customHeight="1" s="12">
      <c r="A83" s="5" t="n"/>
      <c r="B83" s="22" t="n"/>
      <c r="C83" s="133" t="n"/>
      <c r="D83" s="5" t="n"/>
      <c r="E83" s="5" t="n"/>
      <c r="F83" s="5" t="n"/>
      <c r="G83" s="5" t="n"/>
    </row>
    <row r="84" ht="16.5" customFormat="1" customHeight="1" s="12">
      <c r="A84" s="5" t="n"/>
      <c r="B84" s="22" t="n"/>
      <c r="C84" s="133" t="n"/>
      <c r="D84" s="5" t="n"/>
      <c r="E84" s="5" t="n"/>
      <c r="F84" s="5" t="n"/>
      <c r="G84" s="5" t="n"/>
    </row>
    <row r="85" ht="16.5" customFormat="1" customHeight="1" s="12">
      <c r="A85" s="5" t="n"/>
      <c r="B85" s="22" t="n"/>
      <c r="C85" s="133" t="n"/>
      <c r="D85" s="5" t="n"/>
      <c r="E85" s="5" t="n"/>
      <c r="F85" s="5" t="n"/>
      <c r="G85" s="5" t="n"/>
    </row>
    <row r="86" ht="16.5" customFormat="1" customHeight="1" s="12">
      <c r="A86" s="5" t="n"/>
      <c r="B86" s="22" t="n"/>
      <c r="C86" s="133" t="n"/>
      <c r="D86" s="5" t="n"/>
      <c r="E86" s="5" t="n"/>
      <c r="F86" s="5" t="n"/>
      <c r="G86" s="5" t="n"/>
    </row>
    <row r="87" ht="16.5" customFormat="1" customHeight="1" s="12">
      <c r="A87" s="5" t="n"/>
      <c r="B87" s="22" t="n"/>
      <c r="C87" s="133" t="n"/>
      <c r="D87" s="5" t="n"/>
      <c r="E87" s="5" t="n"/>
      <c r="F87" s="5" t="n"/>
      <c r="G87" s="5" t="n"/>
    </row>
    <row r="88" ht="16.5" customFormat="1" customHeight="1" s="12">
      <c r="A88" s="5" t="n"/>
      <c r="B88" s="22" t="n"/>
      <c r="C88" s="133" t="n"/>
      <c r="D88" s="5" t="n"/>
      <c r="E88" s="5" t="n"/>
      <c r="F88" s="5" t="n"/>
      <c r="G88" s="5" t="n"/>
    </row>
    <row r="89" ht="16.5" customFormat="1" customHeight="1" s="12">
      <c r="A89" s="5" t="n"/>
      <c r="B89" s="22" t="n"/>
      <c r="C89" s="133" t="n"/>
      <c r="D89" s="5" t="n"/>
      <c r="E89" s="5" t="n"/>
      <c r="F89" s="5" t="n"/>
      <c r="G89" s="5" t="n"/>
    </row>
    <row r="90" ht="16.5" customFormat="1" customHeight="1" s="12">
      <c r="A90" s="5" t="n"/>
      <c r="B90" s="22" t="n"/>
      <c r="C90" s="133" t="n"/>
      <c r="D90" s="5" t="n"/>
      <c r="E90" s="5" t="n"/>
      <c r="F90" s="5" t="n"/>
      <c r="G90" s="5" t="n"/>
    </row>
    <row r="91" ht="16.5" customFormat="1" customHeight="1" s="12">
      <c r="A91" s="5" t="n"/>
      <c r="B91" s="22" t="n"/>
      <c r="C91" s="133" t="n"/>
      <c r="D91" s="5" t="n"/>
      <c r="E91" s="5" t="n"/>
      <c r="F91" s="5" t="n"/>
      <c r="G91" s="5" t="n"/>
    </row>
    <row r="92" ht="16.5" customFormat="1" customHeight="1" s="12">
      <c r="A92" s="5" t="n"/>
      <c r="B92" s="22" t="n"/>
      <c r="C92" s="133" t="n"/>
      <c r="D92" s="5" t="n"/>
      <c r="E92" s="5" t="n"/>
      <c r="F92" s="5" t="n"/>
      <c r="G92" s="5" t="n"/>
    </row>
    <row r="93" ht="16.5" customFormat="1" customHeight="1" s="12">
      <c r="A93" s="5" t="n"/>
      <c r="B93" s="22" t="n"/>
      <c r="C93" s="133" t="n"/>
      <c r="D93" s="5" t="n"/>
      <c r="E93" s="5" t="n"/>
      <c r="F93" s="5" t="n"/>
      <c r="G93" s="5" t="n"/>
    </row>
    <row r="94" ht="16.5" customFormat="1" customHeight="1" s="12">
      <c r="A94" s="5" t="n"/>
      <c r="B94" s="22" t="n"/>
      <c r="C94" s="133" t="n"/>
      <c r="D94" s="5" t="n"/>
      <c r="E94" s="5" t="n"/>
      <c r="F94" s="5" t="n"/>
      <c r="G94" s="5" t="n"/>
    </row>
    <row r="95" ht="16.5" customFormat="1" customHeight="1" s="12">
      <c r="A95" s="5" t="n"/>
      <c r="B95" s="22" t="n"/>
      <c r="C95" s="133" t="n"/>
      <c r="D95" s="5" t="n"/>
      <c r="E95" s="5" t="n"/>
      <c r="F95" s="5" t="n"/>
      <c r="G95" s="5" t="n"/>
    </row>
    <row r="96" ht="16.5" customFormat="1" customHeight="1" s="12">
      <c r="A96" s="5" t="n"/>
      <c r="B96" s="22" t="n"/>
      <c r="C96" s="133" t="n"/>
      <c r="D96" s="5" t="n"/>
      <c r="E96" s="5" t="n"/>
      <c r="F96" s="5" t="n"/>
      <c r="G96" s="5" t="n"/>
    </row>
    <row r="97" ht="16.5" customFormat="1" customHeight="1" s="12">
      <c r="A97" s="5" t="n"/>
      <c r="B97" s="22" t="n"/>
      <c r="C97" s="133" t="n"/>
      <c r="D97" s="5" t="n"/>
      <c r="E97" s="5" t="n"/>
      <c r="F97" s="5" t="n"/>
      <c r="G97" s="5" t="n"/>
    </row>
    <row r="98" ht="16.5" customFormat="1" customHeight="1" s="12">
      <c r="A98" s="5" t="n"/>
      <c r="B98" s="22" t="n"/>
      <c r="C98" s="133" t="n"/>
      <c r="D98" s="5" t="n"/>
      <c r="E98" s="5" t="n"/>
      <c r="F98" s="5" t="n"/>
      <c r="G98" s="5" t="n"/>
    </row>
    <row r="99" ht="16.5" customFormat="1" customHeight="1" s="12">
      <c r="A99" s="5" t="n"/>
      <c r="B99" s="22" t="n"/>
      <c r="C99" s="133" t="n"/>
      <c r="D99" s="5" t="n"/>
      <c r="E99" s="5" t="n"/>
      <c r="F99" s="5" t="n"/>
      <c r="G99" s="5" t="n"/>
    </row>
    <row r="100" ht="16.5" customFormat="1" customHeight="1" s="12">
      <c r="A100" s="5" t="n"/>
      <c r="B100" s="22" t="n"/>
      <c r="C100" s="133" t="n"/>
      <c r="D100" s="5" t="n"/>
      <c r="E100" s="5" t="n"/>
      <c r="F100" s="5" t="n"/>
      <c r="G100" s="5" t="n"/>
    </row>
    <row r="101" ht="16.5" customFormat="1" customHeight="1" s="12">
      <c r="A101" s="5" t="n"/>
      <c r="B101" s="22" t="n"/>
      <c r="C101" s="133" t="n"/>
      <c r="D101" s="5" t="n"/>
      <c r="E101" s="5" t="n"/>
      <c r="F101" s="5" t="n"/>
      <c r="G101" s="5" t="n"/>
    </row>
    <row r="102" ht="16.5" customFormat="1" customHeight="1" s="12">
      <c r="A102" s="5" t="n"/>
      <c r="B102" s="22" t="n"/>
      <c r="C102" s="133" t="n"/>
      <c r="D102" s="5" t="n"/>
      <c r="E102" s="5" t="n"/>
      <c r="F102" s="5" t="n"/>
      <c r="G102" s="5" t="n"/>
    </row>
    <row r="103" ht="16.5" customFormat="1" customHeight="1" s="12">
      <c r="A103" s="5" t="n"/>
      <c r="B103" s="22" t="n"/>
      <c r="C103" s="133" t="n"/>
      <c r="D103" s="5" t="n"/>
      <c r="E103" s="5" t="n"/>
      <c r="F103" s="5" t="n"/>
      <c r="G103" s="5" t="n"/>
    </row>
    <row r="104" ht="16.5" customFormat="1" customHeight="1" s="12">
      <c r="A104" s="5" t="n"/>
      <c r="B104" s="22" t="n"/>
      <c r="C104" s="133" t="n"/>
      <c r="D104" s="5" t="n"/>
      <c r="E104" s="5" t="n"/>
      <c r="F104" s="5" t="n"/>
      <c r="G104" s="5" t="n"/>
    </row>
    <row r="105" ht="16.5" customFormat="1" customHeight="1" s="12">
      <c r="A105" s="5" t="n"/>
      <c r="B105" s="22" t="n"/>
      <c r="C105" s="133" t="n"/>
      <c r="D105" s="5" t="n"/>
      <c r="E105" s="5" t="n"/>
      <c r="F105" s="5" t="n"/>
      <c r="G105" s="5" t="n"/>
    </row>
    <row r="106" ht="16.5" customFormat="1" customHeight="1" s="12">
      <c r="A106" s="5" t="n"/>
      <c r="B106" s="22" t="n"/>
      <c r="C106" s="133" t="n"/>
      <c r="D106" s="5" t="n"/>
      <c r="E106" s="5" t="n"/>
      <c r="F106" s="5" t="n"/>
      <c r="G106" s="5" t="n"/>
    </row>
    <row r="107" ht="16.5" customFormat="1" customHeight="1" s="12">
      <c r="A107" s="5" t="n"/>
      <c r="B107" s="22" t="n"/>
      <c r="C107" s="133" t="n"/>
      <c r="D107" s="5" t="n"/>
      <c r="E107" s="5" t="n"/>
      <c r="F107" s="5" t="n"/>
      <c r="G107" s="5" t="n"/>
    </row>
    <row r="108" ht="16.5" customFormat="1" customHeight="1" s="12">
      <c r="A108" s="5" t="n"/>
      <c r="B108" s="22" t="n"/>
      <c r="C108" s="133" t="n"/>
      <c r="D108" s="5" t="n"/>
      <c r="E108" s="5" t="n"/>
      <c r="F108" s="5" t="n"/>
      <c r="G108" s="5" t="n"/>
    </row>
    <row r="109" ht="16.5" customFormat="1" customHeight="1" s="12">
      <c r="A109" s="5" t="n"/>
      <c r="B109" s="22" t="n"/>
      <c r="C109" s="133" t="n"/>
      <c r="D109" s="5" t="n"/>
      <c r="E109" s="5" t="n"/>
      <c r="F109" s="5" t="n"/>
      <c r="G109" s="5" t="n"/>
    </row>
    <row r="110" ht="16.5" customFormat="1" customHeight="1" s="12">
      <c r="A110" s="5" t="n"/>
      <c r="B110" s="22" t="n"/>
      <c r="C110" s="133" t="n"/>
      <c r="D110" s="5" t="n"/>
      <c r="E110" s="5" t="n"/>
      <c r="F110" s="5" t="n"/>
      <c r="G110" s="5" t="n"/>
    </row>
    <row r="111" ht="16.5" customFormat="1" customHeight="1" s="12">
      <c r="A111" s="5" t="n"/>
      <c r="B111" s="22" t="n"/>
      <c r="C111" s="133" t="n"/>
      <c r="D111" s="5" t="n"/>
      <c r="E111" s="5" t="n"/>
      <c r="F111" s="5" t="n"/>
      <c r="G111" s="5" t="n"/>
    </row>
    <row r="112" ht="16.5" customFormat="1" customHeight="1" s="12">
      <c r="A112" s="5" t="n"/>
      <c r="B112" s="22" t="n"/>
      <c r="C112" s="133" t="n"/>
      <c r="D112" s="5" t="n"/>
      <c r="E112" s="5" t="n"/>
      <c r="F112" s="5" t="n"/>
      <c r="G112" s="5" t="n"/>
    </row>
    <row r="113" ht="16.5" customFormat="1" customHeight="1" s="12">
      <c r="A113" s="5" t="n"/>
      <c r="B113" s="22" t="n"/>
      <c r="C113" s="133" t="n"/>
      <c r="D113" s="5" t="n"/>
      <c r="E113" s="5" t="n"/>
      <c r="F113" s="5" t="n"/>
      <c r="G113" s="5" t="n"/>
    </row>
    <row r="114" ht="16.5" customFormat="1" customHeight="1" s="12">
      <c r="A114" s="5" t="n"/>
      <c r="B114" s="22" t="n"/>
      <c r="C114" s="133" t="n"/>
      <c r="D114" s="5" t="n"/>
      <c r="E114" s="5" t="n"/>
      <c r="F114" s="5" t="n"/>
      <c r="G114" s="5" t="n"/>
    </row>
    <row r="115" ht="16.5" customFormat="1" customHeight="1" s="12">
      <c r="A115" s="5" t="n"/>
      <c r="B115" s="22" t="n"/>
      <c r="C115" s="133" t="n"/>
      <c r="D115" s="5" t="n"/>
      <c r="E115" s="5" t="n"/>
      <c r="F115" s="5" t="n"/>
      <c r="G115" s="5" t="n"/>
    </row>
    <row r="116" ht="16.5" customFormat="1" customHeight="1" s="12">
      <c r="A116" s="5" t="n"/>
      <c r="B116" s="22" t="n"/>
      <c r="C116" s="133" t="n"/>
      <c r="D116" s="5" t="n"/>
      <c r="E116" s="5" t="n"/>
      <c r="F116" s="5" t="n"/>
      <c r="G116" s="5" t="n"/>
    </row>
    <row r="117" ht="16.5" customFormat="1" customHeight="1" s="12">
      <c r="A117" s="5" t="n"/>
      <c r="B117" s="22" t="n"/>
      <c r="C117" s="133" t="n"/>
      <c r="D117" s="5" t="n"/>
      <c r="E117" s="5" t="n"/>
      <c r="F117" s="5" t="n"/>
      <c r="G117" s="5" t="n"/>
    </row>
    <row r="118" ht="16.5" customFormat="1" customHeight="1" s="12">
      <c r="A118" s="5" t="n"/>
      <c r="B118" s="22" t="n"/>
      <c r="C118" s="133" t="n"/>
      <c r="D118" s="5" t="n"/>
      <c r="E118" s="5" t="n"/>
      <c r="F118" s="5" t="n"/>
      <c r="G118" s="5" t="n"/>
    </row>
    <row r="119" ht="16.5" customFormat="1" customHeight="1" s="12">
      <c r="A119" s="5" t="n"/>
      <c r="B119" s="22" t="n"/>
      <c r="C119" s="133" t="n"/>
      <c r="D119" s="5" t="n"/>
      <c r="E119" s="5" t="n"/>
      <c r="F119" s="5" t="n"/>
      <c r="G119" s="5" t="n"/>
    </row>
    <row r="120" ht="16.5" customFormat="1" customHeight="1" s="12">
      <c r="A120" s="5" t="n"/>
      <c r="B120" s="22" t="n"/>
      <c r="C120" s="133" t="n"/>
      <c r="D120" s="5" t="n"/>
      <c r="E120" s="5" t="n"/>
      <c r="F120" s="5" t="n"/>
      <c r="G120" s="5" t="n"/>
    </row>
    <row r="121" ht="16.5" customFormat="1" customHeight="1" s="12">
      <c r="A121" s="5" t="n"/>
      <c r="B121" s="22" t="n"/>
      <c r="C121" s="133" t="n"/>
      <c r="D121" s="5" t="n"/>
      <c r="E121" s="5" t="n"/>
      <c r="F121" s="5" t="n"/>
      <c r="G121" s="5" t="n"/>
    </row>
    <row r="122" ht="16.5" customFormat="1" customHeight="1" s="12">
      <c r="A122" s="5" t="n"/>
      <c r="B122" s="22" t="n"/>
      <c r="C122" s="133" t="n"/>
      <c r="D122" s="5" t="n"/>
      <c r="E122" s="5" t="n"/>
      <c r="F122" s="5" t="n"/>
      <c r="G122" s="5" t="n"/>
    </row>
    <row r="123" ht="16.5" customFormat="1" customHeight="1" s="12">
      <c r="A123" s="5" t="n"/>
      <c r="B123" s="22" t="n"/>
      <c r="C123" s="133" t="n"/>
      <c r="D123" s="5" t="n"/>
      <c r="E123" s="5" t="n"/>
      <c r="F123" s="5" t="n"/>
      <c r="G123" s="5" t="n"/>
    </row>
    <row r="124" ht="16.5" customFormat="1" customHeight="1" s="12">
      <c r="A124" s="5" t="n"/>
      <c r="B124" s="22" t="n"/>
      <c r="C124" s="133" t="n"/>
      <c r="D124" s="5" t="n"/>
      <c r="E124" s="5" t="n"/>
      <c r="F124" s="5" t="n"/>
      <c r="G124" s="5" t="n"/>
    </row>
    <row r="125" ht="16.5" customFormat="1" customHeight="1" s="12">
      <c r="A125" s="5" t="n"/>
      <c r="B125" s="22" t="n"/>
      <c r="C125" s="133" t="n"/>
      <c r="D125" s="5" t="n"/>
      <c r="E125" s="5" t="n"/>
      <c r="F125" s="5" t="n"/>
      <c r="G125" s="5" t="n"/>
    </row>
    <row r="126" ht="16.5" customFormat="1" customHeight="1" s="12">
      <c r="A126" s="5" t="n"/>
      <c r="B126" s="22" t="n"/>
      <c r="C126" s="133" t="n"/>
      <c r="D126" s="5" t="n"/>
      <c r="E126" s="5" t="n"/>
      <c r="F126" s="5" t="n"/>
      <c r="G126" s="5" t="n"/>
    </row>
    <row r="127" ht="16.5" customFormat="1" customHeight="1" s="12">
      <c r="A127" s="5" t="n"/>
      <c r="B127" s="22" t="n"/>
      <c r="C127" s="133" t="n"/>
      <c r="D127" s="5" t="n"/>
      <c r="E127" s="5" t="n"/>
      <c r="F127" s="5" t="n"/>
      <c r="G127" s="5" t="n"/>
    </row>
    <row r="128" ht="16.5" customFormat="1" customHeight="1" s="12">
      <c r="A128" s="5" t="n"/>
      <c r="B128" s="22" t="n"/>
      <c r="C128" s="133" t="n"/>
      <c r="D128" s="5" t="n"/>
      <c r="E128" s="5" t="n"/>
      <c r="F128" s="5" t="n"/>
      <c r="G128" s="5" t="n"/>
    </row>
    <row r="129" ht="16.5" customFormat="1" customHeight="1" s="12">
      <c r="A129" s="5" t="n"/>
      <c r="B129" s="22" t="n"/>
      <c r="C129" s="133" t="n"/>
      <c r="D129" s="5" t="n"/>
      <c r="E129" s="5" t="n"/>
      <c r="F129" s="5" t="n"/>
      <c r="G129" s="5" t="n"/>
    </row>
    <row r="130" ht="16.5" customFormat="1" customHeight="1" s="12">
      <c r="A130" s="5" t="n"/>
      <c r="B130" s="22" t="n"/>
      <c r="C130" s="133" t="n"/>
      <c r="D130" s="5" t="n"/>
      <c r="E130" s="5" t="n"/>
      <c r="F130" s="5" t="n"/>
      <c r="G130" s="5" t="n"/>
    </row>
    <row r="131" ht="16.5" customFormat="1" customHeight="1" s="12">
      <c r="A131" s="5" t="n"/>
      <c r="B131" s="22" t="n"/>
      <c r="C131" s="133" t="n"/>
      <c r="D131" s="5" t="n"/>
      <c r="E131" s="5" t="n"/>
      <c r="F131" s="5" t="n"/>
      <c r="G131" s="5" t="n"/>
    </row>
    <row r="132" ht="16.5" customFormat="1" customHeight="1" s="12">
      <c r="A132" s="5" t="n"/>
      <c r="B132" s="22" t="n"/>
      <c r="C132" s="133" t="n"/>
      <c r="D132" s="5" t="n"/>
      <c r="E132" s="5" t="n"/>
      <c r="F132" s="5" t="n"/>
      <c r="G132" s="5" t="n"/>
    </row>
    <row r="133" ht="16.5" customFormat="1" customHeight="1" s="12">
      <c r="A133" s="5" t="n"/>
      <c r="B133" s="22" t="n"/>
      <c r="C133" s="133" t="n"/>
      <c r="D133" s="5" t="n"/>
      <c r="E133" s="5" t="n"/>
      <c r="F133" s="5" t="n"/>
      <c r="G133" s="5" t="n"/>
    </row>
    <row r="134" ht="16.5" customFormat="1" customHeight="1" s="12">
      <c r="A134" s="5" t="n"/>
      <c r="B134" s="22" t="n"/>
      <c r="C134" s="133" t="n"/>
      <c r="D134" s="5" t="n"/>
      <c r="E134" s="5" t="n"/>
      <c r="F134" s="5" t="n"/>
      <c r="G134" s="5" t="n"/>
    </row>
    <row r="135" ht="16.5" customFormat="1" customHeight="1" s="12">
      <c r="A135" s="5" t="n"/>
      <c r="B135" s="22" t="n"/>
      <c r="C135" s="133" t="n"/>
      <c r="D135" s="5" t="n"/>
      <c r="E135" s="5" t="n"/>
      <c r="F135" s="5" t="n"/>
      <c r="G135" s="5" t="n"/>
    </row>
    <row r="136" ht="16.5" customFormat="1" customHeight="1" s="12">
      <c r="A136" s="5" t="n"/>
      <c r="B136" s="22" t="n"/>
      <c r="C136" s="133" t="n"/>
      <c r="D136" s="5" t="n"/>
      <c r="E136" s="5" t="n"/>
      <c r="F136" s="5" t="n"/>
      <c r="G136" s="5" t="n"/>
    </row>
    <row r="137" ht="16.5" customFormat="1" customHeight="1" s="12">
      <c r="A137" s="5" t="n"/>
      <c r="B137" s="22" t="n"/>
      <c r="C137" s="133" t="n"/>
      <c r="D137" s="5" t="n"/>
      <c r="E137" s="5" t="n"/>
      <c r="F137" s="5" t="n"/>
      <c r="G137" s="5" t="n"/>
    </row>
    <row r="138" ht="16.5" customFormat="1" customHeight="1" s="12">
      <c r="A138" s="5" t="n"/>
      <c r="B138" s="22" t="n"/>
      <c r="C138" s="133" t="n"/>
      <c r="D138" s="5" t="n"/>
      <c r="E138" s="5" t="n"/>
      <c r="F138" s="5" t="n"/>
      <c r="G138" s="5" t="n"/>
    </row>
    <row r="139" ht="16.5" customFormat="1" customHeight="1" s="12">
      <c r="A139" s="5" t="n"/>
      <c r="B139" s="22" t="n"/>
      <c r="C139" s="133" t="n"/>
      <c r="D139" s="5" t="n"/>
      <c r="E139" s="5" t="n"/>
      <c r="F139" s="5" t="n"/>
      <c r="G139" s="5" t="n"/>
    </row>
    <row r="140" ht="16.5" customFormat="1" customHeight="1" s="12">
      <c r="A140" s="5" t="n"/>
      <c r="B140" s="22" t="n"/>
      <c r="C140" s="133" t="n"/>
      <c r="D140" s="5" t="n"/>
      <c r="E140" s="5" t="n"/>
      <c r="F140" s="5" t="n"/>
      <c r="G140" s="5" t="n"/>
    </row>
    <row r="141" ht="16.5" customFormat="1" customHeight="1" s="12">
      <c r="A141" s="5" t="n"/>
      <c r="B141" s="22" t="n"/>
      <c r="C141" s="133" t="n"/>
      <c r="D141" s="5" t="n"/>
      <c r="E141" s="5" t="n"/>
      <c r="F141" s="5" t="n"/>
      <c r="G141" s="5" t="n"/>
    </row>
    <row r="142" ht="16.5" customFormat="1" customHeight="1" s="12">
      <c r="A142" s="5" t="n"/>
      <c r="B142" s="22" t="n"/>
      <c r="C142" s="133" t="n"/>
      <c r="D142" s="5" t="n"/>
      <c r="E142" s="5" t="n"/>
      <c r="F142" s="5" t="n"/>
      <c r="G142" s="5" t="n"/>
    </row>
    <row r="143" ht="16.5" customFormat="1" customHeight="1" s="12">
      <c r="A143" s="5" t="n"/>
      <c r="B143" s="22" t="n"/>
      <c r="C143" s="133" t="n"/>
      <c r="D143" s="5" t="n"/>
      <c r="E143" s="5" t="n"/>
      <c r="F143" s="5" t="n"/>
      <c r="G143" s="5" t="n"/>
    </row>
    <row r="144" ht="16.5" customFormat="1" customHeight="1" s="12">
      <c r="A144" s="5" t="n"/>
      <c r="B144" s="22" t="n"/>
      <c r="C144" s="133" t="n"/>
      <c r="D144" s="5" t="n"/>
      <c r="E144" s="5" t="n"/>
      <c r="F144" s="5" t="n"/>
      <c r="G144" s="5" t="n"/>
    </row>
    <row r="145" ht="16.5" customFormat="1" customHeight="1" s="12">
      <c r="A145" s="5" t="n"/>
      <c r="B145" s="22" t="n"/>
      <c r="C145" s="133" t="n"/>
      <c r="D145" s="5" t="n"/>
      <c r="E145" s="5" t="n"/>
      <c r="F145" s="5" t="n"/>
      <c r="G145" s="5" t="n"/>
    </row>
    <row r="146" ht="16.5" customFormat="1" customHeight="1" s="12">
      <c r="A146" s="5" t="n"/>
      <c r="B146" s="22" t="n"/>
      <c r="C146" s="133" t="n"/>
      <c r="D146" s="5" t="n"/>
      <c r="E146" s="5" t="n"/>
      <c r="F146" s="5" t="n"/>
      <c r="G146" s="5" t="n"/>
    </row>
    <row r="147" ht="16.5" customFormat="1" customHeight="1" s="12">
      <c r="A147" s="5" t="n"/>
      <c r="B147" s="22" t="n"/>
      <c r="C147" s="133" t="n"/>
      <c r="D147" s="5" t="n"/>
      <c r="E147" s="5" t="n"/>
      <c r="F147" s="5" t="n"/>
      <c r="G147" s="5" t="n"/>
    </row>
    <row r="148" ht="16.5" customFormat="1" customHeight="1" s="12">
      <c r="A148" s="5" t="n"/>
      <c r="B148" s="22" t="n"/>
      <c r="C148" s="133" t="n"/>
      <c r="D148" s="5" t="n"/>
      <c r="E148" s="5" t="n"/>
      <c r="F148" s="5" t="n"/>
      <c r="G148" s="5" t="n"/>
    </row>
    <row r="149" ht="16.5" customFormat="1" customHeight="1" s="12">
      <c r="A149" s="5" t="n"/>
      <c r="B149" s="22" t="n"/>
      <c r="C149" s="133" t="n"/>
      <c r="D149" s="5" t="n"/>
      <c r="E149" s="5" t="n"/>
      <c r="F149" s="5" t="n"/>
      <c r="G149" s="5" t="n"/>
    </row>
    <row r="150" ht="16.5" customFormat="1" customHeight="1" s="12">
      <c r="A150" s="5" t="n"/>
      <c r="B150" s="22" t="n"/>
      <c r="C150" s="133" t="n"/>
      <c r="D150" s="5" t="n"/>
      <c r="E150" s="5" t="n"/>
      <c r="F150" s="5" t="n"/>
      <c r="G150" s="5" t="n"/>
    </row>
    <row r="151" ht="16.5" customFormat="1" customHeight="1" s="12">
      <c r="A151" s="5" t="n"/>
      <c r="B151" s="22" t="n"/>
      <c r="C151" s="133" t="n"/>
      <c r="D151" s="5" t="n"/>
      <c r="E151" s="5" t="n"/>
      <c r="F151" s="5" t="n"/>
      <c r="G151" s="5" t="n"/>
    </row>
    <row r="152" ht="16.5" customFormat="1" customHeight="1" s="12">
      <c r="A152" s="5" t="n"/>
      <c r="B152" s="22" t="n"/>
      <c r="C152" s="133" t="n"/>
      <c r="D152" s="5" t="n"/>
      <c r="E152" s="5" t="n"/>
      <c r="F152" s="5" t="n"/>
      <c r="G152" s="5" t="n"/>
    </row>
    <row r="153" ht="16.5" customFormat="1" customHeight="1" s="12">
      <c r="A153" s="5" t="n"/>
      <c r="B153" s="22" t="n"/>
      <c r="C153" s="133" t="n"/>
      <c r="D153" s="5" t="n"/>
      <c r="E153" s="5" t="n"/>
      <c r="F153" s="5" t="n"/>
      <c r="G153" s="5" t="n"/>
    </row>
    <row r="154" ht="16.5" customFormat="1" customHeight="1" s="12">
      <c r="A154" s="5" t="n"/>
      <c r="B154" s="22" t="n"/>
      <c r="C154" s="133" t="n"/>
      <c r="D154" s="5" t="n"/>
      <c r="E154" s="5" t="n"/>
      <c r="F154" s="5" t="n"/>
      <c r="G154" s="5" t="n"/>
    </row>
    <row r="155" ht="16.5" customFormat="1" customHeight="1" s="12">
      <c r="A155" s="5" t="n"/>
      <c r="B155" s="22" t="n"/>
      <c r="C155" s="133" t="n"/>
      <c r="D155" s="5" t="n"/>
      <c r="E155" s="5" t="n"/>
      <c r="F155" s="5" t="n"/>
      <c r="G155" s="5" t="n"/>
    </row>
    <row r="156" ht="16.5" customFormat="1" customHeight="1" s="12">
      <c r="A156" s="5" t="n"/>
      <c r="B156" s="22" t="n"/>
      <c r="C156" s="133" t="n"/>
      <c r="D156" s="5" t="n"/>
      <c r="E156" s="5" t="n"/>
      <c r="F156" s="5" t="n"/>
      <c r="G156" s="5" t="n"/>
    </row>
    <row r="157" ht="16.5" customFormat="1" customHeight="1" s="12">
      <c r="A157" s="5" t="n"/>
      <c r="B157" s="22" t="n"/>
      <c r="C157" s="133" t="n"/>
      <c r="D157" s="5" t="n"/>
      <c r="E157" s="5" t="n"/>
      <c r="F157" s="5" t="n"/>
      <c r="G157" s="5" t="n"/>
    </row>
    <row r="158" ht="16.5" customFormat="1" customHeight="1" s="12">
      <c r="A158" s="5" t="n"/>
      <c r="B158" s="22" t="n"/>
      <c r="C158" s="133" t="n"/>
      <c r="D158" s="5" t="n"/>
      <c r="E158" s="5" t="n"/>
      <c r="F158" s="5" t="n"/>
      <c r="G158" s="5" t="n"/>
    </row>
    <row r="159" ht="16.5" customFormat="1" customHeight="1" s="12">
      <c r="A159" s="5" t="n"/>
      <c r="B159" s="22" t="n"/>
      <c r="C159" s="133" t="n"/>
      <c r="D159" s="5" t="n"/>
      <c r="E159" s="5" t="n"/>
      <c r="F159" s="5" t="n"/>
      <c r="G159" s="5" t="n"/>
    </row>
    <row r="160" ht="16.5" customFormat="1" customHeight="1" s="12">
      <c r="A160" s="5" t="n"/>
      <c r="B160" s="22" t="n"/>
      <c r="C160" s="133" t="n"/>
      <c r="D160" s="5" t="n"/>
      <c r="E160" s="5" t="n"/>
      <c r="F160" s="5" t="n"/>
      <c r="G160" s="5" t="n"/>
    </row>
    <row r="161" ht="16.5" customFormat="1" customHeight="1" s="12">
      <c r="A161" s="5" t="n"/>
      <c r="B161" s="22" t="n"/>
      <c r="C161" s="133" t="n"/>
      <c r="D161" s="5" t="n"/>
      <c r="E161" s="5" t="n"/>
      <c r="F161" s="5" t="n"/>
      <c r="G161" s="5" t="n"/>
    </row>
    <row r="162" ht="16.5" customFormat="1" customHeight="1" s="12">
      <c r="A162" s="5" t="n"/>
      <c r="B162" s="22" t="n"/>
      <c r="C162" s="133" t="n"/>
      <c r="D162" s="5" t="n"/>
      <c r="E162" s="5" t="n"/>
      <c r="F162" s="5" t="n"/>
      <c r="G162" s="5" t="n"/>
    </row>
    <row r="163" ht="16.5" customFormat="1" customHeight="1" s="12">
      <c r="A163" s="5" t="n"/>
      <c r="B163" s="22" t="n"/>
      <c r="C163" s="133" t="n"/>
      <c r="D163" s="5" t="n"/>
      <c r="E163" s="5" t="n"/>
      <c r="F163" s="5" t="n"/>
      <c r="G163" s="5" t="n"/>
    </row>
    <row r="164" ht="16.5" customFormat="1" customHeight="1" s="12">
      <c r="A164" s="5" t="n"/>
      <c r="B164" s="22" t="n"/>
      <c r="C164" s="133" t="n"/>
      <c r="D164" s="5" t="n"/>
      <c r="E164" s="5" t="n"/>
      <c r="F164" s="5" t="n"/>
      <c r="G164" s="5" t="n"/>
    </row>
    <row r="165" ht="16.5" customFormat="1" customHeight="1" s="12">
      <c r="A165" s="5" t="n"/>
      <c r="B165" s="22" t="n"/>
      <c r="C165" s="133" t="n"/>
      <c r="D165" s="5" t="n"/>
      <c r="E165" s="5" t="n"/>
      <c r="F165" s="5" t="n"/>
      <c r="G165" s="5" t="n"/>
    </row>
    <row r="166" ht="16.5" customFormat="1" customHeight="1" s="12">
      <c r="A166" s="5" t="n"/>
      <c r="B166" s="22" t="n"/>
      <c r="C166" s="133" t="n"/>
      <c r="D166" s="5" t="n"/>
      <c r="E166" s="5" t="n"/>
      <c r="F166" s="5" t="n"/>
      <c r="G166" s="5" t="n"/>
    </row>
    <row r="167" ht="16.5" customFormat="1" customHeight="1" s="12">
      <c r="A167" s="5" t="n"/>
      <c r="B167" s="22" t="n"/>
      <c r="C167" s="133" t="n"/>
      <c r="D167" s="5" t="n"/>
      <c r="E167" s="5" t="n"/>
      <c r="F167" s="5" t="n"/>
      <c r="G167" s="5" t="n"/>
    </row>
    <row r="168" ht="16.5" customFormat="1" customHeight="1" s="12">
      <c r="A168" s="5" t="n"/>
      <c r="B168" s="22" t="n"/>
      <c r="C168" s="133" t="n"/>
      <c r="D168" s="5" t="n"/>
      <c r="E168" s="5" t="n"/>
      <c r="F168" s="5" t="n"/>
      <c r="G168" s="5" t="n"/>
    </row>
    <row r="169" ht="16.5" customFormat="1" customHeight="1" s="12">
      <c r="A169" s="5" t="n"/>
      <c r="B169" s="22" t="n"/>
      <c r="C169" s="133" t="n"/>
      <c r="D169" s="5" t="n"/>
      <c r="E169" s="5" t="n"/>
      <c r="F169" s="5" t="n"/>
      <c r="G169" s="5" t="n"/>
    </row>
    <row r="170" ht="16.5" customFormat="1" customHeight="1" s="12">
      <c r="A170" s="5" t="n"/>
      <c r="B170" s="22" t="n"/>
      <c r="C170" s="133" t="n"/>
      <c r="D170" s="5" t="n"/>
      <c r="E170" s="5" t="n"/>
      <c r="F170" s="5" t="n"/>
      <c r="G170" s="5" t="n"/>
    </row>
    <row r="171" ht="16.5" customFormat="1" customHeight="1" s="12">
      <c r="A171" s="5" t="n"/>
      <c r="B171" s="22" t="n"/>
      <c r="C171" s="133" t="n"/>
      <c r="D171" s="5" t="n"/>
      <c r="E171" s="5" t="n"/>
      <c r="F171" s="5" t="n"/>
      <c r="G171" s="5" t="n"/>
    </row>
    <row r="172" ht="16.5" customFormat="1" customHeight="1" s="12">
      <c r="A172" s="5" t="n"/>
      <c r="B172" s="22" t="n"/>
      <c r="C172" s="133" t="n"/>
      <c r="D172" s="5" t="n"/>
      <c r="E172" s="5" t="n"/>
      <c r="F172" s="5" t="n"/>
      <c r="G172" s="5" t="n"/>
    </row>
    <row r="173" ht="16.5" customFormat="1" customHeight="1" s="12">
      <c r="A173" s="5" t="n"/>
      <c r="B173" s="22" t="n"/>
      <c r="C173" s="133" t="n"/>
      <c r="D173" s="5" t="n"/>
      <c r="E173" s="5" t="n"/>
      <c r="F173" s="5" t="n"/>
      <c r="G173" s="5" t="n"/>
    </row>
    <row r="174" ht="16.5" customFormat="1" customHeight="1" s="12">
      <c r="A174" s="5" t="n"/>
      <c r="B174" s="22" t="n"/>
      <c r="C174" s="133" t="n"/>
      <c r="D174" s="5" t="n"/>
      <c r="E174" s="5" t="n"/>
      <c r="F174" s="5" t="n"/>
      <c r="G174" s="5" t="n"/>
    </row>
    <row r="175" ht="16.5" customFormat="1" customHeight="1" s="12">
      <c r="A175" s="5" t="n"/>
      <c r="B175" s="22" t="n"/>
      <c r="C175" s="133" t="n"/>
      <c r="D175" s="5" t="n"/>
      <c r="E175" s="5" t="n"/>
      <c r="F175" s="5" t="n"/>
      <c r="G175" s="5" t="n"/>
    </row>
    <row r="176" ht="16.5" customFormat="1" customHeight="1" s="12">
      <c r="A176" s="5" t="n"/>
      <c r="B176" s="22" t="n"/>
      <c r="C176" s="133" t="n"/>
      <c r="D176" s="5" t="n"/>
      <c r="E176" s="5" t="n"/>
      <c r="F176" s="5" t="n"/>
      <c r="G176" s="5" t="n"/>
    </row>
    <row r="177" ht="16.5" customFormat="1" customHeight="1" s="12">
      <c r="A177" s="5" t="n"/>
      <c r="B177" s="22" t="n"/>
      <c r="C177" s="133" t="n"/>
      <c r="D177" s="5" t="n"/>
      <c r="E177" s="5" t="n"/>
      <c r="F177" s="5" t="n"/>
      <c r="G177" s="5" t="n"/>
    </row>
    <row r="178" ht="16.5" customFormat="1" customHeight="1" s="12">
      <c r="A178" s="5" t="n"/>
      <c r="B178" s="22" t="n"/>
      <c r="C178" s="133" t="n"/>
      <c r="D178" s="5" t="n"/>
      <c r="E178" s="5" t="n"/>
      <c r="F178" s="5" t="n"/>
      <c r="G178" s="5" t="n"/>
    </row>
    <row r="179" ht="16.5" customFormat="1" customHeight="1" s="12">
      <c r="A179" s="5" t="n"/>
      <c r="B179" s="22" t="n"/>
      <c r="C179" s="133" t="n"/>
      <c r="D179" s="5" t="n"/>
      <c r="E179" s="5" t="n"/>
      <c r="F179" s="5" t="n"/>
      <c r="G179" s="5" t="n"/>
    </row>
    <row r="180" ht="16.5" customFormat="1" customHeight="1" s="12">
      <c r="A180" s="5" t="n"/>
      <c r="B180" s="22" t="n"/>
      <c r="C180" s="133" t="n"/>
      <c r="D180" s="5" t="n"/>
      <c r="E180" s="5" t="n"/>
      <c r="F180" s="5" t="n"/>
      <c r="G180" s="5" t="n"/>
    </row>
    <row r="181" ht="16.5" customFormat="1" customHeight="1" s="12">
      <c r="A181" s="5" t="n"/>
      <c r="B181" s="22" t="n"/>
      <c r="C181" s="133" t="n"/>
      <c r="D181" s="5" t="n"/>
      <c r="E181" s="5" t="n"/>
      <c r="F181" s="5" t="n"/>
      <c r="G181" s="5" t="n"/>
    </row>
    <row r="182" ht="16.5" customFormat="1" customHeight="1" s="12">
      <c r="A182" s="5" t="n"/>
      <c r="B182" s="22" t="n"/>
      <c r="C182" s="133" t="n"/>
      <c r="D182" s="5" t="n"/>
      <c r="E182" s="5" t="n"/>
      <c r="F182" s="5" t="n"/>
      <c r="G182" s="5" t="n"/>
    </row>
    <row r="183" ht="16.5" customFormat="1" customHeight="1" s="12">
      <c r="A183" s="5" t="n"/>
      <c r="B183" s="22" t="n"/>
      <c r="C183" s="133" t="n"/>
      <c r="D183" s="5" t="n"/>
      <c r="E183" s="5" t="n"/>
      <c r="F183" s="5" t="n"/>
      <c r="G183" s="5" t="n"/>
    </row>
    <row r="184" ht="16.5" customFormat="1" customHeight="1" s="12">
      <c r="A184" s="5" t="n"/>
      <c r="B184" s="22" t="n"/>
      <c r="C184" s="133" t="n"/>
      <c r="D184" s="5" t="n"/>
      <c r="E184" s="5" t="n"/>
      <c r="F184" s="5" t="n"/>
      <c r="G184" s="5" t="n"/>
    </row>
    <row r="185" ht="16.5" customFormat="1" customHeight="1" s="12">
      <c r="A185" s="5" t="n"/>
      <c r="B185" s="22" t="n"/>
      <c r="C185" s="133" t="n"/>
      <c r="D185" s="5" t="n"/>
      <c r="E185" s="5" t="n"/>
      <c r="F185" s="5" t="n"/>
      <c r="G185" s="5" t="n"/>
    </row>
    <row r="186" ht="16.5" customFormat="1" customHeight="1" s="12">
      <c r="A186" s="5" t="n"/>
      <c r="B186" s="22" t="n"/>
      <c r="C186" s="133" t="n"/>
      <c r="D186" s="5" t="n"/>
      <c r="E186" s="5" t="n"/>
      <c r="F186" s="5" t="n"/>
      <c r="G186" s="5" t="n"/>
    </row>
    <row r="187" ht="16.5" customFormat="1" customHeight="1" s="12">
      <c r="A187" s="5" t="n"/>
      <c r="B187" s="22" t="n"/>
      <c r="C187" s="133" t="n"/>
      <c r="D187" s="5" t="n"/>
      <c r="E187" s="5" t="n"/>
      <c r="F187" s="5" t="n"/>
      <c r="G187" s="5" t="n"/>
    </row>
    <row r="188" ht="16.5" customFormat="1" customHeight="1" s="12">
      <c r="A188" s="5" t="n"/>
      <c r="B188" s="22" t="n"/>
      <c r="C188" s="133" t="n"/>
      <c r="D188" s="5" t="n"/>
      <c r="E188" s="5" t="n"/>
      <c r="F188" s="5" t="n"/>
      <c r="G188" s="5" t="n"/>
    </row>
    <row r="189" ht="16.5" customFormat="1" customHeight="1" s="12">
      <c r="A189" s="5" t="n"/>
      <c r="B189" s="22" t="n"/>
      <c r="C189" s="133" t="n"/>
      <c r="D189" s="5" t="n"/>
      <c r="E189" s="5" t="n"/>
      <c r="F189" s="5" t="n"/>
      <c r="G189" s="5" t="n"/>
    </row>
    <row r="190" ht="16.5" customFormat="1" customHeight="1" s="12">
      <c r="A190" s="5" t="n"/>
      <c r="B190" s="22" t="n"/>
      <c r="C190" s="133" t="n"/>
      <c r="D190" s="5" t="n"/>
      <c r="E190" s="5" t="n"/>
      <c r="F190" s="5" t="n"/>
      <c r="G190" s="5" t="n"/>
    </row>
    <row r="191" ht="16.5" customFormat="1" customHeight="1" s="12">
      <c r="A191" s="5" t="n"/>
      <c r="B191" s="22" t="n"/>
      <c r="C191" s="133" t="n"/>
      <c r="D191" s="5" t="n"/>
      <c r="E191" s="5" t="n"/>
      <c r="F191" s="5" t="n"/>
      <c r="G191" s="5" t="n"/>
    </row>
    <row r="192" ht="16.5" customFormat="1" customHeight="1" s="12">
      <c r="A192" s="5" t="n"/>
      <c r="B192" s="22" t="n"/>
      <c r="C192" s="133" t="n"/>
      <c r="D192" s="5" t="n"/>
      <c r="E192" s="5" t="n"/>
      <c r="F192" s="5" t="n"/>
      <c r="G192" s="5" t="n"/>
    </row>
    <row r="193" ht="16.5" customFormat="1" customHeight="1" s="12">
      <c r="A193" s="5" t="n"/>
      <c r="B193" s="22" t="n"/>
      <c r="C193" s="133" t="n"/>
      <c r="D193" s="5" t="n"/>
      <c r="E193" s="5" t="n"/>
      <c r="F193" s="5" t="n"/>
      <c r="G193" s="5" t="n"/>
    </row>
    <row r="194" ht="16.5" customFormat="1" customHeight="1" s="12">
      <c r="A194" s="5" t="n"/>
      <c r="B194" s="22" t="n"/>
      <c r="C194" s="133" t="n"/>
      <c r="D194" s="5" t="n"/>
      <c r="E194" s="5" t="n"/>
      <c r="F194" s="5" t="n"/>
      <c r="G194" s="5" t="n"/>
    </row>
    <row r="195" ht="16.5" customFormat="1" customHeight="1" s="12">
      <c r="A195" s="5" t="n"/>
      <c r="B195" s="22" t="n"/>
      <c r="C195" s="133" t="n"/>
      <c r="D195" s="5" t="n"/>
      <c r="E195" s="5" t="n"/>
      <c r="F195" s="5" t="n"/>
      <c r="G195" s="5" t="n"/>
    </row>
    <row r="196" ht="16.5" customFormat="1" customHeight="1" s="12">
      <c r="A196" s="5" t="n"/>
      <c r="B196" s="22" t="n"/>
      <c r="C196" s="133" t="n"/>
      <c r="D196" s="5" t="n"/>
      <c r="E196" s="5" t="n"/>
      <c r="F196" s="5" t="n"/>
      <c r="G196" s="5" t="n"/>
    </row>
    <row r="197" ht="16.5" customFormat="1" customHeight="1" s="12">
      <c r="A197" s="5" t="n"/>
      <c r="B197" s="22" t="n"/>
      <c r="C197" s="133" t="n"/>
      <c r="D197" s="5" t="n"/>
      <c r="E197" s="5" t="n"/>
      <c r="F197" s="5" t="n"/>
      <c r="G197" s="5" t="n"/>
    </row>
    <row r="198" ht="16.5" customFormat="1" customHeight="1" s="12">
      <c r="A198" s="5" t="n"/>
      <c r="B198" s="22" t="n"/>
      <c r="C198" s="133" t="n"/>
      <c r="D198" s="5" t="n"/>
      <c r="E198" s="5" t="n"/>
      <c r="F198" s="5" t="n"/>
      <c r="G198" s="5" t="n"/>
    </row>
    <row r="199" ht="16.5" customFormat="1" customHeight="1" s="12">
      <c r="A199" s="5" t="n"/>
      <c r="B199" s="22" t="n"/>
      <c r="C199" s="133" t="n"/>
      <c r="D199" s="5" t="n"/>
      <c r="E199" s="5" t="n"/>
      <c r="F199" s="5" t="n"/>
      <c r="G199" s="5" t="n"/>
    </row>
    <row r="200" ht="16.5" customFormat="1" customHeight="1" s="12">
      <c r="A200" s="5" t="n"/>
      <c r="B200" s="22" t="n"/>
      <c r="C200" s="133" t="n"/>
      <c r="D200" s="5" t="n"/>
      <c r="E200" s="5" t="n"/>
      <c r="F200" s="5" t="n"/>
      <c r="G200" s="5" t="n"/>
    </row>
    <row r="201" ht="16.5" customFormat="1" customHeight="1" s="12">
      <c r="A201" s="5" t="n"/>
      <c r="B201" s="22" t="n"/>
      <c r="C201" s="133" t="n"/>
      <c r="D201" s="5" t="n"/>
      <c r="E201" s="5" t="n"/>
      <c r="F201" s="5" t="n"/>
      <c r="G201" s="5" t="n"/>
    </row>
    <row r="202" ht="16.5" customFormat="1" customHeight="1" s="12">
      <c r="A202" s="5" t="n"/>
      <c r="B202" s="22" t="n"/>
      <c r="C202" s="133" t="n"/>
      <c r="D202" s="5" t="n"/>
      <c r="E202" s="5" t="n"/>
      <c r="F202" s="5" t="n"/>
      <c r="G202" s="5" t="n"/>
    </row>
    <row r="203" ht="16.5" customFormat="1" customHeight="1" s="12">
      <c r="A203" s="5" t="n"/>
      <c r="B203" s="22" t="n"/>
      <c r="C203" s="133" t="n"/>
      <c r="D203" s="5" t="n"/>
      <c r="E203" s="5" t="n"/>
      <c r="F203" s="5" t="n"/>
      <c r="G203" s="5" t="n"/>
    </row>
    <row r="204" ht="16.5" customFormat="1" customHeight="1" s="12">
      <c r="A204" s="5" t="n"/>
      <c r="B204" s="22" t="n"/>
      <c r="C204" s="133" t="n"/>
      <c r="D204" s="5" t="n"/>
      <c r="E204" s="5" t="n"/>
      <c r="F204" s="5" t="n"/>
      <c r="G204" s="5" t="n"/>
    </row>
    <row r="205" ht="16.5" customFormat="1" customHeight="1" s="12">
      <c r="A205" s="5" t="n"/>
      <c r="B205" s="22" t="n"/>
      <c r="C205" s="133" t="n"/>
      <c r="D205" s="5" t="n"/>
      <c r="E205" s="5" t="n"/>
      <c r="F205" s="5" t="n"/>
      <c r="G205" s="5" t="n"/>
    </row>
    <row r="206" ht="16.5" customFormat="1" customHeight="1" s="12">
      <c r="A206" s="5" t="n"/>
      <c r="B206" s="22" t="n"/>
      <c r="C206" s="133" t="n"/>
      <c r="D206" s="5" t="n"/>
      <c r="E206" s="5" t="n"/>
      <c r="F206" s="5" t="n"/>
      <c r="G206" s="5" t="n"/>
    </row>
    <row r="207" ht="16.5" customFormat="1" customHeight="1" s="12">
      <c r="A207" s="5" t="n"/>
      <c r="B207" s="22" t="n"/>
      <c r="C207" s="133" t="n"/>
      <c r="D207" s="5" t="n"/>
      <c r="E207" s="5" t="n"/>
      <c r="F207" s="5" t="n"/>
      <c r="G207" s="5" t="n"/>
    </row>
    <row r="208" ht="16.5" customFormat="1" customHeight="1" s="12">
      <c r="A208" s="5" t="n"/>
      <c r="B208" s="22" t="n"/>
      <c r="C208" s="133" t="n"/>
      <c r="D208" s="5" t="n"/>
      <c r="E208" s="5" t="n"/>
      <c r="F208" s="5" t="n"/>
      <c r="G208" s="5" t="n"/>
    </row>
    <row r="209" ht="16.5" customFormat="1" customHeight="1" s="12">
      <c r="A209" s="5" t="n"/>
      <c r="B209" s="22" t="n"/>
      <c r="C209" s="133" t="n"/>
      <c r="D209" s="5" t="n"/>
      <c r="E209" s="5" t="n"/>
      <c r="F209" s="5" t="n"/>
      <c r="G209" s="5" t="n"/>
    </row>
    <row r="210" ht="16.5" customFormat="1" customHeight="1" s="12">
      <c r="A210" s="5" t="n"/>
      <c r="B210" s="22" t="n"/>
      <c r="C210" s="133" t="n"/>
      <c r="D210" s="5" t="n"/>
      <c r="E210" s="5" t="n"/>
      <c r="F210" s="5" t="n"/>
      <c r="G210" s="5" t="n"/>
    </row>
    <row r="211" ht="16.5" customFormat="1" customHeight="1" s="12">
      <c r="A211" s="5" t="n"/>
      <c r="B211" s="22" t="n"/>
      <c r="C211" s="133" t="n"/>
      <c r="D211" s="5" t="n"/>
      <c r="E211" s="5" t="n"/>
      <c r="F211" s="5" t="n"/>
      <c r="G211" s="5" t="n"/>
    </row>
    <row r="212" ht="16.5" customFormat="1" customHeight="1" s="12">
      <c r="A212" s="5" t="n"/>
      <c r="B212" s="22" t="n"/>
      <c r="C212" s="133" t="n"/>
      <c r="D212" s="5" t="n"/>
      <c r="E212" s="5" t="n"/>
      <c r="F212" s="5" t="n"/>
      <c r="G212" s="5" t="n"/>
    </row>
    <row r="213" ht="16.5" customFormat="1" customHeight="1" s="12">
      <c r="A213" s="5" t="n"/>
      <c r="B213" s="22" t="n"/>
      <c r="C213" s="133" t="n"/>
      <c r="D213" s="5" t="n"/>
      <c r="E213" s="5" t="n"/>
      <c r="F213" s="5" t="n"/>
      <c r="G213" s="5" t="n"/>
    </row>
    <row r="214" ht="16.5" customFormat="1" customHeight="1" s="12">
      <c r="A214" s="5" t="n"/>
      <c r="B214" s="22" t="n"/>
      <c r="C214" s="133" t="n"/>
      <c r="D214" s="5" t="n"/>
      <c r="E214" s="5" t="n"/>
      <c r="F214" s="5" t="n"/>
      <c r="G214" s="5" t="n"/>
    </row>
    <row r="215" ht="16.5" customFormat="1" customHeight="1" s="12">
      <c r="A215" s="5" t="n"/>
      <c r="B215" s="22" t="n"/>
      <c r="C215" s="133" t="n"/>
      <c r="D215" s="5" t="n"/>
      <c r="E215" s="5" t="n"/>
      <c r="F215" s="5" t="n"/>
      <c r="G215" s="5" t="n"/>
    </row>
    <row r="216" ht="16.5" customFormat="1" customHeight="1" s="12">
      <c r="A216" s="5" t="n"/>
      <c r="B216" s="22" t="n"/>
      <c r="C216" s="133" t="n"/>
      <c r="D216" s="5" t="n"/>
      <c r="E216" s="5" t="n"/>
      <c r="F216" s="5" t="n"/>
      <c r="G216" s="5" t="n"/>
    </row>
    <row r="217" ht="16.5" customFormat="1" customHeight="1" s="12">
      <c r="A217" s="5" t="n"/>
      <c r="B217" s="22" t="n"/>
      <c r="C217" s="133" t="n"/>
      <c r="D217" s="5" t="n"/>
      <c r="E217" s="5" t="n"/>
      <c r="F217" s="5" t="n"/>
      <c r="G217" s="5" t="n"/>
    </row>
    <row r="218" ht="16.5" customFormat="1" customHeight="1" s="12">
      <c r="A218" s="5" t="n"/>
      <c r="B218" s="22" t="n"/>
      <c r="C218" s="133" t="n"/>
      <c r="D218" s="5" t="n"/>
      <c r="E218" s="5" t="n"/>
      <c r="F218" s="5" t="n"/>
      <c r="G218" s="5" t="n"/>
    </row>
    <row r="219" ht="16.5" customFormat="1" customHeight="1" s="12">
      <c r="A219" s="5" t="n"/>
      <c r="B219" s="22" t="n"/>
      <c r="C219" s="133" t="n"/>
      <c r="D219" s="5" t="n"/>
      <c r="E219" s="5" t="n"/>
      <c r="F219" s="5" t="n"/>
      <c r="G219" s="5" t="n"/>
    </row>
    <row r="220" ht="16.5" customFormat="1" customHeight="1" s="12">
      <c r="A220" s="5" t="n"/>
      <c r="B220" s="22" t="n"/>
      <c r="C220" s="133" t="n"/>
      <c r="D220" s="5" t="n"/>
      <c r="E220" s="5" t="n"/>
      <c r="F220" s="5" t="n"/>
      <c r="G220" s="5" t="n"/>
    </row>
    <row r="221" ht="16.5" customFormat="1" customHeight="1" s="12">
      <c r="A221" s="5" t="n"/>
      <c r="B221" s="22" t="n"/>
      <c r="C221" s="133" t="n"/>
      <c r="D221" s="5" t="n"/>
      <c r="E221" s="5" t="n"/>
      <c r="F221" s="5" t="n"/>
      <c r="G221" s="5" t="n"/>
    </row>
    <row r="222" ht="16.5" customFormat="1" customHeight="1" s="12">
      <c r="A222" s="5" t="n"/>
      <c r="B222" s="22" t="n"/>
      <c r="C222" s="133" t="n"/>
      <c r="D222" s="5" t="n"/>
      <c r="E222" s="5" t="n"/>
      <c r="F222" s="5" t="n"/>
      <c r="G222" s="5" t="n"/>
    </row>
    <row r="223" ht="16.5" customFormat="1" customHeight="1" s="12">
      <c r="A223" s="5" t="n"/>
      <c r="B223" s="22" t="n"/>
      <c r="C223" s="133" t="n"/>
      <c r="D223" s="5" t="n"/>
      <c r="E223" s="5" t="n"/>
      <c r="F223" s="5" t="n"/>
      <c r="G223" s="5" t="n"/>
    </row>
    <row r="224" ht="16.5" customFormat="1" customHeight="1" s="12">
      <c r="A224" s="5" t="n"/>
      <c r="B224" s="22" t="n"/>
      <c r="C224" s="133" t="n"/>
      <c r="D224" s="5" t="n"/>
      <c r="E224" s="5" t="n"/>
      <c r="F224" s="5" t="n"/>
      <c r="G224" s="5" t="n"/>
    </row>
    <row r="225" ht="16.5" customFormat="1" customHeight="1" s="12">
      <c r="A225" s="5" t="n"/>
      <c r="B225" s="22" t="n"/>
      <c r="C225" s="133" t="n"/>
      <c r="D225" s="5" t="n"/>
      <c r="E225" s="5" t="n"/>
      <c r="F225" s="5" t="n"/>
      <c r="G225" s="5" t="n"/>
    </row>
    <row r="226" ht="16.5" customFormat="1" customHeight="1" s="12">
      <c r="A226" s="5" t="n"/>
      <c r="B226" s="22" t="n"/>
      <c r="C226" s="133" t="n"/>
      <c r="D226" s="5" t="n"/>
      <c r="E226" s="5" t="n"/>
      <c r="F226" s="5" t="n"/>
      <c r="G226" s="5" t="n"/>
    </row>
    <row r="227" ht="16.5" customFormat="1" customHeight="1" s="12">
      <c r="A227" s="5" t="n"/>
      <c r="B227" s="22" t="n"/>
      <c r="C227" s="133" t="n"/>
      <c r="D227" s="5" t="n"/>
      <c r="E227" s="5" t="n"/>
      <c r="F227" s="5" t="n"/>
      <c r="G227" s="5" t="n"/>
    </row>
    <row r="228" ht="16.5" customFormat="1" customHeight="1" s="12">
      <c r="A228" s="5" t="n"/>
      <c r="B228" s="22" t="n"/>
      <c r="C228" s="133" t="n"/>
      <c r="D228" s="5" t="n"/>
      <c r="E228" s="5" t="n"/>
      <c r="F228" s="5" t="n"/>
      <c r="G228" s="5" t="n"/>
    </row>
    <row r="229" ht="16.5" customFormat="1" customHeight="1" s="12">
      <c r="A229" s="5" t="n"/>
      <c r="B229" s="22" t="n"/>
      <c r="C229" s="133" t="n"/>
      <c r="D229" s="5" t="n"/>
      <c r="E229" s="5" t="n"/>
      <c r="F229" s="5" t="n"/>
      <c r="G229" s="5" t="n"/>
    </row>
    <row r="230" ht="16.5" customFormat="1" customHeight="1" s="12">
      <c r="A230" s="5" t="n"/>
      <c r="B230" s="22" t="n"/>
      <c r="C230" s="133" t="n"/>
      <c r="D230" s="5" t="n"/>
      <c r="E230" s="5" t="n"/>
      <c r="F230" s="5" t="n"/>
      <c r="G230" s="5" t="n"/>
    </row>
    <row r="231" ht="16.5" customFormat="1" customHeight="1" s="12">
      <c r="A231" s="5" t="n"/>
      <c r="B231" s="22" t="n"/>
      <c r="C231" s="133" t="n"/>
      <c r="D231" s="5" t="n"/>
      <c r="E231" s="5" t="n"/>
      <c r="F231" s="5" t="n"/>
      <c r="G231" s="5" t="n"/>
    </row>
    <row r="232" ht="16.5" customFormat="1" customHeight="1" s="12">
      <c r="A232" s="5" t="n"/>
      <c r="B232" s="22" t="n"/>
      <c r="C232" s="133" t="n"/>
      <c r="D232" s="5" t="n"/>
      <c r="E232" s="5" t="n"/>
      <c r="F232" s="5" t="n"/>
      <c r="G232" s="5" t="n"/>
    </row>
    <row r="233" ht="16.5" customFormat="1" customHeight="1" s="12">
      <c r="A233" s="5" t="n"/>
      <c r="B233" s="22" t="n"/>
      <c r="C233" s="133" t="n"/>
      <c r="D233" s="5" t="n"/>
      <c r="E233" s="5" t="n"/>
      <c r="F233" s="5" t="n"/>
      <c r="G233" s="5" t="n"/>
    </row>
    <row r="234" ht="16.5" customFormat="1" customHeight="1" s="12">
      <c r="A234" s="5" t="n"/>
      <c r="B234" s="22" t="n"/>
      <c r="C234" s="133" t="n"/>
      <c r="D234" s="5" t="n"/>
      <c r="E234" s="5" t="n"/>
      <c r="F234" s="5" t="n"/>
      <c r="G234" s="5" t="n"/>
    </row>
    <row r="235" ht="16.5" customFormat="1" customHeight="1" s="12">
      <c r="A235" s="5" t="n"/>
      <c r="B235" s="22" t="n"/>
      <c r="C235" s="133" t="n"/>
      <c r="D235" s="5" t="n"/>
      <c r="E235" s="5" t="n"/>
      <c r="F235" s="5" t="n"/>
      <c r="G235" s="5" t="n"/>
    </row>
    <row r="236" ht="16.5" customFormat="1" customHeight="1" s="12">
      <c r="A236" s="5" t="n"/>
      <c r="B236" s="22" t="n"/>
      <c r="C236" s="133" t="n"/>
      <c r="D236" s="5" t="n"/>
      <c r="E236" s="5" t="n"/>
      <c r="F236" s="5" t="n"/>
      <c r="G236" s="5" t="n"/>
    </row>
    <row r="237" ht="16.5" customFormat="1" customHeight="1" s="12">
      <c r="A237" s="5" t="n"/>
      <c r="B237" s="22" t="n"/>
      <c r="C237" s="133" t="n"/>
      <c r="D237" s="5" t="n"/>
      <c r="E237" s="5" t="n"/>
      <c r="F237" s="5" t="n"/>
      <c r="G237" s="5" t="n"/>
    </row>
    <row r="238" ht="16.5" customFormat="1" customHeight="1" s="12">
      <c r="A238" s="5" t="n"/>
      <c r="B238" s="22" t="n"/>
      <c r="C238" s="133" t="n"/>
      <c r="D238" s="5" t="n"/>
      <c r="E238" s="5" t="n"/>
      <c r="F238" s="5" t="n"/>
      <c r="G238" s="5" t="n"/>
    </row>
    <row r="239" ht="16.5" customFormat="1" customHeight="1" s="12">
      <c r="A239" s="5" t="n"/>
      <c r="B239" s="22" t="n"/>
      <c r="C239" s="133" t="n"/>
      <c r="D239" s="5" t="n"/>
      <c r="E239" s="5" t="n"/>
      <c r="F239" s="5" t="n"/>
      <c r="G239" s="5" t="n"/>
    </row>
    <row r="240" ht="16.5" customFormat="1" customHeight="1" s="12">
      <c r="A240" s="5" t="n"/>
      <c r="B240" s="22" t="n"/>
      <c r="C240" s="133" t="n"/>
      <c r="D240" s="5" t="n"/>
      <c r="E240" s="5" t="n"/>
      <c r="F240" s="5" t="n"/>
      <c r="G240" s="5" t="n"/>
    </row>
    <row r="241" ht="16.5" customFormat="1" customHeight="1" s="12">
      <c r="A241" s="5" t="n"/>
      <c r="B241" s="22" t="n"/>
      <c r="C241" s="133" t="n"/>
      <c r="D241" s="5" t="n"/>
      <c r="E241" s="5" t="n"/>
      <c r="F241" s="5" t="n"/>
      <c r="G241" s="5" t="n"/>
    </row>
    <row r="242" ht="16.5" customFormat="1" customHeight="1" s="12">
      <c r="A242" s="5" t="n"/>
      <c r="B242" s="22" t="n"/>
      <c r="C242" s="133" t="n"/>
      <c r="D242" s="5" t="n"/>
      <c r="E242" s="5" t="n"/>
      <c r="F242" s="5" t="n"/>
      <c r="G242" s="5" t="n"/>
    </row>
    <row r="243" ht="16.5" customFormat="1" customHeight="1" s="12">
      <c r="A243" s="5" t="n"/>
      <c r="B243" s="22" t="n"/>
      <c r="C243" s="133" t="n"/>
      <c r="D243" s="5" t="n"/>
      <c r="E243" s="5" t="n"/>
      <c r="F243" s="5" t="n"/>
      <c r="G243" s="5" t="n"/>
    </row>
    <row r="244" ht="16.5" customFormat="1" customHeight="1" s="12">
      <c r="A244" s="5" t="n"/>
      <c r="B244" s="22" t="n"/>
      <c r="C244" s="133" t="n"/>
      <c r="D244" s="5" t="n"/>
      <c r="E244" s="5" t="n"/>
      <c r="F244" s="5" t="n"/>
      <c r="G244" s="5" t="n"/>
    </row>
    <row r="245" ht="16.5" customFormat="1" customHeight="1" s="12">
      <c r="A245" s="5" t="n"/>
      <c r="B245" s="22" t="n"/>
      <c r="C245" s="133" t="n"/>
      <c r="D245" s="5" t="n"/>
      <c r="E245" s="5" t="n"/>
      <c r="F245" s="5" t="n"/>
      <c r="G245" s="5" t="n"/>
    </row>
    <row r="246" ht="16.5" customFormat="1" customHeight="1" s="12">
      <c r="A246" s="5" t="n"/>
      <c r="B246" s="22" t="n"/>
      <c r="C246" s="133" t="n"/>
      <c r="D246" s="5" t="n"/>
      <c r="E246" s="5" t="n"/>
      <c r="F246" s="5" t="n"/>
      <c r="G246" s="5" t="n"/>
    </row>
    <row r="247" ht="16.5" customFormat="1" customHeight="1" s="12">
      <c r="A247" s="5" t="n"/>
      <c r="B247" s="22" t="n"/>
      <c r="C247" s="133" t="n"/>
      <c r="D247" s="5" t="n"/>
      <c r="E247" s="5" t="n"/>
      <c r="F247" s="5" t="n"/>
      <c r="G247" s="5" t="n"/>
    </row>
    <row r="248" ht="16.5" customFormat="1" customHeight="1" s="12">
      <c r="A248" s="5" t="n"/>
      <c r="B248" s="22" t="n"/>
      <c r="C248" s="133" t="n"/>
      <c r="D248" s="5" t="n"/>
      <c r="E248" s="5" t="n"/>
      <c r="F248" s="5" t="n"/>
      <c r="G248" s="5" t="n"/>
    </row>
    <row r="249" ht="16.5" customFormat="1" customHeight="1" s="12">
      <c r="A249" s="5" t="n"/>
      <c r="B249" s="22" t="n"/>
      <c r="C249" s="133" t="n"/>
      <c r="D249" s="5" t="n"/>
      <c r="E249" s="5" t="n"/>
      <c r="F249" s="5" t="n"/>
      <c r="G249" s="5" t="n"/>
    </row>
    <row r="250" ht="16.5" customFormat="1" customHeight="1" s="12">
      <c r="A250" s="5" t="n"/>
      <c r="B250" s="22" t="n"/>
      <c r="C250" s="133" t="n"/>
      <c r="D250" s="5" t="n"/>
      <c r="E250" s="5" t="n"/>
      <c r="F250" s="5" t="n"/>
      <c r="G250" s="5" t="n"/>
    </row>
    <row r="251" ht="16.5" customFormat="1" customHeight="1" s="12">
      <c r="A251" s="5" t="n"/>
      <c r="B251" s="22" t="n"/>
      <c r="C251" s="133" t="n"/>
      <c r="D251" s="5" t="n"/>
      <c r="E251" s="5" t="n"/>
      <c r="F251" s="5" t="n"/>
      <c r="G251" s="5" t="n"/>
    </row>
    <row r="252" ht="16.5" customFormat="1" customHeight="1" s="12">
      <c r="A252" s="5" t="n"/>
      <c r="B252" s="22" t="n"/>
      <c r="C252" s="133" t="n"/>
      <c r="D252" s="5" t="n"/>
      <c r="E252" s="5" t="n"/>
      <c r="F252" s="5" t="n"/>
      <c r="G252" s="5" t="n"/>
    </row>
    <row r="253" ht="16.5" customFormat="1" customHeight="1" s="12">
      <c r="A253" s="5" t="n"/>
      <c r="B253" s="22" t="n"/>
      <c r="C253" s="133" t="n"/>
      <c r="D253" s="5" t="n"/>
      <c r="E253" s="5" t="n"/>
      <c r="F253" s="5" t="n"/>
      <c r="G253" s="5" t="n"/>
    </row>
    <row r="254" ht="16.5" customFormat="1" customHeight="1" s="12">
      <c r="A254" s="5" t="n"/>
      <c r="B254" s="22" t="n"/>
      <c r="C254" s="133" t="n"/>
      <c r="D254" s="5" t="n"/>
      <c r="E254" s="5" t="n"/>
      <c r="F254" s="5" t="n"/>
      <c r="G254" s="5" t="n"/>
    </row>
    <row r="255" ht="16.5" customFormat="1" customHeight="1" s="12">
      <c r="A255" s="5" t="n"/>
      <c r="B255" s="22" t="n"/>
      <c r="C255" s="133" t="n"/>
      <c r="D255" s="5" t="n"/>
      <c r="E255" s="5" t="n"/>
      <c r="F255" s="5" t="n"/>
      <c r="G255" s="5" t="n"/>
    </row>
    <row r="256" ht="16.5" customFormat="1" customHeight="1" s="12">
      <c r="A256" s="5" t="n"/>
      <c r="B256" s="22" t="n"/>
      <c r="C256" s="133" t="n"/>
      <c r="D256" s="5" t="n"/>
      <c r="E256" s="5" t="n"/>
      <c r="F256" s="5" t="n"/>
      <c r="G256" s="5" t="n"/>
    </row>
    <row r="257" ht="16.5" customFormat="1" customHeight="1" s="12">
      <c r="A257" s="5" t="n"/>
      <c r="B257" s="22" t="n"/>
      <c r="C257" s="133" t="n"/>
      <c r="D257" s="5" t="n"/>
      <c r="E257" s="5" t="n"/>
      <c r="F257" s="5" t="n"/>
      <c r="G257" s="5" t="n"/>
    </row>
    <row r="258" ht="16.5" customFormat="1" customHeight="1" s="12">
      <c r="A258" s="5" t="n"/>
      <c r="B258" s="22" t="n"/>
      <c r="C258" s="133" t="n"/>
      <c r="D258" s="5" t="n"/>
      <c r="E258" s="5" t="n"/>
      <c r="F258" s="5" t="n"/>
      <c r="G258" s="5" t="n"/>
    </row>
    <row r="259" ht="16.5" customFormat="1" customHeight="1" s="12">
      <c r="A259" s="5" t="n"/>
      <c r="B259" s="22" t="n"/>
      <c r="C259" s="133" t="n"/>
      <c r="D259" s="5" t="n"/>
      <c r="E259" s="5" t="n"/>
      <c r="F259" s="5" t="n"/>
      <c r="G259" s="5" t="n"/>
    </row>
    <row r="260" ht="16.5" customFormat="1" customHeight="1" s="12">
      <c r="A260" s="5" t="n"/>
      <c r="B260" s="22" t="n"/>
      <c r="C260" s="133" t="n"/>
      <c r="D260" s="5" t="n"/>
      <c r="E260" s="5" t="n"/>
      <c r="F260" s="5" t="n"/>
      <c r="G260" s="5" t="n"/>
    </row>
    <row r="261" ht="16.5" customFormat="1" customHeight="1" s="12">
      <c r="A261" s="5" t="n"/>
      <c r="B261" s="22" t="n"/>
      <c r="C261" s="133" t="n"/>
      <c r="D261" s="5" t="n"/>
      <c r="E261" s="5" t="n"/>
      <c r="F261" s="5" t="n"/>
      <c r="G261" s="5" t="n"/>
    </row>
    <row r="262" ht="16.5" customFormat="1" customHeight="1" s="12">
      <c r="A262" s="5" t="n"/>
      <c r="B262" s="22" t="n"/>
      <c r="C262" s="133" t="n"/>
      <c r="D262" s="5" t="n"/>
      <c r="E262" s="5" t="n"/>
      <c r="F262" s="5" t="n"/>
      <c r="G262" s="5" t="n"/>
    </row>
    <row r="263" ht="16.5" customFormat="1" customHeight="1" s="12">
      <c r="A263" s="5" t="n"/>
      <c r="B263" s="22" t="n"/>
      <c r="C263" s="133" t="n"/>
      <c r="D263" s="5" t="n"/>
      <c r="E263" s="5" t="n"/>
      <c r="F263" s="5" t="n"/>
      <c r="G263" s="5" t="n"/>
    </row>
    <row r="264" ht="16.5" customFormat="1" customHeight="1" s="12">
      <c r="A264" s="5" t="n"/>
      <c r="B264" s="22" t="n"/>
      <c r="C264" s="133" t="n"/>
      <c r="D264" s="5" t="n"/>
      <c r="E264" s="5" t="n"/>
      <c r="F264" s="5" t="n"/>
      <c r="G264" s="5" t="n"/>
    </row>
    <row r="265" ht="16.5" customFormat="1" customHeight="1" s="12">
      <c r="A265" s="5" t="n"/>
      <c r="B265" s="22" t="n"/>
      <c r="C265" s="133" t="n"/>
      <c r="D265" s="5" t="n"/>
      <c r="E265" s="5" t="n"/>
      <c r="F265" s="5" t="n"/>
      <c r="G265" s="5" t="n"/>
    </row>
    <row r="266" ht="16.5" customFormat="1" customHeight="1" s="12">
      <c r="A266" s="5" t="n"/>
      <c r="B266" s="22" t="n"/>
      <c r="C266" s="133" t="n"/>
      <c r="D266" s="5" t="n"/>
      <c r="E266" s="5" t="n"/>
      <c r="F266" s="5" t="n"/>
      <c r="G266" s="5" t="n"/>
    </row>
    <row r="267" ht="16.5" customFormat="1" customHeight="1" s="12">
      <c r="A267" s="5" t="n"/>
      <c r="B267" s="22" t="n"/>
      <c r="C267" s="133" t="n"/>
      <c r="D267" s="5" t="n"/>
      <c r="E267" s="5" t="n"/>
      <c r="F267" s="5" t="n"/>
      <c r="G267" s="5" t="n"/>
    </row>
    <row r="268" ht="16.5" customFormat="1" customHeight="1" s="12">
      <c r="A268" s="5" t="n"/>
      <c r="B268" s="22" t="n"/>
      <c r="C268" s="133" t="n"/>
      <c r="D268" s="5" t="n"/>
      <c r="E268" s="5" t="n"/>
      <c r="F268" s="5" t="n"/>
      <c r="G268" s="5" t="n"/>
    </row>
    <row r="269" ht="16.5" customFormat="1" customHeight="1" s="12">
      <c r="A269" s="5" t="n"/>
      <c r="B269" s="22" t="n"/>
      <c r="C269" s="133" t="n"/>
      <c r="D269" s="5" t="n"/>
      <c r="E269" s="5" t="n"/>
      <c r="F269" s="5" t="n"/>
      <c r="G269" s="5" t="n"/>
    </row>
    <row r="270" ht="16.5" customFormat="1" customHeight="1" s="12">
      <c r="A270" s="5" t="n"/>
      <c r="B270" s="22" t="n"/>
      <c r="C270" s="133" t="n"/>
      <c r="D270" s="5" t="n"/>
      <c r="E270" s="5" t="n"/>
      <c r="F270" s="5" t="n"/>
      <c r="G270" s="5" t="n"/>
    </row>
    <row r="271" ht="16.5" customFormat="1" customHeight="1" s="12">
      <c r="A271" s="5" t="n"/>
      <c r="B271" s="22" t="n"/>
      <c r="C271" s="133" t="n"/>
      <c r="D271" s="5" t="n"/>
      <c r="E271" s="5" t="n"/>
      <c r="F271" s="5" t="n"/>
      <c r="G271" s="5" t="n"/>
    </row>
    <row r="272" ht="16.5" customFormat="1" customHeight="1" s="12">
      <c r="A272" s="5" t="n"/>
      <c r="B272" s="22" t="n"/>
      <c r="C272" s="133" t="n"/>
      <c r="D272" s="5" t="n"/>
      <c r="E272" s="5" t="n"/>
      <c r="F272" s="5" t="n"/>
      <c r="G272" s="5" t="n"/>
    </row>
    <row r="273" ht="16.5" customFormat="1" customHeight="1" s="12">
      <c r="A273" s="5" t="n"/>
      <c r="B273" s="22" t="n"/>
      <c r="C273" s="133" t="n"/>
      <c r="D273" s="5" t="n"/>
      <c r="E273" s="5" t="n"/>
      <c r="F273" s="5" t="n"/>
      <c r="G273" s="5" t="n"/>
    </row>
    <row r="274" ht="16.5" customFormat="1" customHeight="1" s="12">
      <c r="A274" s="5" t="n"/>
      <c r="B274" s="22" t="n"/>
      <c r="C274" s="133" t="n"/>
      <c r="D274" s="5" t="n"/>
      <c r="E274" s="5" t="n"/>
      <c r="F274" s="5" t="n"/>
      <c r="G274" s="5" t="n"/>
    </row>
    <row r="275" ht="16.5" customFormat="1" customHeight="1" s="12">
      <c r="A275" s="5" t="n"/>
      <c r="B275" s="22" t="n"/>
      <c r="C275" s="133" t="n"/>
      <c r="D275" s="5" t="n"/>
      <c r="E275" s="5" t="n"/>
      <c r="F275" s="5" t="n"/>
      <c r="G275" s="5" t="n"/>
    </row>
    <row r="276" ht="16.5" customFormat="1" customHeight="1" s="12">
      <c r="A276" s="5" t="n"/>
      <c r="B276" s="22" t="n"/>
      <c r="C276" s="133" t="n"/>
      <c r="D276" s="5" t="n"/>
      <c r="E276" s="5" t="n"/>
      <c r="F276" s="5" t="n"/>
      <c r="G276" s="5" t="n"/>
    </row>
    <row r="277" ht="16.5" customFormat="1" customHeight="1" s="12">
      <c r="A277" s="5" t="n"/>
      <c r="B277" s="22" t="n"/>
      <c r="C277" s="133" t="n"/>
      <c r="D277" s="5" t="n"/>
      <c r="E277" s="5" t="n"/>
      <c r="F277" s="5" t="n"/>
      <c r="G277" s="5" t="n"/>
    </row>
    <row r="278" ht="16.5" customFormat="1" customHeight="1" s="12">
      <c r="A278" s="5" t="n"/>
      <c r="B278" s="22" t="n"/>
      <c r="C278" s="133" t="n"/>
      <c r="D278" s="5" t="n"/>
      <c r="E278" s="5" t="n"/>
      <c r="F278" s="5" t="n"/>
      <c r="G278" s="5" t="n"/>
    </row>
    <row r="279" ht="16.5" customFormat="1" customHeight="1" s="12">
      <c r="A279" s="5" t="n"/>
      <c r="B279" s="22" t="n"/>
      <c r="C279" s="133" t="n"/>
      <c r="D279" s="5" t="n"/>
      <c r="E279" s="5" t="n"/>
      <c r="F279" s="5" t="n"/>
      <c r="G279" s="5" t="n"/>
    </row>
    <row r="280" ht="16.5" customFormat="1" customHeight="1" s="12">
      <c r="A280" s="5" t="n"/>
      <c r="B280" s="22" t="n"/>
      <c r="C280" s="133" t="n"/>
      <c r="D280" s="5" t="n"/>
      <c r="E280" s="5" t="n"/>
      <c r="F280" s="5" t="n"/>
      <c r="G280" s="5" t="n"/>
    </row>
    <row r="281" ht="16.5" customFormat="1" customHeight="1" s="12">
      <c r="A281" s="5" t="n"/>
      <c r="B281" s="22" t="n"/>
      <c r="C281" s="133" t="n"/>
      <c r="D281" s="5" t="n"/>
      <c r="E281" s="5" t="n"/>
      <c r="F281" s="5" t="n"/>
      <c r="G281" s="5" t="n"/>
    </row>
    <row r="282" ht="16.5" customFormat="1" customHeight="1" s="12">
      <c r="A282" s="5" t="n"/>
      <c r="B282" s="22" t="n"/>
      <c r="C282" s="133" t="n"/>
      <c r="D282" s="5" t="n"/>
      <c r="E282" s="5" t="n"/>
      <c r="F282" s="5" t="n"/>
      <c r="G282" s="5" t="n"/>
    </row>
    <row r="283" ht="16.5" customFormat="1" customHeight="1" s="12">
      <c r="A283" s="5" t="n"/>
      <c r="B283" s="22" t="n"/>
      <c r="C283" s="133" t="n"/>
      <c r="D283" s="5" t="n"/>
      <c r="E283" s="5" t="n"/>
      <c r="F283" s="5" t="n"/>
      <c r="G283" s="5" t="n"/>
    </row>
    <row r="284" ht="16.5" customFormat="1" customHeight="1" s="12">
      <c r="A284" s="5" t="n"/>
      <c r="B284" s="22" t="n"/>
      <c r="C284" s="133" t="n"/>
      <c r="D284" s="5" t="n"/>
      <c r="E284" s="5" t="n"/>
      <c r="F284" s="5" t="n"/>
      <c r="G284" s="5" t="n"/>
    </row>
    <row r="285" ht="16.5" customFormat="1" customHeight="1" s="12">
      <c r="A285" s="5" t="n"/>
      <c r="B285" s="22" t="n"/>
      <c r="C285" s="133" t="n"/>
      <c r="D285" s="5" t="n"/>
      <c r="E285" s="5" t="n"/>
      <c r="F285" s="5" t="n"/>
      <c r="G285" s="5" t="n"/>
    </row>
    <row r="286" ht="16.5" customFormat="1" customHeight="1" s="12">
      <c r="A286" s="5" t="n"/>
      <c r="B286" s="22" t="n"/>
      <c r="C286" s="133" t="n"/>
      <c r="D286" s="5" t="n"/>
      <c r="E286" s="5" t="n"/>
      <c r="F286" s="5" t="n"/>
      <c r="G286" s="5" t="n"/>
    </row>
    <row r="287" ht="16.5" customFormat="1" customHeight="1" s="12">
      <c r="A287" s="5" t="n"/>
      <c r="B287" s="22" t="n"/>
      <c r="C287" s="133" t="n"/>
      <c r="D287" s="5" t="n"/>
      <c r="E287" s="5" t="n"/>
      <c r="F287" s="5" t="n"/>
      <c r="G287" s="5" t="n"/>
    </row>
    <row r="288" ht="16.5" customFormat="1" customHeight="1" s="12">
      <c r="A288" s="5" t="n"/>
      <c r="B288" s="22" t="n"/>
      <c r="C288" s="133" t="n"/>
      <c r="D288" s="5" t="n"/>
      <c r="E288" s="5" t="n"/>
      <c r="F288" s="5" t="n"/>
      <c r="G288" s="5" t="n"/>
    </row>
    <row r="289" ht="16.5" customFormat="1" customHeight="1" s="12">
      <c r="A289" s="5" t="n"/>
      <c r="B289" s="22" t="n"/>
      <c r="C289" s="133" t="n"/>
      <c r="D289" s="5" t="n"/>
      <c r="E289" s="5" t="n"/>
      <c r="F289" s="5" t="n"/>
      <c r="G289" s="5" t="n"/>
    </row>
    <row r="290" ht="16.5" customFormat="1" customHeight="1" s="12">
      <c r="A290" s="5" t="n"/>
      <c r="B290" s="22" t="n"/>
      <c r="C290" s="133" t="n"/>
      <c r="D290" s="5" t="n"/>
      <c r="E290" s="5" t="n"/>
      <c r="F290" s="5" t="n"/>
      <c r="G290" s="5" t="n"/>
    </row>
    <row r="291" ht="16.5" customFormat="1" customHeight="1" s="12">
      <c r="A291" s="5" t="n"/>
      <c r="B291" s="22" t="n"/>
      <c r="C291" s="133" t="n"/>
      <c r="D291" s="5" t="n"/>
      <c r="E291" s="5" t="n"/>
      <c r="F291" s="5" t="n"/>
      <c r="G291" s="5" t="n"/>
    </row>
    <row r="292" ht="16.5" customFormat="1" customHeight="1" s="12">
      <c r="A292" s="5" t="n"/>
      <c r="B292" s="22" t="n"/>
      <c r="C292" s="133" t="n"/>
      <c r="D292" s="5" t="n"/>
      <c r="E292" s="5" t="n"/>
      <c r="F292" s="5" t="n"/>
      <c r="G292" s="5" t="n"/>
    </row>
    <row r="293" ht="16.5" customFormat="1" customHeight="1" s="12">
      <c r="A293" s="5" t="n"/>
      <c r="B293" s="22" t="n"/>
      <c r="C293" s="133" t="n"/>
      <c r="D293" s="5" t="n"/>
      <c r="E293" s="5" t="n"/>
      <c r="F293" s="5" t="n"/>
      <c r="G293" s="5" t="n"/>
    </row>
    <row r="294" ht="16.5" customFormat="1" customHeight="1" s="12">
      <c r="A294" s="5" t="n"/>
      <c r="B294" s="22" t="n"/>
      <c r="C294" s="133" t="n"/>
      <c r="D294" s="5" t="n"/>
      <c r="E294" s="5" t="n"/>
      <c r="F294" s="5" t="n"/>
      <c r="G294" s="5" t="n"/>
    </row>
    <row r="295" ht="16.5" customFormat="1" customHeight="1" s="12">
      <c r="A295" s="5" t="n"/>
      <c r="B295" s="22" t="n"/>
      <c r="C295" s="133" t="n"/>
      <c r="D295" s="5" t="n"/>
      <c r="E295" s="5" t="n"/>
      <c r="F295" s="5" t="n"/>
      <c r="G295" s="5" t="n"/>
    </row>
    <row r="296" ht="16.5" customFormat="1" customHeight="1" s="12">
      <c r="A296" s="5" t="n"/>
      <c r="B296" s="22" t="n"/>
      <c r="C296" s="133" t="n"/>
      <c r="D296" s="5" t="n"/>
      <c r="E296" s="5" t="n"/>
      <c r="F296" s="5" t="n"/>
      <c r="G296" s="5" t="n"/>
    </row>
    <row r="297" ht="16.5" customFormat="1" customHeight="1" s="12">
      <c r="A297" s="5" t="n"/>
      <c r="B297" s="22" t="n"/>
      <c r="C297" s="133" t="n"/>
      <c r="D297" s="5" t="n"/>
      <c r="E297" s="5" t="n"/>
      <c r="F297" s="5" t="n"/>
      <c r="G297" s="5" t="n"/>
    </row>
    <row r="298" ht="16.5" customFormat="1" customHeight="1" s="12">
      <c r="A298" s="5" t="n"/>
      <c r="B298" s="22" t="n"/>
      <c r="C298" s="133" t="n"/>
      <c r="D298" s="5" t="n"/>
      <c r="E298" s="5" t="n"/>
      <c r="F298" s="5" t="n"/>
      <c r="G298" s="5" t="n"/>
    </row>
    <row r="299" ht="16.5" customFormat="1" customHeight="1" s="12">
      <c r="A299" s="5" t="n"/>
      <c r="B299" s="22" t="n"/>
      <c r="C299" s="133" t="n"/>
      <c r="D299" s="5" t="n"/>
      <c r="E299" s="5" t="n"/>
      <c r="F299" s="5" t="n"/>
      <c r="G299" s="5" t="n"/>
    </row>
    <row r="300" ht="16.5" customFormat="1" customHeight="1" s="12">
      <c r="A300" s="5" t="n"/>
      <c r="B300" s="22" t="n"/>
      <c r="C300" s="133" t="n"/>
      <c r="D300" s="5" t="n"/>
      <c r="E300" s="5" t="n"/>
      <c r="F300" s="5" t="n"/>
      <c r="G300" s="5" t="n"/>
    </row>
    <row r="301" ht="16.5" customFormat="1" customHeight="1" s="12">
      <c r="A301" s="5" t="n"/>
      <c r="B301" s="22" t="n"/>
      <c r="C301" s="133" t="n"/>
      <c r="D301" s="5" t="n"/>
      <c r="E301" s="5" t="n"/>
      <c r="F301" s="5" t="n"/>
      <c r="G301" s="5" t="n"/>
    </row>
    <row r="302" ht="16.5" customFormat="1" customHeight="1" s="12">
      <c r="A302" s="5" t="n"/>
      <c r="B302" s="22" t="n"/>
      <c r="C302" s="133" t="n"/>
      <c r="D302" s="5" t="n"/>
      <c r="E302" s="5" t="n"/>
      <c r="F302" s="5" t="n"/>
      <c r="G302" s="5" t="n"/>
    </row>
    <row r="303" ht="16.5" customFormat="1" customHeight="1" s="12">
      <c r="A303" s="5" t="n"/>
      <c r="B303" s="22" t="n"/>
      <c r="C303" s="133" t="n"/>
      <c r="D303" s="5" t="n"/>
      <c r="E303" s="5" t="n"/>
      <c r="F303" s="5" t="n"/>
      <c r="G303" s="5" t="n"/>
    </row>
    <row r="304" ht="16.5" customFormat="1" customHeight="1" s="12">
      <c r="A304" s="5" t="n"/>
      <c r="B304" s="22" t="n"/>
      <c r="C304" s="133" t="n"/>
      <c r="D304" s="5" t="n"/>
      <c r="E304" s="5" t="n"/>
      <c r="F304" s="5" t="n"/>
      <c r="G304" s="5" t="n"/>
    </row>
    <row r="305" ht="16.5" customFormat="1" customHeight="1" s="12">
      <c r="A305" s="5" t="n"/>
      <c r="B305" s="22" t="n"/>
      <c r="C305" s="133" t="n"/>
      <c r="D305" s="5" t="n"/>
      <c r="E305" s="5" t="n"/>
      <c r="F305" s="5" t="n"/>
      <c r="G305" s="5" t="n"/>
    </row>
    <row r="306" ht="16.5" customFormat="1" customHeight="1" s="12">
      <c r="A306" s="5" t="n"/>
      <c r="B306" s="22" t="n"/>
      <c r="C306" s="133" t="n"/>
      <c r="D306" s="5" t="n"/>
      <c r="E306" s="5" t="n"/>
      <c r="F306" s="5" t="n"/>
      <c r="G306" s="5" t="n"/>
    </row>
    <row r="307" ht="16.5" customFormat="1" customHeight="1" s="12">
      <c r="A307" s="5" t="n"/>
      <c r="B307" s="22" t="n"/>
      <c r="C307" s="133" t="n"/>
      <c r="D307" s="5" t="n"/>
      <c r="E307" s="5" t="n"/>
      <c r="F307" s="5" t="n"/>
      <c r="G307" s="5" t="n"/>
    </row>
    <row r="308" ht="16.5" customFormat="1" customHeight="1" s="12">
      <c r="A308" s="5" t="n"/>
      <c r="B308" s="22" t="n"/>
      <c r="C308" s="133" t="n"/>
      <c r="D308" s="5" t="n"/>
      <c r="E308" s="5" t="n"/>
      <c r="F308" s="5" t="n"/>
      <c r="G308" s="5" t="n"/>
    </row>
    <row r="309" ht="16.5" customFormat="1" customHeight="1" s="12">
      <c r="A309" s="5" t="n"/>
      <c r="B309" s="22" t="n"/>
      <c r="C309" s="133" t="n"/>
      <c r="D309" s="5" t="n"/>
      <c r="E309" s="5" t="n"/>
      <c r="F309" s="5" t="n"/>
      <c r="G309" s="5" t="n"/>
    </row>
    <row r="310" ht="16.5" customFormat="1" customHeight="1" s="12">
      <c r="A310" s="5" t="n"/>
      <c r="B310" s="22" t="n"/>
      <c r="C310" s="133" t="n"/>
      <c r="D310" s="5" t="n"/>
      <c r="E310" s="5" t="n"/>
      <c r="F310" s="5" t="n"/>
      <c r="G310" s="5" t="n"/>
    </row>
    <row r="311" ht="16.5" customFormat="1" customHeight="1" s="12">
      <c r="A311" s="5" t="n"/>
      <c r="B311" s="22" t="n"/>
      <c r="C311" s="133" t="n"/>
      <c r="D311" s="5" t="n"/>
      <c r="E311" s="5" t="n"/>
      <c r="F311" s="5" t="n"/>
      <c r="G311" s="5" t="n"/>
    </row>
    <row r="312" ht="16.5" customFormat="1" customHeight="1" s="12">
      <c r="A312" s="5" t="n"/>
      <c r="B312" s="22" t="n"/>
      <c r="C312" s="133" t="n"/>
      <c r="D312" s="5" t="n"/>
      <c r="E312" s="5" t="n"/>
      <c r="F312" s="5" t="n"/>
      <c r="G312" s="5" t="n"/>
    </row>
    <row r="313" ht="16.5" customFormat="1" customHeight="1" s="12">
      <c r="A313" s="5" t="n"/>
      <c r="B313" s="22" t="n"/>
      <c r="C313" s="133" t="n"/>
      <c r="D313" s="5" t="n"/>
      <c r="E313" s="5" t="n"/>
      <c r="F313" s="5" t="n"/>
      <c r="G313" s="5" t="n"/>
    </row>
    <row r="314" ht="16.5" customFormat="1" customHeight="1" s="12">
      <c r="A314" s="5" t="n"/>
      <c r="B314" s="22" t="n"/>
      <c r="C314" s="133" t="n"/>
      <c r="D314" s="5" t="n"/>
      <c r="E314" s="5" t="n"/>
      <c r="F314" s="5" t="n"/>
      <c r="G314" s="5" t="n"/>
    </row>
    <row r="315" ht="16.5" customFormat="1" customHeight="1" s="12">
      <c r="A315" s="5" t="n"/>
      <c r="B315" s="22" t="n"/>
      <c r="C315" s="133" t="n"/>
      <c r="D315" s="5" t="n"/>
      <c r="E315" s="5" t="n"/>
      <c r="F315" s="5" t="n"/>
      <c r="G315" s="5" t="n"/>
    </row>
    <row r="316" ht="16.5" customFormat="1" customHeight="1" s="12">
      <c r="A316" s="5" t="n"/>
      <c r="B316" s="22" t="n"/>
      <c r="C316" s="133" t="n"/>
      <c r="D316" s="5" t="n"/>
      <c r="E316" s="5" t="n"/>
      <c r="F316" s="5" t="n"/>
      <c r="G316" s="5" t="n"/>
    </row>
    <row r="317" ht="16.5" customFormat="1" customHeight="1" s="12">
      <c r="A317" s="5" t="n"/>
      <c r="B317" s="22" t="n"/>
      <c r="C317" s="133" t="n"/>
      <c r="D317" s="5" t="n"/>
      <c r="E317" s="5" t="n"/>
      <c r="F317" s="5" t="n"/>
      <c r="G317" s="5" t="n"/>
    </row>
    <row r="318" ht="16.5" customFormat="1" customHeight="1" s="12">
      <c r="A318" s="5" t="n"/>
      <c r="B318" s="22" t="n"/>
      <c r="C318" s="133" t="n"/>
      <c r="D318" s="5" t="n"/>
      <c r="E318" s="5" t="n"/>
      <c r="F318" s="5" t="n"/>
      <c r="G318" s="5" t="n"/>
    </row>
    <row r="319" ht="16.5" customFormat="1" customHeight="1" s="12">
      <c r="A319" s="5" t="n"/>
      <c r="B319" s="22" t="n"/>
      <c r="C319" s="133" t="n"/>
      <c r="D319" s="5" t="n"/>
      <c r="E319" s="5" t="n"/>
      <c r="F319" s="5" t="n"/>
      <c r="G319" s="5" t="n"/>
    </row>
    <row r="320" ht="16.5" customFormat="1" customHeight="1" s="12">
      <c r="A320" s="5" t="n"/>
      <c r="B320" s="22" t="n"/>
      <c r="C320" s="133" t="n"/>
      <c r="D320" s="5" t="n"/>
      <c r="E320" s="5" t="n"/>
      <c r="F320" s="5" t="n"/>
      <c r="G320" s="5" t="n"/>
    </row>
    <row r="321" ht="16.5" customFormat="1" customHeight="1" s="12">
      <c r="A321" s="5" t="n"/>
      <c r="B321" s="22" t="n"/>
      <c r="C321" s="133" t="n"/>
      <c r="D321" s="5" t="n"/>
      <c r="E321" s="5" t="n"/>
      <c r="F321" s="5" t="n"/>
      <c r="G321" s="5" t="n"/>
    </row>
    <row r="322" ht="16.5" customFormat="1" customHeight="1" s="12">
      <c r="A322" s="5" t="n"/>
      <c r="B322" s="22" t="n"/>
      <c r="C322" s="133" t="n"/>
      <c r="D322" s="5" t="n"/>
      <c r="E322" s="5" t="n"/>
      <c r="F322" s="5" t="n"/>
      <c r="G322" s="5" t="n"/>
    </row>
    <row r="323" ht="16.5" customFormat="1" customHeight="1" s="12">
      <c r="A323" s="5" t="n"/>
      <c r="B323" s="22" t="n"/>
      <c r="C323" s="133" t="n"/>
      <c r="D323" s="5" t="n"/>
      <c r="E323" s="5" t="n"/>
      <c r="F323" s="5" t="n"/>
      <c r="G323" s="5" t="n"/>
    </row>
    <row r="324" ht="16.5" customFormat="1" customHeight="1" s="12">
      <c r="A324" s="5" t="n"/>
      <c r="B324" s="22" t="n"/>
      <c r="C324" s="133" t="n"/>
      <c r="D324" s="5" t="n"/>
      <c r="E324" s="5" t="n"/>
      <c r="F324" s="5" t="n"/>
      <c r="G324" s="5" t="n"/>
    </row>
    <row r="325" ht="16.5" customFormat="1" customHeight="1" s="12">
      <c r="A325" s="5" t="n"/>
      <c r="B325" s="22" t="n"/>
      <c r="C325" s="133" t="n"/>
      <c r="D325" s="5" t="n"/>
      <c r="E325" s="5" t="n"/>
      <c r="F325" s="5" t="n"/>
      <c r="G325" s="5" t="n"/>
    </row>
    <row r="326" ht="16.5" customFormat="1" customHeight="1" s="12">
      <c r="A326" s="5" t="n"/>
      <c r="B326" s="22" t="n"/>
      <c r="C326" s="133" t="n"/>
      <c r="D326" s="5" t="n"/>
      <c r="E326" s="5" t="n"/>
      <c r="F326" s="5" t="n"/>
      <c r="G326" s="5" t="n"/>
    </row>
    <row r="327" ht="16.5" customFormat="1" customHeight="1" s="12">
      <c r="A327" s="5" t="n"/>
      <c r="B327" s="22" t="n"/>
      <c r="C327" s="133" t="n"/>
      <c r="D327" s="5" t="n"/>
      <c r="E327" s="5" t="n"/>
      <c r="F327" s="5" t="n"/>
      <c r="G327" s="5" t="n"/>
    </row>
    <row r="328" ht="16.5" customFormat="1" customHeight="1" s="12">
      <c r="A328" s="5" t="n"/>
      <c r="B328" s="22" t="n"/>
      <c r="C328" s="133" t="n"/>
      <c r="D328" s="5" t="n"/>
      <c r="E328" s="5" t="n"/>
      <c r="F328" s="5" t="n"/>
      <c r="G328" s="5" t="n"/>
    </row>
    <row r="329" ht="16.5" customFormat="1" customHeight="1" s="12">
      <c r="A329" s="5" t="n"/>
      <c r="B329" s="22" t="n"/>
      <c r="C329" s="133" t="n"/>
      <c r="D329" s="5" t="n"/>
      <c r="E329" s="5" t="n"/>
      <c r="F329" s="5" t="n"/>
      <c r="G329" s="5" t="n"/>
    </row>
    <row r="330" ht="16.5" customFormat="1" customHeight="1" s="12">
      <c r="A330" s="5" t="n"/>
      <c r="B330" s="22" t="n"/>
      <c r="C330" s="133" t="n"/>
      <c r="D330" s="5" t="n"/>
      <c r="E330" s="5" t="n"/>
      <c r="F330" s="5" t="n"/>
      <c r="G330" s="5" t="n"/>
    </row>
    <row r="331" ht="16.5" customFormat="1" customHeight="1" s="12">
      <c r="A331" s="5" t="n"/>
      <c r="B331" s="22" t="n"/>
      <c r="C331" s="133" t="n"/>
      <c r="D331" s="5" t="n"/>
      <c r="E331" s="5" t="n"/>
      <c r="F331" s="5" t="n"/>
      <c r="G331" s="5" t="n"/>
    </row>
    <row r="332" ht="16.5" customFormat="1" customHeight="1" s="12">
      <c r="A332" s="5" t="n"/>
      <c r="B332" s="22" t="n"/>
      <c r="C332" s="133" t="n"/>
      <c r="D332" s="5" t="n"/>
      <c r="E332" s="5" t="n"/>
      <c r="F332" s="5" t="n"/>
      <c r="G332" s="5" t="n"/>
    </row>
    <row r="333" ht="16.5" customFormat="1" customHeight="1" s="12">
      <c r="A333" s="5" t="n"/>
      <c r="B333" s="22" t="n"/>
      <c r="C333" s="133" t="n"/>
      <c r="D333" s="5" t="n"/>
      <c r="E333" s="5" t="n"/>
      <c r="F333" s="5" t="n"/>
      <c r="G333" s="5" t="n"/>
    </row>
    <row r="334" ht="16.5" customFormat="1" customHeight="1" s="12">
      <c r="A334" s="5" t="n"/>
      <c r="B334" s="22" t="n"/>
      <c r="C334" s="133" t="n"/>
      <c r="D334" s="5" t="n"/>
      <c r="E334" s="5" t="n"/>
      <c r="F334" s="5" t="n"/>
      <c r="G334" s="5" t="n"/>
    </row>
    <row r="335" ht="16.5" customFormat="1" customHeight="1" s="12">
      <c r="A335" s="5" t="n"/>
      <c r="B335" s="22" t="n"/>
      <c r="C335" s="133" t="n"/>
      <c r="D335" s="5" t="n"/>
      <c r="E335" s="5" t="n"/>
      <c r="F335" s="5" t="n"/>
      <c r="G335" s="5" t="n"/>
    </row>
    <row r="336" ht="16.5" customFormat="1" customHeight="1" s="12">
      <c r="A336" s="5" t="n"/>
      <c r="B336" s="22" t="n"/>
      <c r="C336" s="133" t="n"/>
      <c r="D336" s="5" t="n"/>
      <c r="E336" s="5" t="n"/>
      <c r="F336" s="5" t="n"/>
      <c r="G336" s="5" t="n"/>
    </row>
    <row r="337" ht="16.5" customFormat="1" customHeight="1" s="12">
      <c r="A337" s="5" t="n"/>
      <c r="B337" s="22" t="n"/>
      <c r="C337" s="133" t="n"/>
      <c r="D337" s="5" t="n"/>
      <c r="E337" s="5" t="n"/>
      <c r="F337" s="5" t="n"/>
      <c r="G337" s="5" t="n"/>
    </row>
    <row r="338" ht="16.5" customFormat="1" customHeight="1" s="12">
      <c r="A338" s="5" t="n"/>
      <c r="B338" s="22" t="n"/>
      <c r="C338" s="133" t="n"/>
      <c r="D338" s="5" t="n"/>
      <c r="E338" s="5" t="n"/>
      <c r="F338" s="5" t="n"/>
      <c r="G338" s="5" t="n"/>
    </row>
    <row r="339" ht="16.5" customFormat="1" customHeight="1" s="12">
      <c r="A339" s="5" t="n"/>
      <c r="B339" s="22" t="n"/>
      <c r="C339" s="133" t="n"/>
      <c r="D339" s="5" t="n"/>
      <c r="E339" s="5" t="n"/>
      <c r="F339" s="5" t="n"/>
      <c r="G339" s="5" t="n"/>
    </row>
    <row r="340" ht="16.5" customFormat="1" customHeight="1" s="12">
      <c r="A340" s="5" t="n"/>
      <c r="B340" s="22" t="n"/>
      <c r="C340" s="133" t="n"/>
      <c r="D340" s="5" t="n"/>
      <c r="E340" s="5" t="n"/>
      <c r="F340" s="5" t="n"/>
      <c r="G340" s="5" t="n"/>
    </row>
    <row r="341" ht="16.5" customFormat="1" customHeight="1" s="12">
      <c r="A341" s="5" t="n"/>
      <c r="B341" s="22" t="n"/>
      <c r="C341" s="133" t="n"/>
      <c r="D341" s="5" t="n"/>
      <c r="E341" s="5" t="n"/>
      <c r="F341" s="5" t="n"/>
      <c r="G341" s="5" t="n"/>
    </row>
    <row r="342" ht="16.5" customFormat="1" customHeight="1" s="12">
      <c r="A342" s="5" t="n"/>
      <c r="B342" s="22" t="n"/>
      <c r="C342" s="133" t="n"/>
      <c r="D342" s="5" t="n"/>
      <c r="E342" s="5" t="n"/>
      <c r="F342" s="5" t="n"/>
      <c r="G342" s="5" t="n"/>
    </row>
    <row r="343" ht="16.5" customFormat="1" customHeight="1" s="12">
      <c r="A343" s="5" t="n"/>
      <c r="B343" s="22" t="n"/>
      <c r="C343" s="133" t="n"/>
      <c r="D343" s="5" t="n"/>
      <c r="E343" s="5" t="n"/>
      <c r="F343" s="5" t="n"/>
      <c r="G343" s="5" t="n"/>
    </row>
    <row r="344" ht="16.5" customFormat="1" customHeight="1" s="12">
      <c r="A344" s="5" t="n"/>
      <c r="B344" s="22" t="n"/>
      <c r="C344" s="133" t="n"/>
      <c r="D344" s="5" t="n"/>
      <c r="E344" s="5" t="n"/>
      <c r="F344" s="5" t="n"/>
      <c r="G344" s="5" t="n"/>
    </row>
    <row r="345" ht="16.5" customFormat="1" customHeight="1" s="12">
      <c r="A345" s="5" t="n"/>
      <c r="B345" s="22" t="n"/>
      <c r="C345" s="133" t="n"/>
      <c r="D345" s="5" t="n"/>
      <c r="E345" s="5" t="n"/>
      <c r="F345" s="5" t="n"/>
      <c r="G345" s="5" t="n"/>
    </row>
    <row r="346" ht="16.5" customFormat="1" customHeight="1" s="12">
      <c r="A346" s="5" t="n"/>
      <c r="B346" s="22" t="n"/>
      <c r="C346" s="133" t="n"/>
      <c r="D346" s="5" t="n"/>
      <c r="E346" s="5" t="n"/>
      <c r="F346" s="5" t="n"/>
      <c r="G346" s="5" t="n"/>
    </row>
    <row r="347" ht="16.5" customFormat="1" customHeight="1" s="12">
      <c r="A347" s="5" t="n"/>
      <c r="B347" s="22" t="n"/>
      <c r="C347" s="133" t="n"/>
      <c r="D347" s="5" t="n"/>
      <c r="E347" s="5" t="n"/>
      <c r="F347" s="5" t="n"/>
      <c r="G347" s="5" t="n"/>
    </row>
    <row r="348" ht="16.5" customFormat="1" customHeight="1" s="12">
      <c r="A348" s="5" t="n"/>
      <c r="B348" s="22" t="n"/>
      <c r="C348" s="133" t="n"/>
      <c r="D348" s="5" t="n"/>
      <c r="E348" s="5" t="n"/>
      <c r="F348" s="5" t="n"/>
      <c r="G348" s="5" t="n"/>
    </row>
    <row r="349" ht="16.5" customFormat="1" customHeight="1" s="12">
      <c r="A349" s="5" t="n"/>
      <c r="B349" s="22" t="n"/>
      <c r="C349" s="133" t="n"/>
      <c r="D349" s="5" t="n"/>
      <c r="E349" s="5" t="n"/>
      <c r="F349" s="5" t="n"/>
      <c r="G349" s="5" t="n"/>
    </row>
    <row r="350" ht="16.5" customFormat="1" customHeight="1" s="12">
      <c r="A350" s="5" t="n"/>
      <c r="B350" s="22" t="n"/>
      <c r="C350" s="133" t="n"/>
      <c r="D350" s="5" t="n"/>
      <c r="E350" s="5" t="n"/>
      <c r="F350" s="5" t="n"/>
      <c r="G350" s="5" t="n"/>
    </row>
    <row r="351" ht="16.5" customFormat="1" customHeight="1" s="12">
      <c r="A351" s="5" t="n"/>
      <c r="B351" s="22" t="n"/>
      <c r="C351" s="133" t="n"/>
      <c r="D351" s="5" t="n"/>
      <c r="E351" s="5" t="n"/>
      <c r="F351" s="5" t="n"/>
      <c r="G351" s="5" t="n"/>
    </row>
    <row r="352" ht="16.5" customFormat="1" customHeight="1" s="12">
      <c r="A352" s="5" t="n"/>
      <c r="B352" s="22" t="n"/>
      <c r="C352" s="133" t="n"/>
      <c r="D352" s="5" t="n"/>
      <c r="E352" s="5" t="n"/>
      <c r="F352" s="5" t="n"/>
      <c r="G352" s="5" t="n"/>
    </row>
    <row r="353" ht="16.5" customFormat="1" customHeight="1" s="12">
      <c r="A353" s="5" t="n"/>
      <c r="B353" s="22" t="n"/>
      <c r="C353" s="133" t="n"/>
      <c r="D353" s="5" t="n"/>
      <c r="E353" s="5" t="n"/>
      <c r="F353" s="5" t="n"/>
      <c r="G353" s="5" t="n"/>
    </row>
    <row r="354" ht="16.5" customFormat="1" customHeight="1" s="12">
      <c r="A354" s="5" t="n"/>
      <c r="B354" s="22" t="n"/>
      <c r="C354" s="133" t="n"/>
      <c r="D354" s="5" t="n"/>
      <c r="E354" s="5" t="n"/>
      <c r="F354" s="5" t="n"/>
      <c r="G354" s="5" t="n"/>
    </row>
    <row r="355" ht="16.5" customFormat="1" customHeight="1" s="12">
      <c r="A355" s="5" t="n"/>
      <c r="B355" s="22" t="n"/>
      <c r="C355" s="133" t="n"/>
      <c r="D355" s="5" t="n"/>
      <c r="E355" s="5" t="n"/>
      <c r="F355" s="5" t="n"/>
      <c r="G355" s="5" t="n"/>
    </row>
    <row r="356" ht="16.5" customFormat="1" customHeight="1" s="12">
      <c r="A356" s="5" t="n"/>
      <c r="B356" s="22" t="n"/>
      <c r="C356" s="133" t="n"/>
      <c r="D356" s="5" t="n"/>
      <c r="E356" s="5" t="n"/>
      <c r="F356" s="5" t="n"/>
      <c r="G356" s="5" t="n"/>
    </row>
    <row r="357" ht="16.5" customFormat="1" customHeight="1" s="12">
      <c r="A357" s="5" t="n"/>
      <c r="B357" s="22" t="n"/>
      <c r="C357" s="133" t="n"/>
      <c r="D357" s="5" t="n"/>
      <c r="E357" s="5" t="n"/>
      <c r="F357" s="5" t="n"/>
      <c r="G357" s="5" t="n"/>
    </row>
    <row r="358" ht="16.5" customFormat="1" customHeight="1" s="12">
      <c r="A358" s="5" t="n"/>
      <c r="B358" s="22" t="n"/>
      <c r="C358" s="133" t="n"/>
      <c r="D358" s="5" t="n"/>
      <c r="E358" s="5" t="n"/>
      <c r="F358" s="5" t="n"/>
      <c r="G358" s="5" t="n"/>
    </row>
    <row r="359" ht="16.5" customFormat="1" customHeight="1" s="12">
      <c r="A359" s="5" t="n"/>
      <c r="B359" s="22" t="n"/>
      <c r="C359" s="133" t="n"/>
      <c r="D359" s="5" t="n"/>
      <c r="E359" s="5" t="n"/>
      <c r="F359" s="5" t="n"/>
      <c r="G359" s="5" t="n"/>
    </row>
    <row r="360" ht="16.5" customFormat="1" customHeight="1" s="12">
      <c r="A360" s="5" t="n"/>
      <c r="B360" s="22" t="n"/>
      <c r="C360" s="133" t="n"/>
      <c r="D360" s="5" t="n"/>
      <c r="E360" s="5" t="n"/>
      <c r="F360" s="5" t="n"/>
      <c r="G360" s="5" t="n"/>
    </row>
    <row r="361" ht="16.5" customFormat="1" customHeight="1" s="12">
      <c r="A361" s="5" t="n"/>
      <c r="B361" s="22" t="n"/>
      <c r="C361" s="133" t="n"/>
      <c r="D361" s="5" t="n"/>
      <c r="E361" s="5" t="n"/>
      <c r="F361" s="5" t="n"/>
      <c r="G361" s="5" t="n"/>
    </row>
    <row r="362" ht="16.5" customFormat="1" customHeight="1" s="12">
      <c r="A362" s="5" t="n"/>
      <c r="B362" s="22" t="n"/>
      <c r="C362" s="133" t="n"/>
      <c r="D362" s="5" t="n"/>
      <c r="E362" s="5" t="n"/>
      <c r="F362" s="5" t="n"/>
      <c r="G362" s="5" t="n"/>
    </row>
    <row r="363" ht="16.5" customFormat="1" customHeight="1" s="12">
      <c r="A363" s="5" t="n"/>
      <c r="B363" s="22" t="n"/>
      <c r="C363" s="133" t="n"/>
      <c r="D363" s="5" t="n"/>
      <c r="E363" s="5" t="n"/>
      <c r="F363" s="5" t="n"/>
      <c r="G363" s="5" t="n"/>
    </row>
    <row r="364" ht="16.5" customFormat="1" customHeight="1" s="12">
      <c r="A364" s="5" t="n"/>
      <c r="B364" s="22" t="n"/>
      <c r="C364" s="133" t="n"/>
      <c r="D364" s="5" t="n"/>
      <c r="E364" s="5" t="n"/>
      <c r="F364" s="5" t="n"/>
      <c r="G364" s="5" t="n"/>
    </row>
    <row r="365" ht="16.5" customFormat="1" customHeight="1" s="12">
      <c r="A365" s="5" t="n"/>
      <c r="B365" s="22" t="n"/>
      <c r="C365" s="133" t="n"/>
      <c r="D365" s="5" t="n"/>
      <c r="E365" s="5" t="n"/>
      <c r="F365" s="5" t="n"/>
      <c r="G365" s="5" t="n"/>
    </row>
    <row r="366" ht="16.5" customFormat="1" customHeight="1" s="12">
      <c r="A366" s="5" t="n"/>
      <c r="B366" s="22" t="n"/>
      <c r="C366" s="133" t="n"/>
      <c r="D366" s="5" t="n"/>
      <c r="E366" s="5" t="n"/>
      <c r="F366" s="5" t="n"/>
      <c r="G366" s="5" t="n"/>
    </row>
    <row r="367" ht="16.5" customFormat="1" customHeight="1" s="12">
      <c r="A367" s="5" t="n"/>
      <c r="B367" s="22" t="n"/>
      <c r="C367" s="133" t="n"/>
      <c r="D367" s="5" t="n"/>
      <c r="E367" s="5" t="n"/>
      <c r="F367" s="5" t="n"/>
      <c r="G367" s="5" t="n"/>
    </row>
    <row r="368" ht="16.5" customFormat="1" customHeight="1" s="12">
      <c r="A368" s="5" t="n"/>
      <c r="B368" s="22" t="n"/>
      <c r="C368" s="133" t="n"/>
      <c r="D368" s="5" t="n"/>
      <c r="E368" s="5" t="n"/>
      <c r="F368" s="5" t="n"/>
      <c r="G368" s="5" t="n"/>
    </row>
    <row r="369" ht="16.5" customFormat="1" customHeight="1" s="12">
      <c r="A369" s="5" t="n"/>
      <c r="B369" s="22" t="n"/>
      <c r="C369" s="133" t="n"/>
      <c r="D369" s="5" t="n"/>
      <c r="E369" s="5" t="n"/>
      <c r="F369" s="5" t="n"/>
      <c r="G369" s="5" t="n"/>
    </row>
    <row r="370" ht="16.5" customFormat="1" customHeight="1" s="12">
      <c r="A370" s="5" t="n"/>
      <c r="B370" s="22" t="n"/>
      <c r="C370" s="133" t="n"/>
      <c r="D370" s="5" t="n"/>
      <c r="E370" s="5" t="n"/>
      <c r="F370" s="5" t="n"/>
      <c r="G370" s="5" t="n"/>
    </row>
    <row r="371" ht="16.5" customFormat="1" customHeight="1" s="12">
      <c r="A371" s="5" t="n"/>
      <c r="B371" s="22" t="n"/>
      <c r="C371" s="133" t="n"/>
      <c r="D371" s="5" t="n"/>
      <c r="E371" s="5" t="n"/>
      <c r="F371" s="5" t="n"/>
      <c r="G371" s="5" t="n"/>
    </row>
    <row r="372" ht="16.5" customFormat="1" customHeight="1" s="12">
      <c r="A372" s="5" t="n"/>
      <c r="B372" s="22" t="n"/>
      <c r="C372" s="133" t="n"/>
      <c r="D372" s="5" t="n"/>
      <c r="E372" s="5" t="n"/>
      <c r="F372" s="5" t="n"/>
      <c r="G372" s="5" t="n"/>
    </row>
    <row r="373" ht="16.5" customFormat="1" customHeight="1" s="12">
      <c r="A373" s="5" t="n"/>
      <c r="B373" s="22" t="n"/>
      <c r="C373" s="133" t="n"/>
      <c r="D373" s="5" t="n"/>
      <c r="E373" s="5" t="n"/>
      <c r="F373" s="5" t="n"/>
      <c r="G373" s="5" t="n"/>
    </row>
    <row r="374" ht="16.5" customFormat="1" customHeight="1" s="12">
      <c r="A374" s="5" t="n"/>
      <c r="B374" s="22" t="n"/>
      <c r="C374" s="133" t="n"/>
      <c r="D374" s="5" t="n"/>
      <c r="E374" s="5" t="n"/>
      <c r="F374" s="5" t="n"/>
      <c r="G374" s="5" t="n"/>
    </row>
    <row r="375" ht="16.5" customFormat="1" customHeight="1" s="12">
      <c r="A375" s="5" t="n"/>
      <c r="B375" s="22" t="n"/>
      <c r="C375" s="133" t="n"/>
      <c r="D375" s="5" t="n"/>
      <c r="E375" s="5" t="n"/>
      <c r="F375" s="5" t="n"/>
      <c r="G375" s="5" t="n"/>
    </row>
    <row r="376" ht="16.5" customFormat="1" customHeight="1" s="12">
      <c r="A376" s="5" t="n"/>
      <c r="B376" s="22" t="n"/>
      <c r="C376" s="133" t="n"/>
      <c r="D376" s="5" t="n"/>
      <c r="E376" s="5" t="n"/>
      <c r="F376" s="5" t="n"/>
      <c r="G376" s="5" t="n"/>
    </row>
    <row r="377" ht="16.5" customFormat="1" customHeight="1" s="12">
      <c r="A377" s="5" t="n"/>
      <c r="B377" s="22" t="n"/>
      <c r="C377" s="133" t="n"/>
      <c r="D377" s="5" t="n"/>
      <c r="E377" s="5" t="n"/>
      <c r="F377" s="5" t="n"/>
      <c r="G377" s="5" t="n"/>
    </row>
    <row r="378" ht="16.5" customFormat="1" customHeight="1" s="12">
      <c r="A378" s="5" t="n"/>
      <c r="B378" s="22" t="n"/>
      <c r="C378" s="133" t="n"/>
      <c r="D378" s="5" t="n"/>
      <c r="E378" s="5" t="n"/>
      <c r="F378" s="5" t="n"/>
      <c r="G378" s="5" t="n"/>
    </row>
    <row r="379" ht="16.5" customFormat="1" customHeight="1" s="12">
      <c r="A379" s="5" t="n"/>
      <c r="B379" s="22" t="n"/>
      <c r="C379" s="133" t="n"/>
      <c r="D379" s="5" t="n"/>
      <c r="E379" s="5" t="n"/>
      <c r="F379" s="5" t="n"/>
      <c r="G379" s="5" t="n"/>
    </row>
    <row r="380" ht="16.5" customFormat="1" customHeight="1" s="12">
      <c r="A380" s="5" t="n"/>
      <c r="B380" s="22" t="n"/>
      <c r="C380" s="133" t="n"/>
      <c r="D380" s="5" t="n"/>
      <c r="E380" s="5" t="n"/>
      <c r="F380" s="5" t="n"/>
      <c r="G380" s="5" t="n"/>
    </row>
    <row r="381" ht="16.5" customFormat="1" customHeight="1" s="12">
      <c r="A381" s="5" t="n"/>
      <c r="B381" s="22" t="n"/>
      <c r="C381" s="133" t="n"/>
      <c r="D381" s="5" t="n"/>
      <c r="E381" s="5" t="n"/>
      <c r="F381" s="5" t="n"/>
      <c r="G381" s="5" t="n"/>
    </row>
    <row r="382" ht="16.5" customFormat="1" customHeight="1" s="12">
      <c r="A382" s="5" t="n"/>
      <c r="B382" s="22" t="n"/>
      <c r="C382" s="133" t="n"/>
      <c r="D382" s="5" t="n"/>
      <c r="E382" s="5" t="n"/>
      <c r="F382" s="5" t="n"/>
      <c r="G382" s="5" t="n"/>
    </row>
    <row r="383" ht="16.5" customFormat="1" customHeight="1" s="12">
      <c r="A383" s="5" t="n"/>
      <c r="B383" s="22" t="n"/>
      <c r="C383" s="133" t="n"/>
      <c r="D383" s="5" t="n"/>
      <c r="E383" s="5" t="n"/>
      <c r="F383" s="5" t="n"/>
      <c r="G383" s="5" t="n"/>
    </row>
    <row r="384" ht="16.5" customFormat="1" customHeight="1" s="12">
      <c r="A384" s="5" t="n"/>
      <c r="B384" s="22" t="n"/>
      <c r="C384" s="133" t="n"/>
      <c r="D384" s="5" t="n"/>
      <c r="E384" s="5" t="n"/>
      <c r="F384" s="5" t="n"/>
      <c r="G384" s="5" t="n"/>
    </row>
    <row r="385" ht="16.5" customFormat="1" customHeight="1" s="12">
      <c r="A385" s="5" t="n"/>
      <c r="B385" s="22" t="n"/>
      <c r="C385" s="133" t="n"/>
      <c r="D385" s="5" t="n"/>
      <c r="E385" s="5" t="n"/>
      <c r="F385" s="5" t="n"/>
      <c r="G385" s="5" t="n"/>
    </row>
    <row r="386" ht="16.5" customFormat="1" customHeight="1" s="12">
      <c r="A386" s="5" t="n"/>
      <c r="B386" s="22" t="n"/>
      <c r="C386" s="133" t="n"/>
      <c r="D386" s="5" t="n"/>
      <c r="E386" s="5" t="n"/>
      <c r="F386" s="5" t="n"/>
      <c r="G386" s="5" t="n"/>
    </row>
    <row r="387" ht="16.5" customFormat="1" customHeight="1" s="12">
      <c r="A387" s="5" t="n"/>
      <c r="B387" s="22" t="n"/>
      <c r="C387" s="133" t="n"/>
      <c r="D387" s="5" t="n"/>
      <c r="E387" s="5" t="n"/>
      <c r="F387" s="5" t="n"/>
      <c r="G387" s="5" t="n"/>
    </row>
    <row r="388" ht="16.5" customFormat="1" customHeight="1" s="12">
      <c r="A388" s="5" t="n"/>
      <c r="B388" s="22" t="n"/>
      <c r="C388" s="133" t="n"/>
      <c r="D388" s="5" t="n"/>
      <c r="E388" s="5" t="n"/>
      <c r="F388" s="5" t="n"/>
      <c r="G388" s="5" t="n"/>
    </row>
    <row r="389" ht="16.5" customFormat="1" customHeight="1" s="12">
      <c r="A389" s="5" t="n"/>
      <c r="B389" s="22" t="n"/>
      <c r="C389" s="133" t="n"/>
      <c r="D389" s="5" t="n"/>
      <c r="E389" s="5" t="n"/>
      <c r="F389" s="5" t="n"/>
      <c r="G389" s="5" t="n"/>
    </row>
    <row r="390" ht="16.5" customFormat="1" customHeight="1" s="12">
      <c r="A390" s="5" t="n"/>
      <c r="B390" s="22" t="n"/>
      <c r="C390" s="133" t="n"/>
      <c r="D390" s="5" t="n"/>
      <c r="E390" s="5" t="n"/>
      <c r="F390" s="5" t="n"/>
      <c r="G390" s="5" t="n"/>
    </row>
    <row r="391" ht="16.5" customFormat="1" customHeight="1" s="12">
      <c r="A391" s="5" t="n"/>
      <c r="B391" s="22" t="n"/>
      <c r="C391" s="133" t="n"/>
      <c r="D391" s="5" t="n"/>
      <c r="E391" s="5" t="n"/>
      <c r="F391" s="5" t="n"/>
      <c r="G391" s="5" t="n"/>
    </row>
    <row r="392" ht="16.5" customFormat="1" customHeight="1" s="12">
      <c r="A392" s="5" t="n"/>
      <c r="B392" s="22" t="n"/>
      <c r="C392" s="133" t="n"/>
      <c r="D392" s="5" t="n"/>
      <c r="E392" s="5" t="n"/>
      <c r="F392" s="5" t="n"/>
      <c r="G392" s="5" t="n"/>
    </row>
    <row r="393" ht="16.5" customFormat="1" customHeight="1" s="12">
      <c r="A393" s="5" t="n"/>
      <c r="B393" s="22" t="n"/>
      <c r="C393" s="133" t="n"/>
      <c r="D393" s="5" t="n"/>
      <c r="E393" s="5" t="n"/>
      <c r="F393" s="5" t="n"/>
      <c r="G393" s="5" t="n"/>
    </row>
    <row r="394" ht="16.5" customFormat="1" customHeight="1" s="12">
      <c r="A394" s="5" t="n"/>
      <c r="B394" s="22" t="n"/>
      <c r="C394" s="133" t="n"/>
      <c r="D394" s="5" t="n"/>
      <c r="E394" s="5" t="n"/>
      <c r="F394" s="5" t="n"/>
      <c r="G394" s="5" t="n"/>
    </row>
    <row r="395" ht="16.5" customFormat="1" customHeight="1" s="12">
      <c r="A395" s="5" t="n"/>
      <c r="B395" s="22" t="n"/>
      <c r="C395" s="133" t="n"/>
      <c r="D395" s="5" t="n"/>
      <c r="E395" s="5" t="n"/>
      <c r="F395" s="5" t="n"/>
      <c r="G395" s="5" t="n"/>
    </row>
    <row r="396" ht="16.5" customFormat="1" customHeight="1" s="12">
      <c r="A396" s="5" t="n"/>
      <c r="B396" s="22" t="n"/>
      <c r="C396" s="133" t="n"/>
      <c r="D396" s="5" t="n"/>
      <c r="E396" s="5" t="n"/>
      <c r="F396" s="5" t="n"/>
      <c r="G396" s="5" t="n"/>
    </row>
    <row r="397" ht="16.5" customFormat="1" customHeight="1" s="12">
      <c r="A397" s="5" t="n"/>
      <c r="B397" s="22" t="n"/>
      <c r="C397" s="133" t="n"/>
      <c r="D397" s="5" t="n"/>
      <c r="E397" s="5" t="n"/>
      <c r="F397" s="5" t="n"/>
      <c r="G397" s="5" t="n"/>
    </row>
    <row r="398" ht="16.5" customFormat="1" customHeight="1" s="12">
      <c r="A398" s="5" t="n"/>
      <c r="B398" s="22" t="n"/>
      <c r="C398" s="133" t="n"/>
      <c r="D398" s="5" t="n"/>
      <c r="E398" s="5" t="n"/>
      <c r="F398" s="5" t="n"/>
      <c r="G398" s="5" t="n"/>
    </row>
    <row r="399" ht="16.5" customFormat="1" customHeight="1" s="12">
      <c r="A399" s="5" t="n"/>
      <c r="B399" s="22" t="n"/>
      <c r="C399" s="133" t="n"/>
      <c r="D399" s="5" t="n"/>
      <c r="E399" s="5" t="n"/>
      <c r="F399" s="5" t="n"/>
      <c r="G399" s="5" t="n"/>
    </row>
    <row r="400" ht="16.5" customFormat="1" customHeight="1" s="12">
      <c r="A400" s="5" t="n"/>
      <c r="B400" s="22" t="n"/>
      <c r="C400" s="133" t="n"/>
      <c r="D400" s="5" t="n"/>
      <c r="E400" s="5" t="n"/>
      <c r="F400" s="5" t="n"/>
      <c r="G400" s="5" t="n"/>
    </row>
    <row r="401" ht="16.5" customFormat="1" customHeight="1" s="12">
      <c r="A401" s="5" t="n"/>
      <c r="B401" s="22" t="n"/>
      <c r="C401" s="133" t="n"/>
      <c r="D401" s="5" t="n"/>
      <c r="E401" s="5" t="n"/>
      <c r="F401" s="5" t="n"/>
      <c r="G401" s="5" t="n"/>
    </row>
    <row r="402" ht="16.5" customFormat="1" customHeight="1" s="12">
      <c r="A402" s="5" t="n"/>
      <c r="B402" s="22" t="n"/>
      <c r="C402" s="133" t="n"/>
      <c r="D402" s="5" t="n"/>
      <c r="E402" s="5" t="n"/>
      <c r="F402" s="5" t="n"/>
      <c r="G402" s="5" t="n"/>
    </row>
    <row r="403" ht="16.5" customFormat="1" customHeight="1" s="12">
      <c r="A403" s="5" t="n"/>
      <c r="B403" s="22" t="n"/>
      <c r="C403" s="133" t="n"/>
      <c r="D403" s="5" t="n"/>
      <c r="E403" s="5" t="n"/>
      <c r="F403" s="5" t="n"/>
      <c r="G403" s="5" t="n"/>
    </row>
    <row r="404" ht="16.5" customFormat="1" customHeight="1" s="12">
      <c r="A404" s="5" t="n"/>
      <c r="B404" s="22" t="n"/>
      <c r="C404" s="133" t="n"/>
      <c r="D404" s="5" t="n"/>
      <c r="E404" s="5" t="n"/>
      <c r="F404" s="5" t="n"/>
      <c r="G404" s="5" t="n"/>
    </row>
    <row r="405" ht="16.5" customFormat="1" customHeight="1" s="12">
      <c r="A405" s="5" t="n"/>
      <c r="B405" s="22" t="n"/>
      <c r="C405" s="133" t="n"/>
      <c r="D405" s="5" t="n"/>
      <c r="E405" s="5" t="n"/>
      <c r="F405" s="5" t="n"/>
      <c r="G405" s="5" t="n"/>
    </row>
    <row r="406" ht="16.5" customFormat="1" customHeight="1" s="12">
      <c r="A406" s="5" t="n"/>
      <c r="B406" s="22" t="n"/>
      <c r="C406" s="133" t="n"/>
      <c r="D406" s="5" t="n"/>
      <c r="E406" s="5" t="n"/>
      <c r="F406" s="5" t="n"/>
      <c r="G406" s="5" t="n"/>
    </row>
    <row r="407" ht="16.5" customFormat="1" customHeight="1" s="12">
      <c r="A407" s="5" t="n"/>
      <c r="B407" s="22" t="n"/>
      <c r="C407" s="133" t="n"/>
      <c r="D407" s="5" t="n"/>
      <c r="E407" s="5" t="n"/>
      <c r="F407" s="5" t="n"/>
      <c r="G407" s="5" t="n"/>
    </row>
    <row r="408" ht="16.5" customFormat="1" customHeight="1" s="12">
      <c r="A408" s="5" t="n"/>
      <c r="B408" s="22" t="n"/>
      <c r="C408" s="133" t="n"/>
      <c r="D408" s="5" t="n"/>
      <c r="E408" s="5" t="n"/>
      <c r="F408" s="5" t="n"/>
      <c r="G408" s="5" t="n"/>
    </row>
    <row r="409" ht="16.5" customFormat="1" customHeight="1" s="12">
      <c r="A409" s="5" t="n"/>
      <c r="B409" s="22" t="n"/>
      <c r="C409" s="133" t="n"/>
      <c r="D409" s="5" t="n"/>
      <c r="E409" s="5" t="n"/>
      <c r="F409" s="5" t="n"/>
      <c r="G409" s="5" t="n"/>
    </row>
    <row r="410" ht="16.5" customFormat="1" customHeight="1" s="12">
      <c r="A410" s="5" t="n"/>
      <c r="B410" s="22" t="n"/>
      <c r="C410" s="133" t="n"/>
      <c r="D410" s="5" t="n"/>
      <c r="E410" s="5" t="n"/>
      <c r="F410" s="5" t="n"/>
      <c r="G410" s="5" t="n"/>
    </row>
    <row r="411" ht="16.5" customFormat="1" customHeight="1" s="12">
      <c r="A411" s="5" t="n"/>
      <c r="B411" s="22" t="n"/>
      <c r="C411" s="133" t="n"/>
      <c r="D411" s="5" t="n"/>
      <c r="E411" s="5" t="n"/>
      <c r="F411" s="5" t="n"/>
      <c r="G411" s="5" t="n"/>
    </row>
    <row r="412" ht="16.5" customFormat="1" customHeight="1" s="12">
      <c r="A412" s="5" t="n"/>
      <c r="B412" s="22" t="n"/>
      <c r="C412" s="133" t="n"/>
      <c r="D412" s="5" t="n"/>
      <c r="E412" s="5" t="n"/>
      <c r="F412" s="5" t="n"/>
      <c r="G412" s="5" t="n"/>
    </row>
    <row r="413" ht="16.5" customFormat="1" customHeight="1" s="12">
      <c r="A413" s="5" t="n"/>
      <c r="B413" s="22" t="n"/>
      <c r="C413" s="133" t="n"/>
      <c r="D413" s="5" t="n"/>
      <c r="E413" s="5" t="n"/>
      <c r="F413" s="5" t="n"/>
      <c r="G413" s="5" t="n"/>
    </row>
    <row r="414" ht="16.5" customFormat="1" customHeight="1" s="12">
      <c r="A414" s="5" t="n"/>
      <c r="B414" s="22" t="n"/>
      <c r="C414" s="133" t="n"/>
      <c r="D414" s="5" t="n"/>
      <c r="E414" s="5" t="n"/>
      <c r="F414" s="5" t="n"/>
      <c r="G414" s="5" t="n"/>
    </row>
    <row r="415" ht="16.5" customFormat="1" customHeight="1" s="12">
      <c r="A415" s="5" t="n"/>
      <c r="B415" s="22" t="n"/>
      <c r="C415" s="133" t="n"/>
      <c r="D415" s="5" t="n"/>
      <c r="E415" s="5" t="n"/>
      <c r="F415" s="5" t="n"/>
      <c r="G415" s="5" t="n"/>
    </row>
    <row r="416" ht="16.5" customFormat="1" customHeight="1" s="12">
      <c r="A416" s="5" t="n"/>
      <c r="B416" s="22" t="n"/>
      <c r="C416" s="133" t="n"/>
      <c r="D416" s="5" t="n"/>
      <c r="E416" s="5" t="n"/>
      <c r="F416" s="5" t="n"/>
      <c r="G416" s="5" t="n"/>
    </row>
    <row r="417" ht="16.5" customFormat="1" customHeight="1" s="12">
      <c r="A417" s="5" t="n"/>
      <c r="B417" s="22" t="n"/>
      <c r="C417" s="133" t="n"/>
      <c r="D417" s="5" t="n"/>
      <c r="E417" s="5" t="n"/>
      <c r="F417" s="5" t="n"/>
      <c r="G417" s="5" t="n"/>
    </row>
    <row r="418" ht="16.5" customFormat="1" customHeight="1" s="12">
      <c r="A418" s="5" t="n"/>
      <c r="B418" s="22" t="n"/>
      <c r="C418" s="133" t="n"/>
      <c r="D418" s="5" t="n"/>
      <c r="E418" s="5" t="n"/>
      <c r="F418" s="5" t="n"/>
      <c r="G418" s="5" t="n"/>
    </row>
    <row r="419" ht="16.5" customFormat="1" customHeight="1" s="12">
      <c r="A419" s="5" t="n"/>
      <c r="B419" s="22" t="n"/>
      <c r="C419" s="133" t="n"/>
      <c r="D419" s="5" t="n"/>
      <c r="E419" s="5" t="n"/>
      <c r="F419" s="5" t="n"/>
      <c r="G419" s="5" t="n"/>
    </row>
    <row r="420" ht="16.5" customFormat="1" customHeight="1" s="12">
      <c r="A420" s="5" t="n"/>
      <c r="B420" s="22" t="n"/>
      <c r="C420" s="133" t="n"/>
      <c r="D420" s="5" t="n"/>
      <c r="E420" s="5" t="n"/>
      <c r="F420" s="5" t="n"/>
      <c r="G420" s="5" t="n"/>
    </row>
    <row r="421" ht="16.5" customFormat="1" customHeight="1" s="12">
      <c r="A421" s="5" t="n"/>
      <c r="B421" s="22" t="n"/>
      <c r="C421" s="133" t="n"/>
      <c r="D421" s="5" t="n"/>
      <c r="E421" s="5" t="n"/>
      <c r="F421" s="5" t="n"/>
      <c r="G421" s="5" t="n"/>
    </row>
    <row r="422" ht="16.5" customFormat="1" customHeight="1" s="12">
      <c r="A422" s="5" t="n"/>
      <c r="B422" s="22" t="n"/>
      <c r="C422" s="133" t="n"/>
      <c r="D422" s="5" t="n"/>
      <c r="E422" s="5" t="n"/>
      <c r="F422" s="5" t="n"/>
      <c r="G422" s="5" t="n"/>
    </row>
    <row r="423" ht="16.5" customFormat="1" customHeight="1" s="12">
      <c r="A423" s="5" t="n"/>
      <c r="B423" s="22" t="n"/>
      <c r="C423" s="133" t="n"/>
      <c r="D423" s="5" t="n"/>
      <c r="E423" s="5" t="n"/>
      <c r="F423" s="5" t="n"/>
      <c r="G423" s="5" t="n"/>
    </row>
    <row r="424" ht="16.5" customFormat="1" customHeight="1" s="12">
      <c r="A424" s="5" t="n"/>
      <c r="B424" s="22" t="n"/>
      <c r="C424" s="133" t="n"/>
      <c r="D424" s="5" t="n"/>
      <c r="E424" s="5" t="n"/>
      <c r="F424" s="5" t="n"/>
      <c r="G424" s="5" t="n"/>
    </row>
    <row r="425" ht="16.5" customFormat="1" customHeight="1" s="12">
      <c r="A425" s="5" t="n"/>
      <c r="B425" s="22" t="n"/>
      <c r="C425" s="133" t="n"/>
      <c r="D425" s="5" t="n"/>
      <c r="E425" s="5" t="n"/>
      <c r="F425" s="5" t="n"/>
      <c r="G425" s="5" t="n"/>
    </row>
    <row r="426" ht="16.5" customFormat="1" customHeight="1" s="12">
      <c r="A426" s="5" t="n"/>
      <c r="B426" s="22" t="n"/>
      <c r="C426" s="133" t="n"/>
      <c r="D426" s="5" t="n"/>
      <c r="E426" s="5" t="n"/>
      <c r="F426" s="5" t="n"/>
      <c r="G426" s="5" t="n"/>
    </row>
    <row r="427" ht="16.5" customFormat="1" customHeight="1" s="12">
      <c r="A427" s="5" t="n"/>
      <c r="B427" s="22" t="n"/>
      <c r="C427" s="133" t="n"/>
      <c r="D427" s="5" t="n"/>
      <c r="E427" s="5" t="n"/>
      <c r="F427" s="5" t="n"/>
      <c r="G427" s="5" t="n"/>
    </row>
    <row r="428" ht="16.5" customFormat="1" customHeight="1" s="12">
      <c r="A428" s="5" t="n"/>
      <c r="B428" s="22" t="n"/>
      <c r="C428" s="133" t="n"/>
      <c r="D428" s="5" t="n"/>
      <c r="E428" s="5" t="n"/>
      <c r="F428" s="5" t="n"/>
      <c r="G428" s="5" t="n"/>
    </row>
    <row r="429" ht="16.5" customFormat="1" customHeight="1" s="12">
      <c r="A429" s="5" t="n"/>
      <c r="B429" s="22" t="n"/>
      <c r="C429" s="133" t="n"/>
      <c r="D429" s="5" t="n"/>
      <c r="E429" s="5" t="n"/>
      <c r="F429" s="5" t="n"/>
      <c r="G429" s="5" t="n"/>
    </row>
    <row r="430" ht="16.5" customFormat="1" customHeight="1" s="12">
      <c r="A430" s="5" t="n"/>
      <c r="B430" s="22" t="n"/>
      <c r="C430" s="133" t="n"/>
      <c r="D430" s="5" t="n"/>
      <c r="E430" s="5" t="n"/>
      <c r="F430" s="5" t="n"/>
      <c r="G430" s="5" t="n"/>
    </row>
    <row r="431" ht="16.5" customFormat="1" customHeight="1" s="12">
      <c r="A431" s="5" t="n"/>
      <c r="B431" s="22" t="n"/>
      <c r="C431" s="133" t="n"/>
      <c r="D431" s="5" t="n"/>
      <c r="E431" s="5" t="n"/>
      <c r="F431" s="5" t="n"/>
      <c r="G431" s="5" t="n"/>
    </row>
    <row r="432" ht="16.5" customFormat="1" customHeight="1" s="12">
      <c r="A432" s="5" t="n"/>
      <c r="B432" s="22" t="n"/>
      <c r="C432" s="133" t="n"/>
      <c r="D432" s="5" t="n"/>
      <c r="E432" s="5" t="n"/>
      <c r="F432" s="5" t="n"/>
      <c r="G432" s="5" t="n"/>
    </row>
    <row r="433" ht="16.5" customFormat="1" customHeight="1" s="12">
      <c r="A433" s="5" t="n"/>
      <c r="B433" s="22" t="n"/>
      <c r="C433" s="133" t="n"/>
      <c r="D433" s="5" t="n"/>
      <c r="E433" s="5" t="n"/>
      <c r="F433" s="5" t="n"/>
      <c r="G433" s="5" t="n"/>
    </row>
    <row r="434" ht="16.5" customFormat="1" customHeight="1" s="12">
      <c r="A434" s="5" t="n"/>
      <c r="B434" s="22" t="n"/>
      <c r="C434" s="133" t="n"/>
      <c r="D434" s="5" t="n"/>
      <c r="E434" s="5" t="n"/>
      <c r="F434" s="5" t="n"/>
      <c r="G434" s="5" t="n"/>
    </row>
    <row r="435" ht="16.5" customFormat="1" customHeight="1" s="12">
      <c r="A435" s="5" t="n"/>
      <c r="B435" s="22" t="n"/>
      <c r="C435" s="133" t="n"/>
      <c r="D435" s="5" t="n"/>
      <c r="E435" s="5" t="n"/>
      <c r="F435" s="5" t="n"/>
      <c r="G435" s="5" t="n"/>
    </row>
    <row r="436" ht="16.5" customFormat="1" customHeight="1" s="12">
      <c r="A436" s="5" t="n"/>
      <c r="B436" s="22" t="n"/>
      <c r="C436" s="133" t="n"/>
      <c r="D436" s="5" t="n"/>
      <c r="E436" s="5" t="n"/>
      <c r="F436" s="5" t="n"/>
      <c r="G436" s="5" t="n"/>
    </row>
    <row r="437" ht="16.5" customFormat="1" customHeight="1" s="12">
      <c r="A437" s="5" t="n"/>
      <c r="B437" s="22" t="n"/>
      <c r="C437" s="133" t="n"/>
      <c r="D437" s="5" t="n"/>
      <c r="E437" s="5" t="n"/>
      <c r="F437" s="5" t="n"/>
      <c r="G437" s="5" t="n"/>
    </row>
    <row r="438" ht="16.5" customFormat="1" customHeight="1" s="12">
      <c r="A438" s="5" t="n"/>
      <c r="B438" s="22" t="n"/>
      <c r="C438" s="133" t="n"/>
      <c r="D438" s="5" t="n"/>
      <c r="E438" s="5" t="n"/>
      <c r="F438" s="5" t="n"/>
      <c r="G438" s="5" t="n"/>
    </row>
    <row r="439" ht="16.5" customFormat="1" customHeight="1" s="12">
      <c r="A439" s="5" t="n"/>
      <c r="B439" s="22" t="n"/>
      <c r="C439" s="133" t="n"/>
      <c r="D439" s="5" t="n"/>
      <c r="E439" s="5" t="n"/>
      <c r="F439" s="5" t="n"/>
      <c r="G439" s="5" t="n"/>
    </row>
    <row r="440" ht="16.5" customFormat="1" customHeight="1" s="12">
      <c r="A440" s="5" t="n"/>
      <c r="B440" s="22" t="n"/>
      <c r="C440" s="133" t="n"/>
      <c r="D440" s="5" t="n"/>
      <c r="E440" s="5" t="n"/>
      <c r="F440" s="5" t="n"/>
      <c r="G440" s="5" t="n"/>
    </row>
    <row r="441" ht="16.5" customFormat="1" customHeight="1" s="12">
      <c r="A441" s="5" t="n"/>
      <c r="B441" s="22" t="n"/>
      <c r="C441" s="133" t="n"/>
      <c r="D441" s="5" t="n"/>
      <c r="E441" s="5" t="n"/>
      <c r="F441" s="5" t="n"/>
      <c r="G441" s="5" t="n"/>
    </row>
    <row r="442" ht="16.5" customFormat="1" customHeight="1" s="12">
      <c r="A442" s="5" t="n"/>
      <c r="B442" s="22" t="n"/>
      <c r="C442" s="133" t="n"/>
      <c r="D442" s="5" t="n"/>
      <c r="E442" s="5" t="n"/>
      <c r="F442" s="5" t="n"/>
      <c r="G442" s="5" t="n"/>
    </row>
    <row r="443" ht="16.5" customFormat="1" customHeight="1" s="12">
      <c r="A443" s="5" t="n"/>
      <c r="B443" s="22" t="n"/>
      <c r="C443" s="133" t="n"/>
      <c r="D443" s="5" t="n"/>
      <c r="E443" s="5" t="n"/>
      <c r="F443" s="5" t="n"/>
      <c r="G443" s="5" t="n"/>
    </row>
    <row r="444" ht="16.5" customFormat="1" customHeight="1" s="12">
      <c r="A444" s="5" t="n"/>
      <c r="B444" s="22" t="n"/>
      <c r="C444" s="133" t="n"/>
      <c r="D444" s="5" t="n"/>
      <c r="E444" s="5" t="n"/>
      <c r="F444" s="5" t="n"/>
      <c r="G444" s="5" t="n"/>
    </row>
    <row r="445" ht="16.5" customFormat="1" customHeight="1" s="12">
      <c r="A445" s="5" t="n"/>
      <c r="B445" s="22" t="n"/>
      <c r="C445" s="133" t="n"/>
      <c r="D445" s="5" t="n"/>
      <c r="E445" s="5" t="n"/>
      <c r="F445" s="5" t="n"/>
      <c r="G445" s="5" t="n"/>
    </row>
    <row r="446" ht="16.5" customFormat="1" customHeight="1" s="12">
      <c r="A446" s="5" t="n"/>
      <c r="B446" s="22" t="n"/>
      <c r="C446" s="133" t="n"/>
      <c r="D446" s="5" t="n"/>
      <c r="E446" s="5" t="n"/>
      <c r="F446" s="5" t="n"/>
      <c r="G446" s="5" t="n"/>
    </row>
    <row r="447" ht="16.5" customFormat="1" customHeight="1" s="12">
      <c r="A447" s="5" t="n"/>
      <c r="B447" s="22" t="n"/>
      <c r="C447" s="133" t="n"/>
      <c r="D447" s="5" t="n"/>
      <c r="E447" s="5" t="n"/>
      <c r="F447" s="5" t="n"/>
      <c r="G447" s="5" t="n"/>
    </row>
    <row r="448" ht="16.5" customFormat="1" customHeight="1" s="12">
      <c r="A448" s="5" t="n"/>
      <c r="B448" s="22" t="n"/>
      <c r="C448" s="133" t="n"/>
      <c r="D448" s="5" t="n"/>
      <c r="E448" s="5" t="n"/>
      <c r="F448" s="5" t="n"/>
      <c r="G448" s="5" t="n"/>
    </row>
    <row r="449" ht="16.5" customFormat="1" customHeight="1" s="12">
      <c r="A449" s="5" t="n"/>
      <c r="B449" s="22" t="n"/>
      <c r="C449" s="133" t="n"/>
      <c r="D449" s="5" t="n"/>
      <c r="E449" s="5" t="n"/>
      <c r="F449" s="5" t="n"/>
      <c r="G449" s="5" t="n"/>
    </row>
    <row r="450" ht="16.5" customFormat="1" customHeight="1" s="12">
      <c r="A450" s="5" t="n"/>
      <c r="B450" s="22" t="n"/>
      <c r="C450" s="133" t="n"/>
      <c r="D450" s="5" t="n"/>
      <c r="E450" s="5" t="n"/>
      <c r="F450" s="5" t="n"/>
      <c r="G450" s="5" t="n"/>
    </row>
    <row r="451" ht="16.5" customFormat="1" customHeight="1" s="12">
      <c r="A451" s="5" t="n"/>
      <c r="B451" s="22" t="n"/>
      <c r="C451" s="133" t="n"/>
      <c r="D451" s="5" t="n"/>
      <c r="E451" s="5" t="n"/>
      <c r="F451" s="5" t="n"/>
      <c r="G451" s="5" t="n"/>
    </row>
    <row r="452" ht="16.5" customFormat="1" customHeight="1" s="12">
      <c r="A452" s="5" t="n"/>
      <c r="B452" s="22" t="n"/>
      <c r="C452" s="133" t="n"/>
      <c r="D452" s="5" t="n"/>
      <c r="E452" s="5" t="n"/>
      <c r="F452" s="5" t="n"/>
      <c r="G452" s="5" t="n"/>
    </row>
    <row r="453" ht="16.5" customFormat="1" customHeight="1" s="12">
      <c r="A453" s="5" t="n"/>
      <c r="B453" s="22" t="n"/>
      <c r="C453" s="133" t="n"/>
      <c r="D453" s="5" t="n"/>
      <c r="E453" s="5" t="n"/>
      <c r="F453" s="5" t="n"/>
      <c r="G453" s="5" t="n"/>
    </row>
    <row r="454" ht="16.5" customFormat="1" customHeight="1" s="12">
      <c r="A454" s="5" t="n"/>
      <c r="B454" s="22" t="n"/>
      <c r="C454" s="133" t="n"/>
      <c r="D454" s="5" t="n"/>
      <c r="E454" s="5" t="n"/>
      <c r="F454" s="5" t="n"/>
      <c r="G454" s="5" t="n"/>
    </row>
    <row r="455" ht="16.5" customFormat="1" customHeight="1" s="12">
      <c r="A455" s="5" t="n"/>
      <c r="B455" s="22" t="n"/>
      <c r="C455" s="133" t="n"/>
      <c r="D455" s="5" t="n"/>
      <c r="E455" s="5" t="n"/>
      <c r="F455" s="5" t="n"/>
      <c r="G455" s="5" t="n"/>
    </row>
    <row r="456" ht="16.5" customFormat="1" customHeight="1" s="12">
      <c r="A456" s="5" t="n"/>
      <c r="B456" s="22" t="n"/>
      <c r="C456" s="133" t="n"/>
      <c r="D456" s="5" t="n"/>
      <c r="E456" s="5" t="n"/>
      <c r="F456" s="5" t="n"/>
      <c r="G456" s="5" t="n"/>
    </row>
    <row r="457" ht="16.5" customFormat="1" customHeight="1" s="12">
      <c r="A457" s="5" t="n"/>
      <c r="B457" s="22" t="n"/>
      <c r="C457" s="133" t="n"/>
      <c r="D457" s="5" t="n"/>
      <c r="E457" s="5" t="n"/>
      <c r="F457" s="5" t="n"/>
      <c r="G457" s="5" t="n"/>
    </row>
    <row r="458" ht="16.5" customFormat="1" customHeight="1" s="12">
      <c r="A458" s="5" t="n"/>
      <c r="B458" s="22" t="n"/>
      <c r="C458" s="133" t="n"/>
      <c r="D458" s="5" t="n"/>
      <c r="E458" s="5" t="n"/>
      <c r="F458" s="5" t="n"/>
      <c r="G458" s="5" t="n"/>
    </row>
    <row r="459" ht="16.5" customFormat="1" customHeight="1" s="12">
      <c r="A459" s="5" t="n"/>
      <c r="B459" s="22" t="n"/>
      <c r="C459" s="133" t="n"/>
      <c r="D459" s="5" t="n"/>
      <c r="E459" s="5" t="n"/>
      <c r="F459" s="5" t="n"/>
      <c r="G459" s="5" t="n"/>
    </row>
    <row r="460" ht="16.5" customFormat="1" customHeight="1" s="12">
      <c r="A460" s="5" t="n"/>
      <c r="B460" s="22" t="n"/>
      <c r="C460" s="133" t="n"/>
      <c r="D460" s="5" t="n"/>
      <c r="E460" s="5" t="n"/>
      <c r="F460" s="5" t="n"/>
      <c r="G460" s="5" t="n"/>
    </row>
    <row r="461" ht="16.5" customFormat="1" customHeight="1" s="12">
      <c r="A461" s="5" t="n"/>
      <c r="B461" s="22" t="n"/>
      <c r="C461" s="133" t="n"/>
      <c r="D461" s="5" t="n"/>
      <c r="E461" s="5" t="n"/>
      <c r="F461" s="5" t="n"/>
      <c r="G461" s="5" t="n"/>
    </row>
    <row r="462" ht="16.5" customFormat="1" customHeight="1" s="12">
      <c r="A462" s="5" t="n"/>
      <c r="B462" s="22" t="n"/>
      <c r="C462" s="133" t="n"/>
      <c r="D462" s="5" t="n"/>
      <c r="E462" s="5" t="n"/>
      <c r="F462" s="5" t="n"/>
      <c r="G462" s="5" t="n"/>
    </row>
    <row r="463" ht="16.5" customFormat="1" customHeight="1" s="12">
      <c r="A463" s="5" t="n"/>
      <c r="B463" s="22" t="n"/>
      <c r="C463" s="133" t="n"/>
      <c r="D463" s="5" t="n"/>
      <c r="E463" s="5" t="n"/>
      <c r="F463" s="5" t="n"/>
      <c r="G463" s="5" t="n"/>
    </row>
    <row r="464" ht="16.5" customFormat="1" customHeight="1" s="12">
      <c r="A464" s="5" t="n"/>
      <c r="B464" s="22" t="n"/>
      <c r="C464" s="133" t="n"/>
      <c r="D464" s="5" t="n"/>
      <c r="E464" s="5" t="n"/>
      <c r="F464" s="5" t="n"/>
      <c r="G464" s="5" t="n"/>
    </row>
    <row r="465" ht="16.5" customFormat="1" customHeight="1" s="12">
      <c r="A465" s="5" t="n"/>
      <c r="B465" s="22" t="n"/>
      <c r="C465" s="133" t="n"/>
      <c r="D465" s="5" t="n"/>
      <c r="E465" s="5" t="n"/>
      <c r="F465" s="5" t="n"/>
      <c r="G465" s="5" t="n"/>
    </row>
    <row r="466" ht="16.5" customFormat="1" customHeight="1" s="12">
      <c r="A466" s="5" t="n"/>
      <c r="B466" s="22" t="n"/>
      <c r="C466" s="133" t="n"/>
      <c r="D466" s="5" t="n"/>
      <c r="E466" s="5" t="n"/>
      <c r="F466" s="5" t="n"/>
      <c r="G466" s="5" t="n"/>
    </row>
    <row r="467" ht="16.5" customFormat="1" customHeight="1" s="12">
      <c r="A467" s="5" t="n"/>
      <c r="B467" s="22" t="n"/>
      <c r="C467" s="133" t="n"/>
      <c r="D467" s="5" t="n"/>
      <c r="E467" s="5" t="n"/>
      <c r="F467" s="5" t="n"/>
      <c r="G467" s="5" t="n"/>
    </row>
    <row r="468" ht="16.5" customFormat="1" customHeight="1" s="12">
      <c r="A468" s="5" t="n"/>
      <c r="B468" s="22" t="n"/>
      <c r="C468" s="133" t="n"/>
      <c r="D468" s="5" t="n"/>
      <c r="E468" s="5" t="n"/>
      <c r="F468" s="5" t="n"/>
      <c r="G468" s="5" t="n"/>
    </row>
    <row r="469" ht="16.5" customFormat="1" customHeight="1" s="12">
      <c r="A469" s="5" t="n"/>
      <c r="B469" s="22" t="n"/>
      <c r="C469" s="133" t="n"/>
      <c r="D469" s="5" t="n"/>
      <c r="E469" s="5" t="n"/>
      <c r="F469" s="5" t="n"/>
      <c r="G469" s="5" t="n"/>
    </row>
    <row r="470" ht="16.5" customFormat="1" customHeight="1" s="12">
      <c r="A470" s="5" t="n"/>
      <c r="B470" s="22" t="n"/>
      <c r="C470" s="133" t="n"/>
      <c r="D470" s="5" t="n"/>
      <c r="E470" s="5" t="n"/>
      <c r="F470" s="5" t="n"/>
      <c r="G470" s="5" t="n"/>
    </row>
    <row r="471" ht="16.5" customFormat="1" customHeight="1" s="12">
      <c r="A471" s="5" t="n"/>
      <c r="B471" s="22" t="n"/>
      <c r="C471" s="133" t="n"/>
      <c r="D471" s="5" t="n"/>
      <c r="E471" s="5" t="n"/>
      <c r="F471" s="5" t="n"/>
      <c r="G471" s="5" t="n"/>
    </row>
    <row r="472" ht="16.5" customFormat="1" customHeight="1" s="12">
      <c r="A472" s="5" t="n"/>
      <c r="B472" s="22" t="n"/>
      <c r="C472" s="133" t="n"/>
      <c r="D472" s="5" t="n"/>
      <c r="E472" s="5" t="n"/>
      <c r="F472" s="5" t="n"/>
      <c r="G472" s="5" t="n"/>
    </row>
    <row r="473" ht="16.5" customFormat="1" customHeight="1" s="12">
      <c r="A473" s="5" t="n"/>
      <c r="B473" s="22" t="n"/>
      <c r="C473" s="133" t="n"/>
      <c r="D473" s="5" t="n"/>
      <c r="E473" s="5" t="n"/>
      <c r="F473" s="5" t="n"/>
      <c r="G473" s="5" t="n"/>
    </row>
    <row r="474" ht="16.5" customFormat="1" customHeight="1" s="12">
      <c r="A474" s="5" t="n"/>
      <c r="B474" s="22" t="n"/>
      <c r="C474" s="133" t="n"/>
      <c r="D474" s="5" t="n"/>
      <c r="E474" s="5" t="n"/>
      <c r="F474" s="5" t="n"/>
      <c r="G474" s="5" t="n"/>
    </row>
    <row r="475" ht="16.5" customFormat="1" customHeight="1" s="12">
      <c r="A475" s="5" t="n"/>
      <c r="B475" s="22" t="n"/>
      <c r="C475" s="133" t="n"/>
      <c r="D475" s="5" t="n"/>
      <c r="E475" s="5" t="n"/>
      <c r="F475" s="5" t="n"/>
      <c r="G475" s="5" t="n"/>
    </row>
    <row r="476" ht="16.5" customFormat="1" customHeight="1" s="12">
      <c r="A476" s="5" t="n"/>
      <c r="B476" s="22" t="n"/>
      <c r="C476" s="133" t="n"/>
      <c r="D476" s="5" t="n"/>
      <c r="E476" s="5" t="n"/>
      <c r="F476" s="5" t="n"/>
      <c r="G476" s="5" t="n"/>
    </row>
    <row r="477" ht="16.5" customFormat="1" customHeight="1" s="12">
      <c r="A477" s="5" t="n"/>
      <c r="B477" s="22" t="n"/>
      <c r="C477" s="133" t="n"/>
      <c r="D477" s="5" t="n"/>
      <c r="E477" s="5" t="n"/>
      <c r="F477" s="5" t="n"/>
      <c r="G477" s="5" t="n"/>
    </row>
    <row r="478" ht="16.5" customFormat="1" customHeight="1" s="12">
      <c r="A478" s="5" t="n"/>
      <c r="B478" s="22" t="n"/>
      <c r="C478" s="133" t="n"/>
      <c r="D478" s="5" t="n"/>
      <c r="E478" s="5" t="n"/>
      <c r="F478" s="5" t="n"/>
      <c r="G478" s="5" t="n"/>
    </row>
    <row r="479" ht="16.5" customFormat="1" customHeight="1" s="12">
      <c r="A479" s="5" t="n"/>
      <c r="B479" s="22" t="n"/>
      <c r="C479" s="133" t="n"/>
      <c r="D479" s="5" t="n"/>
      <c r="E479" s="5" t="n"/>
      <c r="F479" s="5" t="n"/>
      <c r="G479" s="5" t="n"/>
    </row>
    <row r="480" ht="16.5" customFormat="1" customHeight="1" s="12">
      <c r="A480" s="5" t="n"/>
      <c r="B480" s="22" t="n"/>
      <c r="C480" s="133" t="n"/>
      <c r="D480" s="5" t="n"/>
      <c r="E480" s="5" t="n"/>
      <c r="F480" s="5" t="n"/>
      <c r="G480" s="5" t="n"/>
    </row>
    <row r="481" ht="16.5" customFormat="1" customHeight="1" s="12">
      <c r="A481" s="5" t="n"/>
      <c r="B481" s="22" t="n"/>
      <c r="C481" s="133" t="n"/>
      <c r="D481" s="5" t="n"/>
      <c r="E481" s="5" t="n"/>
      <c r="F481" s="5" t="n"/>
      <c r="G481" s="5" t="n"/>
    </row>
    <row r="482" ht="16.5" customFormat="1" customHeight="1" s="12">
      <c r="A482" s="5" t="n"/>
      <c r="B482" s="22" t="n"/>
      <c r="C482" s="133" t="n"/>
      <c r="D482" s="5" t="n"/>
      <c r="E482" s="5" t="n"/>
      <c r="F482" s="5" t="n"/>
      <c r="G482" s="5" t="n"/>
    </row>
    <row r="483" ht="16.5" customFormat="1" customHeight="1" s="12">
      <c r="A483" s="5" t="n"/>
      <c r="B483" s="22" t="n"/>
      <c r="C483" s="133" t="n"/>
      <c r="D483" s="5" t="n"/>
      <c r="E483" s="5" t="n"/>
      <c r="F483" s="5" t="n"/>
      <c r="G483" s="5" t="n"/>
    </row>
    <row r="484" ht="16.5" customFormat="1" customHeight="1" s="12">
      <c r="A484" s="5" t="n"/>
      <c r="B484" s="22" t="n"/>
      <c r="C484" s="133" t="n"/>
      <c r="D484" s="5" t="n"/>
      <c r="E484" s="5" t="n"/>
      <c r="F484" s="5" t="n"/>
      <c r="G484" s="5" t="n"/>
    </row>
    <row r="485" ht="16.5" customFormat="1" customHeight="1" s="12">
      <c r="A485" s="5" t="n"/>
      <c r="B485" s="22" t="n"/>
      <c r="C485" s="133" t="n"/>
      <c r="D485" s="5" t="n"/>
      <c r="E485" s="5" t="n"/>
      <c r="F485" s="5" t="n"/>
      <c r="G485" s="5" t="n"/>
    </row>
    <row r="486" ht="16.5" customFormat="1" customHeight="1" s="12">
      <c r="A486" s="5" t="n"/>
      <c r="B486" s="22" t="n"/>
      <c r="C486" s="133" t="n"/>
      <c r="D486" s="5" t="n"/>
      <c r="E486" s="5" t="n"/>
      <c r="F486" s="5" t="n"/>
      <c r="G486" s="5" t="n"/>
    </row>
    <row r="487" ht="16.5" customFormat="1" customHeight="1" s="12">
      <c r="A487" s="5" t="n"/>
      <c r="B487" s="22" t="n"/>
      <c r="C487" s="133" t="n"/>
      <c r="D487" s="5" t="n"/>
      <c r="E487" s="5" t="n"/>
      <c r="F487" s="5" t="n"/>
      <c r="G487" s="5" t="n"/>
    </row>
    <row r="488" ht="16.5" customFormat="1" customHeight="1" s="12">
      <c r="A488" s="5" t="n"/>
      <c r="B488" s="22" t="n"/>
      <c r="C488" s="133" t="n"/>
      <c r="D488" s="5" t="n"/>
      <c r="E488" s="5" t="n"/>
      <c r="F488" s="5" t="n"/>
      <c r="G488" s="5" t="n"/>
    </row>
    <row r="489" ht="16.5" customFormat="1" customHeight="1" s="12">
      <c r="A489" s="5" t="n"/>
      <c r="B489" s="22" t="n"/>
      <c r="C489" s="133" t="n"/>
      <c r="D489" s="5" t="n"/>
      <c r="E489" s="5" t="n"/>
      <c r="F489" s="5" t="n"/>
      <c r="G489" s="5" t="n"/>
    </row>
    <row r="490" ht="16.5" customFormat="1" customHeight="1" s="12">
      <c r="A490" s="5" t="n"/>
      <c r="B490" s="22" t="n"/>
      <c r="C490" s="133" t="n"/>
      <c r="D490" s="5" t="n"/>
      <c r="E490" s="5" t="n"/>
      <c r="F490" s="5" t="n"/>
      <c r="G490" s="5" t="n"/>
    </row>
    <row r="491" ht="16.5" customFormat="1" customHeight="1" s="12">
      <c r="A491" s="5" t="n"/>
      <c r="B491" s="22" t="n"/>
      <c r="C491" s="133" t="n"/>
      <c r="D491" s="5" t="n"/>
      <c r="E491" s="5" t="n"/>
      <c r="F491" s="5" t="n"/>
      <c r="G491" s="5" t="n"/>
    </row>
    <row r="492" ht="16.5" customFormat="1" customHeight="1" s="12">
      <c r="A492" s="5" t="n"/>
      <c r="B492" s="22" t="n"/>
      <c r="C492" s="133" t="n"/>
      <c r="D492" s="5" t="n"/>
      <c r="E492" s="5" t="n"/>
      <c r="F492" s="5" t="n"/>
      <c r="G492" s="5" t="n"/>
    </row>
    <row r="493" ht="16.5" customFormat="1" customHeight="1" s="12">
      <c r="A493" s="5" t="n"/>
      <c r="B493" s="22" t="n"/>
      <c r="C493" s="133" t="n"/>
      <c r="D493" s="5" t="n"/>
      <c r="E493" s="5" t="n"/>
      <c r="F493" s="5" t="n"/>
      <c r="G493" s="5" t="n"/>
    </row>
    <row r="494" ht="16.5" customFormat="1" customHeight="1" s="12">
      <c r="A494" s="5" t="n"/>
      <c r="B494" s="22" t="n"/>
      <c r="C494" s="133" t="n"/>
      <c r="D494" s="5" t="n"/>
      <c r="E494" s="5" t="n"/>
      <c r="F494" s="5" t="n"/>
      <c r="G494" s="5" t="n"/>
    </row>
    <row r="495" ht="16.5" customFormat="1" customHeight="1" s="12">
      <c r="A495" s="5" t="n"/>
      <c r="B495" s="22" t="n"/>
      <c r="C495" s="133" t="n"/>
      <c r="D495" s="5" t="n"/>
      <c r="E495" s="5" t="n"/>
      <c r="F495" s="5" t="n"/>
      <c r="G495" s="5" t="n"/>
    </row>
    <row r="496" ht="16.5" customFormat="1" customHeight="1" s="12">
      <c r="A496" s="5" t="n"/>
      <c r="B496" s="22" t="n"/>
      <c r="C496" s="133" t="n"/>
      <c r="D496" s="5" t="n"/>
      <c r="E496" s="5" t="n"/>
      <c r="F496" s="5" t="n"/>
      <c r="G496" s="5" t="n"/>
    </row>
    <row r="497" ht="16.5" customFormat="1" customHeight="1" s="12">
      <c r="A497" s="5" t="n"/>
      <c r="B497" s="22" t="n"/>
      <c r="C497" s="133" t="n"/>
      <c r="D497" s="5" t="n"/>
      <c r="E497" s="5" t="n"/>
      <c r="F497" s="5" t="n"/>
      <c r="G497" s="5" t="n"/>
    </row>
    <row r="498" ht="16.5" customFormat="1" customHeight="1" s="12">
      <c r="A498" s="5" t="n"/>
      <c r="B498" s="22" t="n"/>
      <c r="C498" s="133" t="n"/>
      <c r="D498" s="5" t="n"/>
      <c r="E498" s="5" t="n"/>
      <c r="F498" s="5" t="n"/>
      <c r="G498" s="5" t="n"/>
    </row>
    <row r="499" ht="16.5" customFormat="1" customHeight="1" s="12">
      <c r="A499" s="5" t="n"/>
      <c r="B499" s="22" t="n"/>
      <c r="C499" s="133" t="n"/>
      <c r="D499" s="5" t="n"/>
      <c r="E499" s="5" t="n"/>
      <c r="F499" s="5" t="n"/>
      <c r="G499" s="5" t="n"/>
    </row>
    <row r="500" ht="16.5" customFormat="1" customHeight="1" s="12">
      <c r="A500" s="5" t="n"/>
      <c r="B500" s="22" t="n"/>
      <c r="C500" s="133" t="n"/>
      <c r="D500" s="5" t="n"/>
      <c r="E500" s="5" t="n"/>
      <c r="F500" s="5" t="n"/>
      <c r="G500" s="5" t="n"/>
    </row>
    <row r="501" ht="16.5" customFormat="1" customHeight="1" s="12">
      <c r="A501" s="5" t="n"/>
      <c r="B501" s="22" t="n"/>
      <c r="C501" s="133" t="n"/>
      <c r="D501" s="5" t="n"/>
      <c r="E501" s="5" t="n"/>
      <c r="F501" s="5" t="n"/>
      <c r="G501" s="5" t="n"/>
    </row>
    <row r="502" ht="16.5" customFormat="1" customHeight="1" s="12">
      <c r="A502" s="5" t="n"/>
      <c r="B502" s="22" t="n"/>
      <c r="C502" s="133" t="n"/>
      <c r="D502" s="5" t="n"/>
      <c r="E502" s="5" t="n"/>
      <c r="F502" s="5" t="n"/>
      <c r="G502" s="5" t="n"/>
    </row>
    <row r="503" ht="16.5" customFormat="1" customHeight="1" s="12">
      <c r="A503" s="5" t="n"/>
      <c r="B503" s="22" t="n"/>
      <c r="C503" s="133" t="n"/>
      <c r="D503" s="5" t="n"/>
      <c r="E503" s="5" t="n"/>
      <c r="F503" s="5" t="n"/>
      <c r="G503" s="5" t="n"/>
    </row>
    <row r="504" ht="16.5" customFormat="1" customHeight="1" s="12">
      <c r="A504" s="5" t="n"/>
      <c r="B504" s="22" t="n"/>
      <c r="C504" s="133" t="n"/>
      <c r="D504" s="5" t="n"/>
      <c r="E504" s="5" t="n"/>
      <c r="F504" s="5" t="n"/>
      <c r="G504" s="5" t="n"/>
    </row>
    <row r="505" ht="16.5" customFormat="1" customHeight="1" s="12">
      <c r="A505" s="5" t="n"/>
      <c r="B505" s="22" t="n"/>
      <c r="C505" s="133" t="n"/>
      <c r="D505" s="5" t="n"/>
      <c r="E505" s="5" t="n"/>
      <c r="F505" s="5" t="n"/>
      <c r="G505" s="5" t="n"/>
    </row>
    <row r="506" ht="16.5" customFormat="1" customHeight="1" s="12">
      <c r="A506" s="2" t="n"/>
      <c r="B506" s="2" t="n"/>
      <c r="C506" s="21" t="n"/>
      <c r="D506" s="2" t="n"/>
      <c r="E506" s="2" t="n"/>
      <c r="F506" s="2" t="n"/>
      <c r="G506" s="2" t="n"/>
    </row>
  </sheetData>
  <mergeCells count="12">
    <mergeCell ref="A1:C1"/>
    <mergeCell ref="A17:A18"/>
    <mergeCell ref="F10:F11"/>
    <mergeCell ref="B3:B4"/>
    <mergeCell ref="A3:A4"/>
    <mergeCell ref="A8:C8"/>
    <mergeCell ref="B17:B18"/>
    <mergeCell ref="E8:G8"/>
    <mergeCell ref="B10:B11"/>
    <mergeCell ref="A10:A11"/>
    <mergeCell ref="E10:E11"/>
    <mergeCell ref="A15:C15"/>
  </mergeCells>
  <conditionalFormatting sqref="C3:C4">
    <cfRule type="cellIs" priority="10" operator="lessThan" dxfId="1">
      <formula>0</formula>
    </cfRule>
    <cfRule type="cellIs" priority="11" operator="greaterThanOrEqual" dxfId="0">
      <formula>0</formula>
    </cfRule>
  </conditionalFormatting>
  <conditionalFormatting sqref="C10:C11">
    <cfRule type="cellIs" priority="12" operator="lessThan" dxfId="1">
      <formula>0</formula>
    </cfRule>
    <cfRule type="cellIs" priority="13" operator="greaterThanOrEqual" dxfId="0">
      <formula>0</formula>
    </cfRule>
  </conditionalFormatting>
  <conditionalFormatting sqref="C17:C18">
    <cfRule type="cellIs" priority="1" operator="lessThan" dxfId="1">
      <formula>0</formula>
    </cfRule>
    <cfRule type="cellIs" priority="2" operator="greaterThanOrEqual" dxfId="0">
      <formula>0</formula>
    </cfRule>
  </conditionalFormatting>
  <conditionalFormatting sqref="G10:G11">
    <cfRule type="cellIs" priority="14" operator="lessThan" dxfId="1">
      <formula>0</formula>
    </cfRule>
    <cfRule type="cellIs" priority="15" operator="greaterThanOrEqual" dxfId="0">
      <formula>0</formula>
    </cfRule>
  </conditionalFormatting>
  <pageMargins left="0.25" right="0.25" top="0.75" bottom="0.75" header="0.3" footer="0.3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6"/>
  <sheetViews>
    <sheetView topLeftCell="A42" zoomScaleNormal="100" workbookViewId="0">
      <selection activeCell="D63" sqref="D63"/>
    </sheetView>
  </sheetViews>
  <sheetFormatPr baseColWidth="8" defaultColWidth="8.875" defaultRowHeight="17.25"/>
  <cols>
    <col width="15.125" customWidth="1" style="11" min="1" max="2"/>
    <col width="15" customWidth="1" style="23" min="3" max="3"/>
    <col width="12.875" customWidth="1" style="11" min="4" max="4"/>
    <col width="17" customWidth="1" style="11" min="5" max="5"/>
    <col width="12.75" customWidth="1" style="11" min="6" max="6"/>
    <col width="12.875" customWidth="1" style="11" min="7" max="7"/>
    <col width="8.875" customWidth="1" style="12" min="8" max="8"/>
    <col width="12.625" customWidth="1" style="12" min="9" max="9"/>
    <col width="8.875" customWidth="1" style="12" min="10" max="10"/>
    <col width="8.875" customWidth="1" style="13" min="11" max="1024"/>
    <col width="8.875" customWidth="1" min="1025" max="1108"/>
  </cols>
  <sheetData>
    <row r="1" ht="30" customHeight="1">
      <c r="A1" s="14" t="n"/>
      <c r="B1" s="15" t="n"/>
      <c r="C1" s="53" t="inlineStr">
        <is>
          <t>存股統計專用表格</t>
        </is>
      </c>
      <c r="D1" s="54" t="n"/>
      <c r="E1" s="54" t="n"/>
      <c r="F1" s="58" t="inlineStr">
        <is>
          <t>006208.TW</t>
        </is>
      </c>
      <c r="G1" s="42" t="n"/>
      <c r="H1" s="57" t="n"/>
      <c r="I1" s="44" t="n"/>
      <c r="J1" s="42" t="n"/>
    </row>
    <row r="2" ht="21.75" customHeight="1">
      <c r="A2" s="4" t="inlineStr">
        <is>
          <t>實際成本</t>
        </is>
      </c>
      <c r="B2" s="4" t="inlineStr">
        <is>
          <t>帳面成本</t>
        </is>
      </c>
      <c r="C2" s="4" t="inlineStr">
        <is>
          <t>目前市價</t>
        </is>
      </c>
      <c r="D2" s="4" t="inlineStr">
        <is>
          <t>總股數</t>
        </is>
      </c>
      <c r="E2" s="4" t="inlineStr">
        <is>
          <t>總成本</t>
        </is>
      </c>
      <c r="F2" s="4" t="inlineStr">
        <is>
          <t>股利+借券</t>
        </is>
      </c>
      <c r="G2" s="4" t="inlineStr">
        <is>
          <t>報酬率(含息)</t>
        </is>
      </c>
      <c r="H2" s="47" t="n"/>
      <c r="I2" s="47" t="n"/>
      <c r="J2" s="19" t="n"/>
    </row>
    <row r="3" ht="18.75" customHeight="1">
      <c r="A3" s="45">
        <f>(E3-F3)/D3</f>
        <v/>
      </c>
      <c r="B3" s="49">
        <f>E3/D3</f>
        <v/>
      </c>
      <c r="C3" s="61" t="n">
        <v>247.6</v>
      </c>
      <c r="D3" s="56">
        <f>SUM(D7:D505)</f>
        <v/>
      </c>
      <c r="E3" s="59">
        <f>SUM(E7:E505)</f>
        <v/>
      </c>
      <c r="F3" s="59">
        <f>SUM(F6:G505)</f>
        <v/>
      </c>
      <c r="G3" s="7">
        <f>G4/E3</f>
        <v/>
      </c>
      <c r="H3" s="51" t="n"/>
      <c r="I3" s="135" t="n"/>
      <c r="J3" s="52" t="n"/>
    </row>
    <row r="4" ht="18.75" customHeight="1">
      <c r="A4" s="46" t="n"/>
      <c r="B4" s="46" t="n"/>
      <c r="C4" s="48" t="n"/>
      <c r="D4" s="46" t="n"/>
      <c r="E4" s="46" t="n"/>
      <c r="F4" s="46" t="n"/>
      <c r="G4" s="136">
        <f>D3*C3-E3+F3</f>
        <v/>
      </c>
      <c r="H4" s="48" t="n"/>
      <c r="I4" s="48" t="n"/>
      <c r="J4" s="48" t="n"/>
    </row>
    <row r="5">
      <c r="A5" s="16" t="inlineStr">
        <is>
          <t>交易筆數</t>
        </is>
      </c>
      <c r="B5" s="24" t="inlineStr">
        <is>
          <t>購買日期</t>
        </is>
      </c>
      <c r="C5" s="16" t="inlineStr">
        <is>
          <t>購入價格</t>
        </is>
      </c>
      <c r="D5" s="16" t="inlineStr">
        <is>
          <t>股數</t>
        </is>
      </c>
      <c r="E5" s="16" t="inlineStr">
        <is>
          <t>持有成本</t>
        </is>
      </c>
      <c r="F5" s="60" t="inlineStr">
        <is>
          <t>股利</t>
        </is>
      </c>
      <c r="G5" s="42" t="n"/>
      <c r="H5" s="47" t="n"/>
      <c r="I5" s="47" t="n"/>
      <c r="J5" s="47" t="n"/>
    </row>
    <row r="6">
      <c r="A6" s="17" t="n">
        <v>1</v>
      </c>
      <c r="B6" s="43" t="inlineStr">
        <is>
          <t>借券收入</t>
        </is>
      </c>
      <c r="C6" s="44" t="n"/>
      <c r="D6" s="44" t="n"/>
      <c r="E6" s="42" t="n"/>
      <c r="F6" s="50" t="n"/>
      <c r="G6" s="42" t="n"/>
      <c r="H6" s="48" t="n"/>
      <c r="I6" s="48" t="n"/>
      <c r="J6" s="48" t="n"/>
    </row>
    <row r="7">
      <c r="A7" s="17" t="n">
        <v>2</v>
      </c>
      <c r="B7" s="25" t="inlineStr">
        <is>
          <t>2023.07.17</t>
        </is>
      </c>
      <c r="C7" s="137" t="n">
        <v>76.47</v>
      </c>
      <c r="D7" s="41" t="n">
        <v>6</v>
      </c>
      <c r="E7" s="41" t="n">
        <v>459</v>
      </c>
      <c r="F7" s="41" t="n"/>
      <c r="G7" s="42" t="n"/>
      <c r="H7" s="20" t="n"/>
      <c r="I7" s="20" t="n"/>
      <c r="J7" s="20" t="n"/>
    </row>
    <row r="8">
      <c r="A8" s="17" t="n">
        <v>3</v>
      </c>
      <c r="B8" s="25" t="inlineStr">
        <is>
          <t>2023.07.21</t>
        </is>
      </c>
      <c r="C8" s="137" t="n">
        <v>73.65000000000001</v>
      </c>
      <c r="D8" s="41" t="n">
        <v>20</v>
      </c>
      <c r="E8" s="41" t="n">
        <v>1475</v>
      </c>
      <c r="F8" s="41" t="n"/>
      <c r="G8" s="42" t="n"/>
      <c r="H8" s="20" t="n"/>
      <c r="I8" s="20" t="n"/>
      <c r="J8" s="20" t="n"/>
    </row>
    <row r="9">
      <c r="A9" s="17" t="n">
        <v>4</v>
      </c>
      <c r="B9" s="25" t="inlineStr">
        <is>
          <t>2023.08.07</t>
        </is>
      </c>
      <c r="C9" s="137" t="n">
        <v>74.3</v>
      </c>
      <c r="D9" s="41" t="n">
        <v>40</v>
      </c>
      <c r="E9" s="41" t="n">
        <v>2976</v>
      </c>
      <c r="F9" s="41" t="n"/>
      <c r="G9" s="42" t="n"/>
      <c r="H9" s="20" t="n"/>
      <c r="I9" s="20" t="n"/>
      <c r="J9" s="20" t="n"/>
    </row>
    <row r="10">
      <c r="A10" s="17" t="n">
        <v>5</v>
      </c>
      <c r="B10" s="25" t="inlineStr">
        <is>
          <t>2023.08.09</t>
        </is>
      </c>
      <c r="C10" s="137" t="n">
        <v>73.56</v>
      </c>
      <c r="D10" s="41" t="n">
        <v>20</v>
      </c>
      <c r="E10" s="41" t="n">
        <v>1472</v>
      </c>
      <c r="F10" s="41" t="n"/>
      <c r="G10" s="42" t="n"/>
      <c r="H10" s="20" t="n"/>
      <c r="I10" s="20" t="n"/>
      <c r="J10" s="20" t="n"/>
    </row>
    <row r="11">
      <c r="A11" s="17" t="n">
        <v>6</v>
      </c>
      <c r="B11" s="25" t="inlineStr">
        <is>
          <t>2023.09.11</t>
        </is>
      </c>
      <c r="C11" s="137" t="n">
        <v>71.61</v>
      </c>
      <c r="D11" s="41" t="n">
        <v>21</v>
      </c>
      <c r="E11" s="41" t="n">
        <v>1505</v>
      </c>
      <c r="F11" s="41" t="n"/>
      <c r="G11" s="42" t="n"/>
      <c r="H11" s="20" t="n"/>
      <c r="I11" s="20" t="n"/>
      <c r="J11" s="20" t="n"/>
    </row>
    <row r="12">
      <c r="A12" s="17" t="n">
        <v>7</v>
      </c>
      <c r="B12" s="25" t="inlineStr">
        <is>
          <t>2023.10.06</t>
        </is>
      </c>
      <c r="C12" s="137" t="n">
        <v>71.84999999999999</v>
      </c>
      <c r="D12" s="41" t="n">
        <v>21</v>
      </c>
      <c r="E12" s="41" t="n">
        <v>1510</v>
      </c>
      <c r="F12" s="41" t="n"/>
      <c r="G12" s="42" t="n"/>
      <c r="H12" s="20" t="n"/>
      <c r="I12" s="20" t="n"/>
      <c r="J12" s="20" t="n"/>
    </row>
    <row r="13">
      <c r="A13" s="17" t="n">
        <v>8</v>
      </c>
      <c r="B13" s="25" t="inlineStr">
        <is>
          <t>2023.10.26</t>
        </is>
      </c>
      <c r="C13" s="137" t="n">
        <v>70.75</v>
      </c>
      <c r="D13" s="41" t="n">
        <v>30</v>
      </c>
      <c r="E13" s="41" t="n">
        <v>2125</v>
      </c>
      <c r="F13" s="41" t="n"/>
      <c r="G13" s="42" t="n"/>
      <c r="H13" s="20" t="n"/>
      <c r="I13" s="20" t="n"/>
      <c r="J13" s="20" t="n"/>
    </row>
    <row r="14">
      <c r="A14" s="17" t="n">
        <v>9</v>
      </c>
      <c r="B14" s="25" t="inlineStr">
        <is>
          <t>2023.11.06</t>
        </is>
      </c>
      <c r="C14" s="137" t="n">
        <v>73.23</v>
      </c>
      <c r="D14" s="41" t="n">
        <v>21</v>
      </c>
      <c r="E14" s="18" t="n">
        <v>1539</v>
      </c>
      <c r="F14" s="41" t="n"/>
      <c r="G14" s="42" t="n"/>
      <c r="H14" s="20" t="n"/>
      <c r="I14" s="20" t="n"/>
      <c r="J14" s="20" t="n"/>
    </row>
    <row r="15">
      <c r="A15" s="17" t="n">
        <v>10</v>
      </c>
      <c r="B15" s="25" t="inlineStr">
        <is>
          <t>2023.12.06</t>
        </is>
      </c>
      <c r="C15" s="137" t="n">
        <v>74.8</v>
      </c>
      <c r="D15" s="41" t="n">
        <v>20</v>
      </c>
      <c r="E15" s="41" t="n">
        <v>1497</v>
      </c>
      <c r="F15" s="41" t="n"/>
      <c r="G15" s="42" t="n"/>
      <c r="H15" s="20" t="n"/>
      <c r="I15" s="20" t="n"/>
      <c r="J15" s="20" t="n"/>
    </row>
    <row r="16">
      <c r="A16" s="17" t="n">
        <v>11</v>
      </c>
      <c r="B16" s="25" t="inlineStr">
        <is>
          <t>2023.12.12</t>
        </is>
      </c>
      <c r="C16" s="137" t="n">
        <v>0</v>
      </c>
      <c r="D16" s="41" t="n">
        <v>0</v>
      </c>
      <c r="E16" s="41" t="n">
        <v>0</v>
      </c>
      <c r="F16" s="41" t="n">
        <v>152</v>
      </c>
      <c r="G16" s="42" t="n"/>
      <c r="H16" s="20" t="n"/>
      <c r="I16" s="20" t="n"/>
      <c r="J16" s="20" t="n"/>
    </row>
    <row r="17" ht="16.5" customFormat="1" customHeight="1" s="12">
      <c r="A17" s="17" t="n">
        <v>12</v>
      </c>
      <c r="B17" s="25" t="inlineStr">
        <is>
          <t>2023.12.12</t>
        </is>
      </c>
      <c r="C17" s="137" t="n">
        <v>75.15000000000001</v>
      </c>
      <c r="D17" s="41" t="n">
        <v>20</v>
      </c>
      <c r="E17" s="41" t="n">
        <v>1505</v>
      </c>
      <c r="F17" s="41" t="n"/>
      <c r="G17" s="42" t="n"/>
      <c r="H17" s="20" t="n"/>
      <c r="I17" s="20" t="n"/>
      <c r="J17" s="20" t="n"/>
    </row>
    <row r="18" ht="16.5" customFormat="1" customHeight="1" s="12">
      <c r="A18" s="17" t="n">
        <v>13</v>
      </c>
      <c r="B18" s="25" t="inlineStr">
        <is>
          <t>2024.01.08</t>
        </is>
      </c>
      <c r="C18" s="137" t="n">
        <v>75.95</v>
      </c>
      <c r="D18" s="41" t="n">
        <v>20</v>
      </c>
      <c r="E18" s="41" t="n">
        <v>1520</v>
      </c>
      <c r="F18" s="41" t="n"/>
      <c r="G18" s="42" t="n"/>
      <c r="H18" s="20" t="n"/>
      <c r="I18" s="20" t="n"/>
      <c r="J18" s="20" t="n"/>
    </row>
    <row r="19" ht="16.5" customFormat="1" customHeight="1" s="12">
      <c r="A19" s="17" t="n">
        <v>14</v>
      </c>
      <c r="B19" s="25" t="inlineStr">
        <is>
          <t>2024.02.01</t>
        </is>
      </c>
      <c r="C19" s="137" t="n">
        <v>78.15000000000001</v>
      </c>
      <c r="D19" s="41" t="n">
        <v>20</v>
      </c>
      <c r="E19" s="41" t="n">
        <v>1565</v>
      </c>
      <c r="F19" s="41" t="n"/>
      <c r="G19" s="42" t="n"/>
      <c r="H19" s="20" t="n"/>
      <c r="I19" s="20" t="n"/>
      <c r="J19" s="20" t="n"/>
    </row>
    <row r="20" ht="16.5" customFormat="1" customHeight="1" s="12">
      <c r="A20" s="17" t="n">
        <v>15</v>
      </c>
      <c r="B20" s="25" t="inlineStr">
        <is>
          <t>2024.02.15</t>
        </is>
      </c>
      <c r="C20" s="137" t="n">
        <v>82.89</v>
      </c>
      <c r="D20" s="41" t="n">
        <v>19</v>
      </c>
      <c r="E20" s="41" t="n">
        <v>1576</v>
      </c>
      <c r="F20" s="41" t="n"/>
      <c r="G20" s="42" t="n"/>
      <c r="H20" s="20" t="n"/>
      <c r="I20" s="20" t="n"/>
      <c r="J20" s="20" t="n"/>
    </row>
    <row r="21" ht="16.5" customFormat="1" customHeight="1" s="12">
      <c r="A21" s="17" t="n">
        <v>16</v>
      </c>
      <c r="B21" s="25" t="inlineStr">
        <is>
          <t>2024.03.06</t>
        </is>
      </c>
      <c r="C21" s="137" t="n">
        <v>86.59</v>
      </c>
      <c r="D21" s="41" t="n">
        <v>17</v>
      </c>
      <c r="E21" s="41" t="n">
        <v>1473</v>
      </c>
      <c r="F21" s="41" t="n"/>
      <c r="G21" s="42" t="n"/>
      <c r="H21" s="20" t="n"/>
      <c r="I21" s="20" t="n"/>
      <c r="J21" s="20" t="n"/>
    </row>
    <row r="22" ht="16.5" customFormat="1" customHeight="1" s="12">
      <c r="A22" s="17" t="n">
        <v>17</v>
      </c>
      <c r="B22" s="25" t="inlineStr">
        <is>
          <t>2024.04.08</t>
        </is>
      </c>
      <c r="C22" s="137" t="n">
        <v>93.25</v>
      </c>
      <c r="D22" s="41" t="n">
        <v>16</v>
      </c>
      <c r="E22" s="41" t="n">
        <v>1493</v>
      </c>
      <c r="F22" s="41" t="n"/>
      <c r="G22" s="42" t="n"/>
      <c r="H22" s="20" t="n"/>
      <c r="I22" s="20" t="n"/>
      <c r="J22" s="20" t="n"/>
    </row>
    <row r="23" ht="16.5" customFormat="1" customHeight="1" s="12">
      <c r="A23" s="17" t="n">
        <v>18</v>
      </c>
      <c r="B23" s="25" t="inlineStr">
        <is>
          <t>2024.05.06</t>
        </is>
      </c>
      <c r="C23" s="137" t="n">
        <v>93.53</v>
      </c>
      <c r="D23" s="41" t="n">
        <v>17</v>
      </c>
      <c r="E23" s="41" t="n">
        <v>1591</v>
      </c>
      <c r="F23" s="41" t="n"/>
      <c r="G23" s="42" t="n"/>
      <c r="H23" s="20" t="n"/>
      <c r="I23" s="20" t="n"/>
      <c r="J23" s="20" t="n"/>
    </row>
    <row r="24" ht="16.5" customFormat="1" customHeight="1" s="12">
      <c r="A24" s="17" t="n">
        <v>19</v>
      </c>
      <c r="B24" s="25" t="inlineStr">
        <is>
          <t>2024.06.06</t>
        </is>
      </c>
      <c r="C24" s="137" t="n">
        <v>101.93</v>
      </c>
      <c r="D24" s="41" t="n">
        <v>15</v>
      </c>
      <c r="E24" s="41" t="n">
        <v>1530</v>
      </c>
      <c r="F24" s="41" t="n"/>
      <c r="G24" s="42" t="n"/>
      <c r="H24" s="20" t="n"/>
      <c r="I24" s="20" t="n"/>
      <c r="J24" s="20" t="n"/>
    </row>
    <row r="25" ht="16.5" customFormat="1" customHeight="1" s="12">
      <c r="A25" s="17" t="n">
        <v>20</v>
      </c>
      <c r="B25" s="25" t="inlineStr">
        <is>
          <t>2024.07.08</t>
        </is>
      </c>
      <c r="C25" s="137" t="n">
        <v>115.31</v>
      </c>
      <c r="D25" s="41" t="n">
        <v>13</v>
      </c>
      <c r="E25" s="41" t="n">
        <v>1500</v>
      </c>
      <c r="F25" s="41" t="n"/>
      <c r="G25" s="42" t="n"/>
      <c r="H25" s="20" t="n"/>
      <c r="I25" s="20" t="n"/>
      <c r="J25" s="20" t="n"/>
    </row>
    <row r="26" ht="16.5" customFormat="1" customHeight="1" s="12">
      <c r="A26" s="17" t="n">
        <v>21</v>
      </c>
      <c r="B26" s="25" t="inlineStr">
        <is>
          <t>2024.08.06</t>
        </is>
      </c>
      <c r="C26" s="137" t="n">
        <v>97.13</v>
      </c>
      <c r="D26" s="41" t="n">
        <v>16</v>
      </c>
      <c r="E26" s="41" t="n">
        <v>1555</v>
      </c>
      <c r="F26" s="41" t="n"/>
      <c r="G26" s="42" t="n"/>
      <c r="H26" s="20" t="n"/>
      <c r="I26" s="20" t="n"/>
      <c r="J26" s="20" t="n"/>
    </row>
    <row r="27" ht="16.5" customFormat="1" customHeight="1" s="12">
      <c r="A27" s="17" t="n">
        <v>22</v>
      </c>
      <c r="B27" s="25" t="inlineStr">
        <is>
          <t>2024.08.09</t>
        </is>
      </c>
      <c r="C27" s="137" t="n">
        <v>0</v>
      </c>
      <c r="D27" s="41" t="n">
        <v>0</v>
      </c>
      <c r="E27" s="41" t="n">
        <v>0</v>
      </c>
      <c r="F27" s="41" t="n">
        <v>279</v>
      </c>
      <c r="G27" s="42" t="n"/>
      <c r="H27" s="20" t="n"/>
      <c r="I27" s="20" t="n"/>
      <c r="J27" s="20" t="n"/>
    </row>
    <row r="28" ht="16.5" customFormat="1" customHeight="1" s="12">
      <c r="A28" s="17" t="n">
        <v>23</v>
      </c>
      <c r="B28" s="25" t="inlineStr">
        <is>
          <t>2024.08.16</t>
        </is>
      </c>
      <c r="C28" s="137" t="n">
        <v>107</v>
      </c>
      <c r="D28" s="41" t="n">
        <v>1</v>
      </c>
      <c r="E28" s="41" t="n">
        <v>108</v>
      </c>
      <c r="F28" s="41" t="n"/>
      <c r="G28" s="42" t="n"/>
      <c r="H28" s="20" t="n"/>
      <c r="I28" s="20" t="n"/>
      <c r="J28" s="20" t="n"/>
    </row>
    <row r="29" ht="16.5" customFormat="1" customHeight="1" s="12">
      <c r="A29" s="17" t="n">
        <v>24</v>
      </c>
      <c r="B29" s="25" t="inlineStr">
        <is>
          <t>2024.09.06</t>
        </is>
      </c>
      <c r="C29" s="137" t="n">
        <v>102.07</v>
      </c>
      <c r="D29" s="41" t="n">
        <v>15</v>
      </c>
      <c r="E29" s="41" t="n">
        <v>1532</v>
      </c>
      <c r="F29" s="41" t="n"/>
      <c r="G29" s="42" t="n"/>
      <c r="H29" s="20" t="n"/>
      <c r="I29" s="20" t="n"/>
      <c r="J29" s="20" t="n"/>
    </row>
    <row r="30" ht="16.5" customFormat="1" customHeight="1" s="12">
      <c r="A30" s="17" t="n">
        <v>25</v>
      </c>
      <c r="B30" s="25" t="inlineStr">
        <is>
          <t>2024.10.07</t>
        </is>
      </c>
      <c r="C30" s="137" t="n">
        <v>109.64</v>
      </c>
      <c r="D30" s="41" t="n">
        <v>14</v>
      </c>
      <c r="E30" s="41" t="n">
        <v>1535</v>
      </c>
      <c r="F30" s="41" t="n"/>
      <c r="G30" s="42" t="n"/>
      <c r="H30" s="20" t="n"/>
      <c r="I30" s="20" t="n"/>
      <c r="J30" s="20" t="n"/>
    </row>
    <row r="31" ht="16.5" customFormat="1" customHeight="1" s="12">
      <c r="A31" s="17" t="n">
        <v>26</v>
      </c>
      <c r="B31" s="25" t="inlineStr">
        <is>
          <t>2024.11.06</t>
        </is>
      </c>
      <c r="C31" s="137" t="n">
        <v>114.77</v>
      </c>
      <c r="D31" s="41" t="n">
        <v>13</v>
      </c>
      <c r="E31" s="41" t="n">
        <v>1493</v>
      </c>
      <c r="F31" s="41" t="n"/>
      <c r="G31" s="42" t="n"/>
      <c r="H31" s="20" t="n"/>
      <c r="I31" s="20" t="n"/>
      <c r="J31" s="20" t="n"/>
    </row>
    <row r="32" ht="16.5" customFormat="1" customHeight="1" s="12">
      <c r="A32" s="17" t="n">
        <v>27</v>
      </c>
      <c r="B32" s="25" t="inlineStr">
        <is>
          <t>2024.12.06</t>
        </is>
      </c>
      <c r="C32" s="137" t="n">
        <v>113.64</v>
      </c>
      <c r="D32" s="41" t="n">
        <v>14</v>
      </c>
      <c r="E32" s="41" t="n">
        <v>1592</v>
      </c>
      <c r="F32" s="41" t="n"/>
      <c r="G32" s="42" t="n"/>
      <c r="H32" s="20" t="n"/>
      <c r="I32" s="20" t="n"/>
      <c r="J32" s="20" t="n"/>
    </row>
    <row r="33" ht="16.5" customFormat="1" customHeight="1" s="12">
      <c r="A33" s="17" t="n">
        <v>28</v>
      </c>
      <c r="B33" s="25" t="inlineStr">
        <is>
          <t>2024.12.12</t>
        </is>
      </c>
      <c r="C33" s="137" t="n">
        <v>0</v>
      </c>
      <c r="D33" s="41" t="n">
        <v>0</v>
      </c>
      <c r="E33" s="41" t="n">
        <v>0</v>
      </c>
      <c r="F33" s="41" t="n">
        <v>374</v>
      </c>
      <c r="G33" s="42" t="n"/>
      <c r="H33" s="20" t="n"/>
      <c r="I33" s="20" t="n"/>
      <c r="J33" s="20" t="n"/>
    </row>
    <row r="34" ht="16.5" customFormat="1" customHeight="1" s="12">
      <c r="A34" s="17" t="n">
        <v>29</v>
      </c>
      <c r="B34" s="25" t="inlineStr">
        <is>
          <t>2024.12.19</t>
        </is>
      </c>
      <c r="C34" s="137" t="n">
        <v>112.5</v>
      </c>
      <c r="D34" s="41" t="n">
        <v>2</v>
      </c>
      <c r="E34" s="41" t="n">
        <v>226</v>
      </c>
      <c r="F34" s="41" t="n"/>
      <c r="G34" s="42" t="n"/>
      <c r="H34" s="20" t="n"/>
      <c r="I34" s="20" t="n"/>
      <c r="J34" s="20" t="n"/>
    </row>
    <row r="35" ht="16.5" customFormat="1" customHeight="1" s="12">
      <c r="A35" s="17" t="n">
        <v>30</v>
      </c>
      <c r="B35" s="25" t="inlineStr">
        <is>
          <t>2025.01.06</t>
        </is>
      </c>
      <c r="C35" s="137" t="n">
        <v>116.46</v>
      </c>
      <c r="D35" s="41" t="n">
        <v>13</v>
      </c>
      <c r="E35" s="41" t="n">
        <v>1515</v>
      </c>
      <c r="F35" s="41" t="n"/>
      <c r="G35" s="42" t="n"/>
      <c r="H35" s="20" t="n"/>
      <c r="I35" s="20" t="n"/>
      <c r="J35" s="20" t="n"/>
    </row>
    <row r="36" ht="16.5" customFormat="1" customHeight="1" s="12">
      <c r="A36" s="17" t="n">
        <v>31</v>
      </c>
      <c r="B36" s="25" t="inlineStr">
        <is>
          <t>2025.02.06</t>
        </is>
      </c>
      <c r="C36" s="137" t="n">
        <v>116.15</v>
      </c>
      <c r="D36" s="41" t="n">
        <v>13</v>
      </c>
      <c r="E36" s="41" t="n">
        <v>1511</v>
      </c>
      <c r="F36" s="41" t="n"/>
      <c r="G36" s="42" t="n"/>
      <c r="H36" s="20" t="n"/>
      <c r="I36" s="20" t="n"/>
      <c r="J36" s="20" t="n"/>
    </row>
    <row r="37" ht="16.5" customFormat="1" customHeight="1" s="12">
      <c r="A37" s="17" t="n">
        <v>32</v>
      </c>
      <c r="B37" s="25" t="inlineStr">
        <is>
          <t>2025.02.06</t>
        </is>
      </c>
      <c r="C37" s="137" t="n">
        <v>116.35</v>
      </c>
      <c r="D37" s="41" t="n">
        <v>100</v>
      </c>
      <c r="E37" s="41" t="n">
        <v>10814</v>
      </c>
      <c r="F37" s="41" t="n"/>
      <c r="G37" s="42" t="n"/>
      <c r="H37" s="20" t="n"/>
      <c r="I37" s="20" t="n"/>
      <c r="J37" s="20" t="n"/>
    </row>
    <row r="38" ht="16.5" customFormat="1" customHeight="1" s="12">
      <c r="A38" s="17" t="n">
        <v>33</v>
      </c>
      <c r="B38" s="25" t="inlineStr">
        <is>
          <t>2025.03.06</t>
        </is>
      </c>
      <c r="C38" s="137" t="n">
        <v>110.44</v>
      </c>
      <c r="D38" s="41" t="n">
        <v>18</v>
      </c>
      <c r="E38" s="41" t="n">
        <v>1989</v>
      </c>
      <c r="F38" s="41" t="n"/>
      <c r="G38" s="42" t="n"/>
      <c r="H38" s="20" t="n"/>
      <c r="I38" s="20" t="n"/>
      <c r="J38" s="20" t="n"/>
    </row>
    <row r="39" ht="16.5" customFormat="1" customHeight="1" s="12">
      <c r="A39" s="17" t="n">
        <v>34</v>
      </c>
      <c r="B39" s="25" t="inlineStr">
        <is>
          <t>2025.04.07</t>
        </is>
      </c>
      <c r="C39" s="137" t="n">
        <v>93.31999999999999</v>
      </c>
      <c r="D39" s="41" t="n">
        <v>22</v>
      </c>
      <c r="E39" s="41" t="n">
        <v>2054</v>
      </c>
      <c r="F39" s="41" t="n"/>
      <c r="G39" s="42" t="n"/>
      <c r="H39" s="20" t="n"/>
      <c r="I39" s="20" t="n"/>
      <c r="J39" s="20" t="n"/>
    </row>
    <row r="40" ht="16.5" customFormat="1" customHeight="1" s="12">
      <c r="A40" s="17" t="n">
        <v>35</v>
      </c>
      <c r="B40" s="25" t="inlineStr">
        <is>
          <t>2025.05.06</t>
        </is>
      </c>
      <c r="C40" s="137" t="n">
        <v>100.5</v>
      </c>
      <c r="D40" s="41" t="n">
        <v>20</v>
      </c>
      <c r="E40" s="41" t="n">
        <v>2011</v>
      </c>
      <c r="F40" s="41" t="n"/>
      <c r="G40" s="42" t="n"/>
      <c r="H40" s="20" t="n"/>
      <c r="I40" s="20" t="n"/>
      <c r="J40" s="20" t="n"/>
    </row>
    <row r="41" ht="16.5" customFormat="1" customHeight="1" s="12">
      <c r="A41" s="17" t="n">
        <v>36</v>
      </c>
      <c r="B41" s="25" t="inlineStr">
        <is>
          <t>2025.06.06</t>
        </is>
      </c>
      <c r="C41" s="137" t="n">
        <v>107</v>
      </c>
      <c r="D41" s="41" t="n">
        <v>19</v>
      </c>
      <c r="E41" s="41" t="n">
        <v>2034</v>
      </c>
      <c r="F41" s="41" t="n"/>
      <c r="G41" s="42" t="n"/>
      <c r="H41" s="20" t="n"/>
      <c r="I41" s="20" t="n"/>
      <c r="J41" s="20" t="n"/>
    </row>
    <row r="42" ht="16.5" customFormat="1" customHeight="1" s="12">
      <c r="A42" s="17" t="n">
        <v>37</v>
      </c>
      <c r="B42" s="25" t="inlineStr">
        <is>
          <t>2025.07.07</t>
        </is>
      </c>
      <c r="C42" s="137" t="n">
        <v>114</v>
      </c>
      <c r="D42" s="41" t="n">
        <v>18</v>
      </c>
      <c r="E42" s="41" t="n">
        <v>2053</v>
      </c>
      <c r="F42" s="41" t="n"/>
      <c r="G42" s="42" t="n"/>
      <c r="H42" s="20" t="n"/>
      <c r="I42" s="20" t="n"/>
      <c r="J42" s="20" t="n"/>
    </row>
    <row r="43" ht="16.5" customFormat="1" customHeight="1" s="12">
      <c r="A43" s="17" t="n">
        <v>38</v>
      </c>
      <c r="B43" s="25" t="inlineStr">
        <is>
          <t>2025.08.06</t>
        </is>
      </c>
      <c r="C43" s="137" t="n">
        <v>119.24</v>
      </c>
      <c r="D43" s="41" t="n">
        <v>17</v>
      </c>
      <c r="E43" s="41" t="n">
        <v>2028</v>
      </c>
      <c r="F43" s="41" t="n"/>
      <c r="G43" s="42" t="n"/>
      <c r="H43" s="20" t="n"/>
      <c r="I43" s="20" t="n"/>
      <c r="J43" s="20" t="n"/>
    </row>
    <row r="44" ht="16.5" customFormat="1" customHeight="1" s="12">
      <c r="A44" s="17" t="n">
        <v>39</v>
      </c>
      <c r="B44" s="25" t="inlineStr">
        <is>
          <t>2025.08.08</t>
        </is>
      </c>
      <c r="C44" s="137" t="n">
        <v>0</v>
      </c>
      <c r="D44" s="41" t="n">
        <v>0</v>
      </c>
      <c r="E44" s="41" t="n">
        <v>0</v>
      </c>
      <c r="F44" s="41" t="n">
        <v>647</v>
      </c>
      <c r="G44" s="42" t="n"/>
      <c r="H44" s="20" t="n"/>
      <c r="I44" s="20" t="n"/>
      <c r="J44" s="20" t="n"/>
    </row>
    <row r="45" ht="16.5" customFormat="1" customHeight="1" s="12">
      <c r="A45" s="17" t="n">
        <v>40</v>
      </c>
      <c r="B45" s="25" t="inlineStr">
        <is>
          <t>2025.08.13</t>
        </is>
      </c>
      <c r="C45" s="137" t="n">
        <v>124.5</v>
      </c>
      <c r="D45" s="41" t="n">
        <v>4</v>
      </c>
      <c r="E45" s="41" t="n">
        <v>499</v>
      </c>
      <c r="F45" s="41" t="n"/>
      <c r="G45" s="42" t="n"/>
      <c r="H45" s="20" t="n"/>
      <c r="I45" s="20" t="n"/>
      <c r="J45" s="20" t="n"/>
    </row>
    <row r="46" ht="16.5" customFormat="1" customHeight="1" s="12">
      <c r="A46" s="17" t="n">
        <v>41</v>
      </c>
      <c r="B46" s="25" t="inlineStr">
        <is>
          <t>2025.09.08</t>
        </is>
      </c>
      <c r="C46" s="137" t="n">
        <v>124.69</v>
      </c>
      <c r="D46" s="41" t="n">
        <v>16</v>
      </c>
      <c r="E46" s="41" t="n">
        <v>1996</v>
      </c>
      <c r="F46" s="41" t="n"/>
      <c r="G46" s="42" t="n"/>
      <c r="H46" s="20" t="n"/>
      <c r="I46" s="20" t="n"/>
      <c r="J46" s="20" t="n"/>
    </row>
    <row r="47" ht="16.5" customFormat="1" customHeight="1" s="12">
      <c r="A47" s="17" t="n">
        <v>42</v>
      </c>
      <c r="B47" s="25" t="inlineStr">
        <is>
          <t>2025.10.07</t>
        </is>
      </c>
      <c r="C47" s="137" t="n">
        <v>143.57</v>
      </c>
      <c r="D47" s="41" t="n">
        <v>21</v>
      </c>
      <c r="E47" s="41" t="n">
        <v>3016</v>
      </c>
      <c r="F47" s="41" t="n"/>
      <c r="G47" s="42" t="n"/>
      <c r="H47" s="20" t="n"/>
      <c r="I47" s="20" t="n"/>
      <c r="J47" s="20" t="n"/>
    </row>
    <row r="48" ht="16.5" customFormat="1" customHeight="1" s="12">
      <c r="A48" s="17" t="n">
        <v>43</v>
      </c>
      <c r="B48" s="25" t="inlineStr">
        <is>
          <t>2025.11.06</t>
        </is>
      </c>
      <c r="C48" s="137" t="n">
        <v>148.5</v>
      </c>
      <c r="D48" s="41" t="n">
        <v>20</v>
      </c>
      <c r="E48" s="41" t="n">
        <v>2971</v>
      </c>
      <c r="F48" s="41" t="n"/>
      <c r="G48" s="42" t="n"/>
      <c r="H48" s="20" t="n"/>
      <c r="I48" s="20" t="n"/>
      <c r="J48" s="20" t="n"/>
    </row>
    <row r="49" ht="16.5" customFormat="1" customHeight="1" s="12">
      <c r="A49" s="17" t="n">
        <v>44</v>
      </c>
      <c r="B49" s="25" t="inlineStr">
        <is>
          <t>2025.12.08</t>
        </is>
      </c>
      <c r="C49" s="137" t="n">
        <v>145.24</v>
      </c>
      <c r="D49" s="41" t="n">
        <v>21</v>
      </c>
      <c r="E49" s="41" t="n">
        <v>3051</v>
      </c>
      <c r="F49" s="41" t="n"/>
      <c r="G49" s="42" t="n"/>
      <c r="H49" s="20" t="n"/>
      <c r="I49" s="20" t="n"/>
      <c r="J49" s="20" t="n"/>
    </row>
    <row r="50" ht="16.5" customFormat="1" customHeight="1" s="12">
      <c r="A50" s="17" t="n">
        <v>45</v>
      </c>
      <c r="B50" s="25" t="inlineStr">
        <is>
          <t>2025.12.11</t>
        </is>
      </c>
      <c r="C50" s="137" t="n">
        <v>0</v>
      </c>
      <c r="D50" s="41" t="n">
        <v>0</v>
      </c>
      <c r="E50" s="41" t="n">
        <v>0</v>
      </c>
      <c r="F50" s="41" t="n">
        <v>2517</v>
      </c>
      <c r="G50" s="42" t="n"/>
      <c r="H50" s="20" t="n"/>
      <c r="I50" s="20" t="n"/>
      <c r="J50" s="20" t="n"/>
    </row>
    <row r="51" ht="16.5" customFormat="1" customHeight="1" s="12">
      <c r="A51" s="17" t="n">
        <v>46</v>
      </c>
      <c r="B51" s="25" t="inlineStr">
        <is>
          <t>2025.12.16</t>
        </is>
      </c>
      <c r="C51" s="137" t="n">
        <v>141.82</v>
      </c>
      <c r="D51" s="41" t="n">
        <v>17</v>
      </c>
      <c r="E51" s="41" t="n">
        <v>2412</v>
      </c>
      <c r="F51" s="41" t="n"/>
      <c r="G51" s="42" t="n"/>
      <c r="H51" s="20" t="n"/>
      <c r="I51" s="20" t="n"/>
      <c r="J51" s="20" t="n"/>
    </row>
    <row r="52" ht="16.5" customFormat="1" customHeight="1" s="12">
      <c r="A52" s="17" t="n">
        <v>47</v>
      </c>
      <c r="B52" s="25" t="inlineStr">
        <is>
          <t>2026.01.06</t>
        </is>
      </c>
      <c r="C52" s="137" t="n">
        <v>159.37</v>
      </c>
      <c r="D52" s="41" t="n">
        <v>19</v>
      </c>
      <c r="E52" s="41" t="n">
        <v>3029</v>
      </c>
      <c r="F52" s="41" t="n"/>
      <c r="G52" s="42" t="n"/>
      <c r="H52" s="20" t="n"/>
      <c r="I52" s="20" t="n"/>
      <c r="J52" s="20" t="n"/>
    </row>
    <row r="53" ht="16.5" customFormat="1" customHeight="1" s="12">
      <c r="A53" s="17" t="n">
        <v>48</v>
      </c>
      <c r="B53" s="25" t="inlineStr">
        <is>
          <t>2026.02.06</t>
        </is>
      </c>
      <c r="C53" s="137" t="n">
        <v>166.67</v>
      </c>
      <c r="D53" s="41" t="n">
        <v>18</v>
      </c>
      <c r="E53" s="41" t="n">
        <v>3001</v>
      </c>
      <c r="F53" s="41" t="n"/>
      <c r="G53" s="42" t="n"/>
      <c r="H53" s="20" t="n"/>
      <c r="I53" s="20" t="n"/>
      <c r="J53" s="20" t="n"/>
    </row>
    <row r="54" ht="16.5" customFormat="1" customHeight="1" s="12">
      <c r="A54" s="17" t="n">
        <v>49</v>
      </c>
      <c r="B54" s="25" t="inlineStr">
        <is>
          <t>2026.03.06</t>
        </is>
      </c>
      <c r="C54" s="137" t="n">
        <v>178.41</v>
      </c>
      <c r="D54" s="41" t="n">
        <v>17</v>
      </c>
      <c r="E54" s="41" t="n">
        <v>3034</v>
      </c>
      <c r="F54" s="41" t="n"/>
      <c r="G54" s="42" t="n"/>
      <c r="H54" s="20" t="n"/>
      <c r="I54" s="20" t="n"/>
      <c r="J54" s="20" t="n"/>
    </row>
    <row r="55" ht="16.5" customFormat="1" customHeight="1" s="12">
      <c r="A55" s="17" t="n">
        <v>50</v>
      </c>
      <c r="B55" s="25" t="inlineStr">
        <is>
          <t>2026.04.07</t>
        </is>
      </c>
      <c r="C55" s="137" t="n">
        <v>174.53</v>
      </c>
      <c r="D55" s="41" t="n">
        <v>17</v>
      </c>
      <c r="E55" s="41" t="n">
        <v>2968</v>
      </c>
      <c r="F55" s="41" t="n"/>
      <c r="G55" s="42" t="n"/>
      <c r="H55" s="20" t="n"/>
      <c r="I55" s="20" t="n"/>
      <c r="J55" s="20" t="n"/>
    </row>
    <row r="56" ht="16.5" customFormat="1" customHeight="1" s="12">
      <c r="A56" s="17" t="n">
        <v>51</v>
      </c>
      <c r="B56" s="25" t="inlineStr">
        <is>
          <t>2026.05.06</t>
        </is>
      </c>
      <c r="C56" s="137" t="n">
        <v>221.62</v>
      </c>
      <c r="D56" s="41" t="n">
        <v>13</v>
      </c>
      <c r="E56" s="41" t="n">
        <v>2882</v>
      </c>
      <c r="F56" s="41" t="n"/>
      <c r="G56" s="42" t="n"/>
      <c r="H56" s="20" t="n"/>
      <c r="I56" s="20" t="n"/>
      <c r="J56" s="20" t="n"/>
    </row>
    <row r="57" ht="16.5" customFormat="1" customHeight="1" s="12">
      <c r="A57" s="17" t="n">
        <v>52</v>
      </c>
      <c r="B57" s="25" t="inlineStr">
        <is>
          <t>2026.06.08</t>
        </is>
      </c>
      <c r="C57" s="137" t="n">
        <v>233</v>
      </c>
      <c r="D57" s="41" t="n">
        <v>13</v>
      </c>
      <c r="E57" s="41" t="n">
        <v>3030</v>
      </c>
      <c r="F57" s="41" t="n"/>
      <c r="G57" s="42" t="n"/>
      <c r="H57" s="20" t="n"/>
      <c r="I57" s="20" t="n"/>
      <c r="J57" s="20" t="n"/>
    </row>
    <row r="58" ht="16.5" customFormat="1" customHeight="1" s="12">
      <c r="A58" s="17" t="n">
        <v>53</v>
      </c>
      <c r="B58" s="25" t="inlineStr">
        <is>
          <t>2026.07.06</t>
        </is>
      </c>
      <c r="C58" s="137" t="n">
        <v>252.17</v>
      </c>
      <c r="D58" s="41" t="n">
        <v>12</v>
      </c>
      <c r="E58" s="41" t="n">
        <v>3027</v>
      </c>
      <c r="F58" s="41" t="n"/>
      <c r="G58" s="42" t="n"/>
      <c r="H58" s="20" t="n"/>
      <c r="I58" s="20" t="n"/>
      <c r="J58" s="20" t="n"/>
    </row>
    <row r="59" ht="16.5" customFormat="1" customHeight="1" s="12">
      <c r="A59" s="17" t="n">
        <v>54</v>
      </c>
      <c r="B59" s="25" t="inlineStr">
        <is>
          <t>2026.08.06</t>
        </is>
      </c>
      <c r="C59" s="137" t="n">
        <v>236.15</v>
      </c>
      <c r="D59" s="41" t="n">
        <v>13</v>
      </c>
      <c r="E59" s="41" t="n">
        <v>3071</v>
      </c>
      <c r="F59" s="41" t="n"/>
      <c r="G59" s="42" t="n"/>
      <c r="H59" s="20" t="n"/>
      <c r="I59" s="20" t="n"/>
      <c r="J59" s="20" t="n"/>
    </row>
    <row r="60" ht="16.5" customFormat="1" customHeight="1" s="12">
      <c r="A60" s="17" t="n">
        <v>55</v>
      </c>
      <c r="B60" s="25" t="inlineStr">
        <is>
          <t>2026.08.10</t>
        </is>
      </c>
      <c r="C60" s="137" t="n">
        <v>0</v>
      </c>
      <c r="D60" s="41" t="n">
        <v>0</v>
      </c>
      <c r="E60" s="41" t="n">
        <v>0</v>
      </c>
      <c r="F60" s="41" t="n">
        <v>4175</v>
      </c>
      <c r="G60" s="42" t="n"/>
      <c r="H60" s="20" t="n"/>
      <c r="I60" s="20" t="n"/>
      <c r="J60" s="20" t="n"/>
    </row>
    <row r="61" ht="16.5" customFormat="1" customHeight="1" s="12">
      <c r="A61" s="17" t="n">
        <v>56</v>
      </c>
      <c r="B61" s="25" t="inlineStr">
        <is>
          <t>2026.08.13</t>
        </is>
      </c>
      <c r="C61" s="137" t="n">
        <v>244.56</v>
      </c>
      <c r="D61" s="41" t="n">
        <v>16</v>
      </c>
      <c r="E61" s="41" t="n">
        <v>3914</v>
      </c>
      <c r="F61" s="41" t="n"/>
      <c r="G61" s="42" t="n"/>
      <c r="H61" s="20" t="n"/>
      <c r="I61" s="20" t="n"/>
      <c r="J61" s="20" t="n"/>
    </row>
    <row r="62" ht="16.5" customFormat="1" customHeight="1" s="12">
      <c r="A62" s="17" t="n">
        <v>57</v>
      </c>
      <c r="B62" s="25" t="inlineStr">
        <is>
          <t>2026.09.07</t>
        </is>
      </c>
      <c r="C62" s="137" t="n">
        <v>251.67</v>
      </c>
      <c r="D62" s="41" t="n">
        <v>12</v>
      </c>
      <c r="E62" s="41" t="n">
        <v>3021</v>
      </c>
      <c r="F62" s="41" t="n"/>
      <c r="G62" s="42" t="n"/>
      <c r="H62" s="20" t="n"/>
      <c r="I62" s="20" t="n"/>
      <c r="J62" s="20" t="n"/>
    </row>
    <row r="63" ht="16.5" customFormat="1" customHeight="1" s="12">
      <c r="A63" s="17" t="n">
        <v>58</v>
      </c>
      <c r="B63" s="25" t="inlineStr">
        <is>
          <t>2026.10.06</t>
        </is>
      </c>
      <c r="C63" s="137" t="n">
        <v>265.27</v>
      </c>
      <c r="D63" s="41" t="n">
        <v>11</v>
      </c>
      <c r="E63" s="41" t="n">
        <v>2919</v>
      </c>
      <c r="F63" s="41" t="n"/>
      <c r="G63" s="42" t="n"/>
      <c r="H63" s="20" t="n"/>
      <c r="I63" s="20" t="n"/>
      <c r="J63" s="20" t="n"/>
    </row>
    <row r="64" ht="16.5" customFormat="1" customHeight="1" s="12">
      <c r="A64" s="17" t="n">
        <v>59</v>
      </c>
      <c r="B64" s="25" t="n"/>
      <c r="C64" s="137" t="n"/>
      <c r="D64" s="41" t="n"/>
      <c r="E64" s="41" t="n"/>
      <c r="F64" s="41" t="n"/>
      <c r="G64" s="42" t="n"/>
      <c r="H64" s="20" t="n"/>
      <c r="I64" s="20" t="n"/>
      <c r="J64" s="20" t="n"/>
    </row>
    <row r="65" ht="16.5" customFormat="1" customHeight="1" s="12">
      <c r="A65" s="17" t="n">
        <v>60</v>
      </c>
      <c r="B65" s="25" t="n"/>
      <c r="C65" s="137" t="n"/>
      <c r="D65" s="41" t="n"/>
      <c r="E65" s="41" t="n"/>
      <c r="F65" s="41" t="n"/>
      <c r="G65" s="42" t="n"/>
      <c r="H65" s="20" t="n"/>
      <c r="I65" s="20" t="n"/>
      <c r="J65" s="20" t="n"/>
    </row>
    <row r="66" ht="16.5" customFormat="1" customHeight="1" s="12">
      <c r="A66" s="17" t="n">
        <v>61</v>
      </c>
      <c r="B66" s="25" t="n"/>
      <c r="C66" s="137" t="n"/>
      <c r="D66" s="41" t="n"/>
      <c r="E66" s="41" t="n"/>
      <c r="F66" s="41" t="n"/>
      <c r="G66" s="42" t="n"/>
      <c r="H66" s="20" t="n"/>
      <c r="I66" s="20" t="n"/>
      <c r="J66" s="20" t="n"/>
    </row>
    <row r="67" ht="16.5" customFormat="1" customHeight="1" s="12">
      <c r="A67" s="17" t="n">
        <v>62</v>
      </c>
      <c r="B67" s="25" t="n"/>
      <c r="C67" s="137" t="n"/>
      <c r="D67" s="41" t="n"/>
      <c r="E67" s="41" t="n"/>
      <c r="F67" s="41" t="n"/>
      <c r="G67" s="42" t="n"/>
      <c r="H67" s="20" t="n"/>
      <c r="I67" s="20" t="n"/>
      <c r="J67" s="20" t="n"/>
    </row>
    <row r="68" ht="16.5" customFormat="1" customHeight="1" s="12">
      <c r="A68" s="17" t="n">
        <v>63</v>
      </c>
      <c r="B68" s="25" t="n"/>
      <c r="C68" s="137" t="n"/>
      <c r="D68" s="41" t="n"/>
      <c r="E68" s="41" t="n"/>
      <c r="F68" s="41" t="n"/>
      <c r="G68" s="42" t="n"/>
      <c r="H68" s="20" t="n"/>
      <c r="I68" s="20" t="n"/>
      <c r="J68" s="20" t="n"/>
    </row>
    <row r="69" ht="16.5" customFormat="1" customHeight="1" s="12">
      <c r="A69" s="17" t="n">
        <v>64</v>
      </c>
      <c r="B69" s="25" t="n"/>
      <c r="C69" s="137" t="n"/>
      <c r="D69" s="41" t="n"/>
      <c r="E69" s="41" t="n"/>
      <c r="F69" s="41" t="n"/>
      <c r="G69" s="42" t="n"/>
      <c r="H69" s="20" t="n"/>
      <c r="I69" s="20" t="n"/>
      <c r="J69" s="20" t="n"/>
    </row>
    <row r="70" ht="16.5" customFormat="1" customHeight="1" s="12">
      <c r="A70" s="17" t="n">
        <v>65</v>
      </c>
      <c r="B70" s="25" t="n"/>
      <c r="C70" s="137" t="n"/>
      <c r="D70" s="41" t="n"/>
      <c r="E70" s="41" t="n"/>
      <c r="F70" s="41" t="n"/>
      <c r="G70" s="42" t="n"/>
      <c r="H70" s="20" t="n"/>
      <c r="I70" s="20" t="n"/>
      <c r="J70" s="20" t="n"/>
    </row>
    <row r="71" ht="16.5" customFormat="1" customHeight="1" s="12">
      <c r="A71" s="17" t="n">
        <v>66</v>
      </c>
      <c r="B71" s="25" t="n"/>
      <c r="C71" s="137" t="n"/>
      <c r="D71" s="41" t="n"/>
      <c r="E71" s="41" t="n"/>
      <c r="F71" s="41" t="n"/>
      <c r="G71" s="42" t="n"/>
      <c r="H71" s="20" t="n"/>
      <c r="I71" s="20" t="n"/>
      <c r="J71" s="20" t="n"/>
    </row>
    <row r="72" ht="16.5" customFormat="1" customHeight="1" s="12">
      <c r="A72" s="17" t="n">
        <v>67</v>
      </c>
      <c r="B72" s="25" t="n"/>
      <c r="C72" s="137" t="n"/>
      <c r="D72" s="41" t="n"/>
      <c r="E72" s="41" t="n"/>
      <c r="F72" s="41" t="n"/>
      <c r="G72" s="42" t="n"/>
      <c r="H72" s="20" t="n"/>
      <c r="I72" s="20" t="n"/>
      <c r="J72" s="20" t="n"/>
    </row>
    <row r="73" ht="16.5" customFormat="1" customHeight="1" s="12">
      <c r="A73" s="17" t="n">
        <v>68</v>
      </c>
      <c r="B73" s="25" t="n"/>
      <c r="C73" s="137" t="n"/>
      <c r="D73" s="41" t="n"/>
      <c r="E73" s="41" t="n"/>
      <c r="F73" s="41" t="n"/>
      <c r="G73" s="42" t="n"/>
      <c r="H73" s="20" t="n"/>
      <c r="I73" s="20" t="n"/>
      <c r="J73" s="20" t="n"/>
    </row>
    <row r="74" ht="16.5" customFormat="1" customHeight="1" s="12">
      <c r="A74" s="17" t="n">
        <v>69</v>
      </c>
      <c r="B74" s="25" t="n"/>
      <c r="C74" s="137" t="n"/>
      <c r="D74" s="41" t="n"/>
      <c r="E74" s="41" t="n"/>
      <c r="F74" s="41" t="n"/>
      <c r="G74" s="42" t="n"/>
      <c r="H74" s="20" t="n"/>
      <c r="I74" s="20" t="n"/>
      <c r="J74" s="20" t="n"/>
    </row>
    <row r="75" ht="16.5" customFormat="1" customHeight="1" s="12">
      <c r="A75" s="17" t="n">
        <v>70</v>
      </c>
      <c r="B75" s="25" t="n"/>
      <c r="C75" s="137" t="n"/>
      <c r="D75" s="41" t="n"/>
      <c r="E75" s="41" t="n"/>
      <c r="F75" s="41" t="n"/>
      <c r="G75" s="42" t="n"/>
      <c r="H75" s="20" t="n"/>
      <c r="I75" s="20" t="n"/>
      <c r="J75" s="20" t="n"/>
    </row>
    <row r="76" ht="16.5" customFormat="1" customHeight="1" s="12">
      <c r="A76" s="17" t="n">
        <v>71</v>
      </c>
      <c r="B76" s="25" t="n"/>
      <c r="C76" s="137" t="n"/>
      <c r="D76" s="41" t="n"/>
      <c r="E76" s="41" t="n"/>
      <c r="F76" s="41" t="n"/>
      <c r="G76" s="42" t="n"/>
      <c r="H76" s="20" t="n"/>
      <c r="I76" s="20" t="n"/>
      <c r="J76" s="20" t="n"/>
    </row>
    <row r="77" ht="16.5" customFormat="1" customHeight="1" s="12">
      <c r="A77" s="17" t="n">
        <v>72</v>
      </c>
      <c r="B77" s="25" t="n"/>
      <c r="C77" s="137" t="n"/>
      <c r="D77" s="41" t="n"/>
      <c r="E77" s="41" t="n"/>
      <c r="F77" s="41" t="n"/>
      <c r="G77" s="42" t="n"/>
      <c r="H77" s="20" t="n"/>
      <c r="I77" s="20" t="n"/>
      <c r="J77" s="20" t="n"/>
    </row>
    <row r="78" ht="16.5" customFormat="1" customHeight="1" s="12">
      <c r="A78" s="17" t="n">
        <v>73</v>
      </c>
      <c r="B78" s="25" t="n"/>
      <c r="C78" s="137" t="n"/>
      <c r="D78" s="41" t="n"/>
      <c r="E78" s="41" t="n"/>
      <c r="F78" s="41" t="n"/>
      <c r="G78" s="42" t="n"/>
      <c r="H78" s="20" t="n"/>
      <c r="I78" s="20" t="n"/>
      <c r="J78" s="20" t="n"/>
    </row>
    <row r="79" ht="16.5" customFormat="1" customHeight="1" s="12">
      <c r="A79" s="17" t="n">
        <v>74</v>
      </c>
      <c r="B79" s="25" t="n"/>
      <c r="C79" s="137" t="n"/>
      <c r="D79" s="41" t="n"/>
      <c r="E79" s="41" t="n"/>
      <c r="F79" s="41" t="n"/>
      <c r="G79" s="42" t="n"/>
      <c r="H79" s="20" t="n"/>
      <c r="I79" s="20" t="n"/>
      <c r="J79" s="20" t="n"/>
    </row>
    <row r="80" ht="16.5" customFormat="1" customHeight="1" s="12">
      <c r="A80" s="17" t="n">
        <v>75</v>
      </c>
      <c r="B80" s="25" t="n"/>
      <c r="C80" s="137" t="n"/>
      <c r="D80" s="41" t="n"/>
      <c r="E80" s="41" t="n"/>
      <c r="F80" s="41" t="n"/>
      <c r="G80" s="42" t="n"/>
      <c r="H80" s="20" t="n"/>
      <c r="I80" s="20" t="n"/>
      <c r="J80" s="20" t="n"/>
    </row>
    <row r="81" ht="16.5" customFormat="1" customHeight="1" s="12">
      <c r="A81" s="17" t="n">
        <v>76</v>
      </c>
      <c r="B81" s="25" t="n"/>
      <c r="C81" s="137" t="n"/>
      <c r="D81" s="41" t="n"/>
      <c r="E81" s="41" t="n"/>
      <c r="F81" s="41" t="n"/>
      <c r="G81" s="42" t="n"/>
      <c r="H81" s="20" t="n"/>
      <c r="I81" s="20" t="n"/>
      <c r="J81" s="20" t="n"/>
    </row>
    <row r="82" ht="16.5" customFormat="1" customHeight="1" s="12">
      <c r="A82" s="17" t="n">
        <v>77</v>
      </c>
      <c r="B82" s="25" t="n"/>
      <c r="C82" s="137" t="n"/>
      <c r="D82" s="41" t="n"/>
      <c r="E82" s="41" t="n"/>
      <c r="F82" s="41" t="n"/>
      <c r="G82" s="42" t="n"/>
      <c r="H82" s="20" t="n"/>
      <c r="I82" s="20" t="n"/>
      <c r="J82" s="20" t="n"/>
    </row>
    <row r="83" ht="16.5" customFormat="1" customHeight="1" s="12">
      <c r="A83" s="17" t="n">
        <v>78</v>
      </c>
      <c r="B83" s="25" t="n"/>
      <c r="C83" s="137" t="n"/>
      <c r="D83" s="41" t="n"/>
      <c r="E83" s="41" t="n"/>
      <c r="F83" s="41" t="n"/>
      <c r="G83" s="42" t="n"/>
      <c r="H83" s="20" t="n"/>
      <c r="I83" s="20" t="n"/>
      <c r="J83" s="20" t="n"/>
    </row>
    <row r="84" ht="16.5" customFormat="1" customHeight="1" s="12">
      <c r="A84" s="17" t="n">
        <v>79</v>
      </c>
      <c r="B84" s="25" t="n"/>
      <c r="C84" s="137" t="n"/>
      <c r="D84" s="41" t="n"/>
      <c r="E84" s="41" t="n"/>
      <c r="F84" s="41" t="n"/>
      <c r="G84" s="42" t="n"/>
      <c r="H84" s="20" t="n"/>
      <c r="I84" s="20" t="n"/>
      <c r="J84" s="20" t="n"/>
    </row>
    <row r="85" ht="16.5" customFormat="1" customHeight="1" s="12">
      <c r="A85" s="17" t="n">
        <v>80</v>
      </c>
      <c r="B85" s="25" t="n"/>
      <c r="C85" s="137" t="n"/>
      <c r="D85" s="41" t="n"/>
      <c r="E85" s="41" t="n"/>
      <c r="F85" s="41" t="n"/>
      <c r="G85" s="42" t="n"/>
      <c r="H85" s="20" t="n"/>
      <c r="I85" s="20" t="n"/>
      <c r="J85" s="20" t="n"/>
    </row>
    <row r="86" ht="16.5" customFormat="1" customHeight="1" s="12">
      <c r="A86" s="17" t="n">
        <v>81</v>
      </c>
      <c r="B86" s="25" t="n"/>
      <c r="C86" s="137" t="n"/>
      <c r="D86" s="41" t="n"/>
      <c r="E86" s="41" t="n"/>
      <c r="F86" s="41" t="n"/>
      <c r="G86" s="42" t="n"/>
      <c r="H86" s="20" t="n"/>
      <c r="I86" s="20" t="n"/>
      <c r="J86" s="20" t="n"/>
    </row>
    <row r="87" ht="16.5" customFormat="1" customHeight="1" s="12">
      <c r="A87" s="17" t="n">
        <v>82</v>
      </c>
      <c r="B87" s="25" t="n"/>
      <c r="C87" s="137" t="n"/>
      <c r="D87" s="41" t="n"/>
      <c r="E87" s="41" t="n"/>
      <c r="F87" s="41" t="n"/>
      <c r="G87" s="42" t="n"/>
      <c r="H87" s="20" t="n"/>
      <c r="I87" s="20" t="n"/>
      <c r="J87" s="20" t="n"/>
    </row>
    <row r="88" ht="16.5" customFormat="1" customHeight="1" s="12">
      <c r="A88" s="17" t="n">
        <v>83</v>
      </c>
      <c r="B88" s="25" t="n"/>
      <c r="C88" s="137" t="n"/>
      <c r="D88" s="41" t="n"/>
      <c r="E88" s="41" t="n"/>
      <c r="F88" s="41" t="n"/>
      <c r="G88" s="42" t="n"/>
      <c r="H88" s="20" t="n"/>
      <c r="I88" s="20" t="n"/>
      <c r="J88" s="20" t="n"/>
    </row>
    <row r="89" ht="16.5" customFormat="1" customHeight="1" s="12">
      <c r="A89" s="17" t="n">
        <v>84</v>
      </c>
      <c r="B89" s="25" t="n"/>
      <c r="C89" s="137" t="n"/>
      <c r="D89" s="41" t="n"/>
      <c r="E89" s="41" t="n"/>
      <c r="F89" s="41" t="n"/>
      <c r="G89" s="42" t="n"/>
      <c r="H89" s="20" t="n"/>
      <c r="I89" s="20" t="n"/>
      <c r="J89" s="20" t="n"/>
    </row>
    <row r="90" ht="16.5" customFormat="1" customHeight="1" s="12">
      <c r="A90" s="17" t="n">
        <v>85</v>
      </c>
      <c r="B90" s="25" t="n"/>
      <c r="C90" s="137" t="n"/>
      <c r="D90" s="41" t="n"/>
      <c r="E90" s="41" t="n"/>
      <c r="F90" s="41" t="n"/>
      <c r="G90" s="42" t="n"/>
      <c r="H90" s="20" t="n"/>
      <c r="I90" s="20" t="n"/>
      <c r="J90" s="20" t="n"/>
    </row>
    <row r="91" ht="16.5" customFormat="1" customHeight="1" s="12">
      <c r="A91" s="17" t="n">
        <v>86</v>
      </c>
      <c r="B91" s="25" t="n"/>
      <c r="C91" s="137" t="n"/>
      <c r="D91" s="41" t="n"/>
      <c r="E91" s="41" t="n"/>
      <c r="F91" s="41" t="n"/>
      <c r="G91" s="42" t="n"/>
      <c r="H91" s="20" t="n"/>
      <c r="I91" s="20" t="n"/>
      <c r="J91" s="20" t="n"/>
    </row>
    <row r="92" ht="16.5" customFormat="1" customHeight="1" s="12">
      <c r="A92" s="17" t="n">
        <v>87</v>
      </c>
      <c r="B92" s="25" t="n"/>
      <c r="C92" s="137" t="n"/>
      <c r="D92" s="41" t="n"/>
      <c r="E92" s="41" t="n"/>
      <c r="F92" s="41" t="n"/>
      <c r="G92" s="42" t="n"/>
      <c r="H92" s="20" t="n"/>
      <c r="I92" s="20" t="n"/>
      <c r="J92" s="20" t="n"/>
    </row>
    <row r="93" ht="16.5" customFormat="1" customHeight="1" s="12">
      <c r="A93" s="17" t="n">
        <v>88</v>
      </c>
      <c r="B93" s="25" t="n"/>
      <c r="C93" s="137" t="n"/>
      <c r="D93" s="41" t="n"/>
      <c r="E93" s="41" t="n"/>
      <c r="F93" s="41" t="n"/>
      <c r="G93" s="42" t="n"/>
      <c r="H93" s="20" t="n"/>
      <c r="I93" s="20" t="n"/>
      <c r="J93" s="20" t="n"/>
    </row>
    <row r="94" ht="16.5" customFormat="1" customHeight="1" s="12">
      <c r="A94" s="17" t="n">
        <v>89</v>
      </c>
      <c r="B94" s="25" t="n"/>
      <c r="C94" s="137" t="n"/>
      <c r="D94" s="41" t="n"/>
      <c r="E94" s="41" t="n"/>
      <c r="F94" s="41" t="n"/>
      <c r="G94" s="42" t="n"/>
      <c r="H94" s="20" t="n"/>
      <c r="I94" s="20" t="n"/>
      <c r="J94" s="20" t="n"/>
    </row>
    <row r="95" ht="16.5" customFormat="1" customHeight="1" s="12">
      <c r="A95" s="17" t="n">
        <v>90</v>
      </c>
      <c r="B95" s="25" t="n"/>
      <c r="C95" s="137" t="n"/>
      <c r="D95" s="41" t="n"/>
      <c r="E95" s="41" t="n"/>
      <c r="F95" s="41" t="n"/>
      <c r="G95" s="42" t="n"/>
      <c r="H95" s="20" t="n"/>
      <c r="I95" s="20" t="n"/>
      <c r="J95" s="20" t="n"/>
    </row>
    <row r="96" ht="16.5" customFormat="1" customHeight="1" s="12">
      <c r="A96" s="17" t="n">
        <v>91</v>
      </c>
      <c r="B96" s="25" t="n"/>
      <c r="C96" s="137" t="n"/>
      <c r="D96" s="41" t="n"/>
      <c r="E96" s="41" t="n"/>
      <c r="F96" s="41" t="n"/>
      <c r="G96" s="42" t="n"/>
      <c r="H96" s="20" t="n"/>
      <c r="I96" s="20" t="n"/>
      <c r="J96" s="20" t="n"/>
    </row>
    <row r="97" ht="16.5" customFormat="1" customHeight="1" s="12">
      <c r="A97" s="17" t="n">
        <v>92</v>
      </c>
      <c r="B97" s="25" t="n"/>
      <c r="C97" s="137" t="n"/>
      <c r="D97" s="41" t="n"/>
      <c r="E97" s="41" t="n"/>
      <c r="F97" s="41" t="n"/>
      <c r="G97" s="42" t="n"/>
      <c r="H97" s="20" t="n"/>
      <c r="I97" s="20" t="n"/>
      <c r="J97" s="20" t="n"/>
    </row>
    <row r="98" ht="16.5" customFormat="1" customHeight="1" s="12">
      <c r="A98" s="17" t="n">
        <v>93</v>
      </c>
      <c r="B98" s="25" t="n"/>
      <c r="C98" s="137" t="n"/>
      <c r="D98" s="41" t="n"/>
      <c r="E98" s="41" t="n"/>
      <c r="F98" s="41" t="n"/>
      <c r="G98" s="42" t="n"/>
      <c r="H98" s="20" t="n"/>
      <c r="I98" s="20" t="n"/>
      <c r="J98" s="20" t="n"/>
    </row>
    <row r="99" ht="16.5" customFormat="1" customHeight="1" s="12">
      <c r="A99" s="17" t="n">
        <v>94</v>
      </c>
      <c r="B99" s="25" t="n"/>
      <c r="C99" s="137" t="n"/>
      <c r="D99" s="41" t="n"/>
      <c r="E99" s="41" t="n"/>
      <c r="F99" s="41" t="n"/>
      <c r="G99" s="42" t="n"/>
      <c r="H99" s="20" t="n"/>
      <c r="I99" s="20" t="n"/>
      <c r="J99" s="20" t="n"/>
    </row>
    <row r="100" ht="16.5" customFormat="1" customHeight="1" s="12">
      <c r="A100" s="17" t="n">
        <v>95</v>
      </c>
      <c r="B100" s="25" t="n"/>
      <c r="C100" s="137" t="n"/>
      <c r="D100" s="41" t="n"/>
      <c r="E100" s="41" t="n"/>
      <c r="F100" s="41" t="n"/>
      <c r="G100" s="42" t="n"/>
      <c r="H100" s="20" t="n"/>
      <c r="I100" s="20" t="n"/>
      <c r="J100" s="20" t="n"/>
    </row>
    <row r="101" ht="16.5" customFormat="1" customHeight="1" s="12">
      <c r="A101" s="17" t="n">
        <v>96</v>
      </c>
      <c r="B101" s="25" t="n"/>
      <c r="C101" s="137" t="n"/>
      <c r="D101" s="41" t="n"/>
      <c r="E101" s="41" t="n"/>
      <c r="F101" s="41" t="n"/>
      <c r="G101" s="42" t="n"/>
      <c r="H101" s="20" t="n"/>
      <c r="I101" s="20" t="n"/>
      <c r="J101" s="20" t="n"/>
    </row>
    <row r="102" ht="16.5" customFormat="1" customHeight="1" s="12">
      <c r="A102" s="17" t="n">
        <v>97</v>
      </c>
      <c r="B102" s="25" t="n"/>
      <c r="C102" s="137" t="n"/>
      <c r="D102" s="41" t="n"/>
      <c r="E102" s="41" t="n"/>
      <c r="F102" s="41" t="n"/>
      <c r="G102" s="42" t="n"/>
      <c r="H102" s="20" t="n"/>
      <c r="I102" s="20" t="n"/>
      <c r="J102" s="20" t="n"/>
    </row>
    <row r="103" ht="16.5" customFormat="1" customHeight="1" s="12">
      <c r="A103" s="17" t="n">
        <v>98</v>
      </c>
      <c r="B103" s="25" t="n"/>
      <c r="C103" s="137" t="n"/>
      <c r="D103" s="41" t="n"/>
      <c r="E103" s="41" t="n"/>
      <c r="F103" s="41" t="n"/>
      <c r="G103" s="42" t="n"/>
      <c r="H103" s="20" t="n"/>
      <c r="I103" s="20" t="n"/>
      <c r="J103" s="20" t="n"/>
    </row>
    <row r="104" ht="16.5" customFormat="1" customHeight="1" s="12">
      <c r="A104" s="17" t="n">
        <v>99</v>
      </c>
      <c r="B104" s="25" t="n"/>
      <c r="C104" s="137" t="n"/>
      <c r="D104" s="41" t="n"/>
      <c r="E104" s="41" t="n"/>
      <c r="F104" s="41" t="n"/>
      <c r="G104" s="42" t="n"/>
      <c r="H104" s="20" t="n"/>
      <c r="I104" s="20" t="n"/>
      <c r="J104" s="20" t="n"/>
    </row>
    <row r="105" ht="16.5" customFormat="1" customHeight="1" s="12">
      <c r="A105" s="17" t="n">
        <v>100</v>
      </c>
      <c r="B105" s="25" t="n"/>
      <c r="C105" s="137" t="n"/>
      <c r="D105" s="41" t="n"/>
      <c r="E105" s="41" t="n"/>
      <c r="F105" s="41" t="n"/>
      <c r="G105" s="42" t="n"/>
      <c r="H105" s="20" t="n"/>
      <c r="I105" s="20" t="n"/>
      <c r="J105" s="20" t="n"/>
    </row>
    <row r="106" ht="16.5" customFormat="1" customHeight="1" s="12">
      <c r="A106" s="17" t="n">
        <v>101</v>
      </c>
      <c r="B106" s="25" t="n"/>
      <c r="C106" s="137" t="n"/>
      <c r="D106" s="41" t="n"/>
      <c r="E106" s="41" t="n"/>
      <c r="F106" s="41" t="n"/>
      <c r="G106" s="42" t="n"/>
      <c r="H106" s="20" t="n"/>
      <c r="I106" s="20" t="n"/>
      <c r="J106" s="20" t="n"/>
    </row>
    <row r="107" ht="16.5" customFormat="1" customHeight="1" s="12">
      <c r="A107" s="17" t="n">
        <v>102</v>
      </c>
      <c r="B107" s="25" t="n"/>
      <c r="C107" s="137" t="n"/>
      <c r="D107" s="41" t="n"/>
      <c r="E107" s="41" t="n"/>
      <c r="F107" s="41" t="n"/>
      <c r="G107" s="42" t="n"/>
      <c r="H107" s="20" t="n"/>
      <c r="I107" s="20" t="n"/>
      <c r="J107" s="20" t="n"/>
    </row>
    <row r="108" ht="16.5" customFormat="1" customHeight="1" s="12">
      <c r="A108" s="17" t="n">
        <v>103</v>
      </c>
      <c r="B108" s="25" t="n"/>
      <c r="C108" s="137" t="n"/>
      <c r="D108" s="41" t="n"/>
      <c r="E108" s="41" t="n"/>
      <c r="F108" s="41" t="n"/>
      <c r="G108" s="42" t="n"/>
      <c r="H108" s="20" t="n"/>
      <c r="I108" s="20" t="n"/>
      <c r="J108" s="20" t="n"/>
    </row>
    <row r="109" ht="16.5" customFormat="1" customHeight="1" s="12">
      <c r="A109" s="17" t="n">
        <v>104</v>
      </c>
      <c r="B109" s="25" t="n"/>
      <c r="C109" s="137" t="n"/>
      <c r="D109" s="41" t="n"/>
      <c r="E109" s="41" t="n"/>
      <c r="F109" s="41" t="n"/>
      <c r="G109" s="42" t="n"/>
      <c r="H109" s="20" t="n"/>
      <c r="I109" s="20" t="n"/>
      <c r="J109" s="20" t="n"/>
    </row>
    <row r="110" ht="16.5" customFormat="1" customHeight="1" s="12">
      <c r="A110" s="17" t="n">
        <v>105</v>
      </c>
      <c r="B110" s="25" t="n"/>
      <c r="C110" s="137" t="n"/>
      <c r="D110" s="41" t="n"/>
      <c r="E110" s="41" t="n"/>
      <c r="F110" s="41" t="n"/>
      <c r="G110" s="42" t="n"/>
      <c r="H110" s="20" t="n"/>
      <c r="I110" s="20" t="n"/>
      <c r="J110" s="20" t="n"/>
    </row>
    <row r="111" ht="16.5" customFormat="1" customHeight="1" s="12">
      <c r="A111" s="17" t="n">
        <v>106</v>
      </c>
      <c r="B111" s="25" t="n"/>
      <c r="C111" s="137" t="n"/>
      <c r="D111" s="41" t="n"/>
      <c r="E111" s="41" t="n"/>
      <c r="F111" s="41" t="n"/>
      <c r="G111" s="42" t="n"/>
      <c r="H111" s="20" t="n"/>
      <c r="I111" s="20" t="n"/>
      <c r="J111" s="20" t="n"/>
    </row>
    <row r="112" ht="16.5" customFormat="1" customHeight="1" s="12">
      <c r="A112" s="17" t="n">
        <v>107</v>
      </c>
      <c r="B112" s="25" t="n"/>
      <c r="C112" s="137" t="n"/>
      <c r="D112" s="41" t="n"/>
      <c r="E112" s="41" t="n"/>
      <c r="F112" s="41" t="n"/>
      <c r="G112" s="42" t="n"/>
      <c r="H112" s="20" t="n"/>
      <c r="I112" s="20" t="n"/>
      <c r="J112" s="20" t="n"/>
    </row>
    <row r="113" ht="16.5" customFormat="1" customHeight="1" s="12">
      <c r="A113" s="17" t="n">
        <v>108</v>
      </c>
      <c r="B113" s="25" t="n"/>
      <c r="C113" s="137" t="n"/>
      <c r="D113" s="41" t="n"/>
      <c r="E113" s="41" t="n"/>
      <c r="F113" s="41" t="n"/>
      <c r="G113" s="42" t="n"/>
      <c r="H113" s="20" t="n"/>
      <c r="I113" s="20" t="n"/>
      <c r="J113" s="20" t="n"/>
    </row>
    <row r="114" ht="16.5" customFormat="1" customHeight="1" s="12">
      <c r="A114" s="17" t="n">
        <v>109</v>
      </c>
      <c r="B114" s="25" t="n"/>
      <c r="C114" s="137" t="n"/>
      <c r="D114" s="41" t="n"/>
      <c r="E114" s="41" t="n"/>
      <c r="F114" s="41" t="n"/>
      <c r="G114" s="42" t="n"/>
      <c r="H114" s="20" t="n"/>
      <c r="I114" s="20" t="n"/>
      <c r="J114" s="20" t="n"/>
    </row>
    <row r="115" ht="16.5" customFormat="1" customHeight="1" s="12">
      <c r="A115" s="17" t="n">
        <v>110</v>
      </c>
      <c r="B115" s="25" t="n"/>
      <c r="C115" s="137" t="n"/>
      <c r="D115" s="41" t="n"/>
      <c r="E115" s="41" t="n"/>
      <c r="F115" s="41" t="n"/>
      <c r="G115" s="42" t="n"/>
      <c r="H115" s="20" t="n"/>
      <c r="I115" s="20" t="n"/>
      <c r="J115" s="20" t="n"/>
    </row>
    <row r="116" ht="16.5" customFormat="1" customHeight="1" s="12">
      <c r="A116" s="17" t="n">
        <v>111</v>
      </c>
      <c r="B116" s="25" t="n"/>
      <c r="C116" s="137" t="n"/>
      <c r="D116" s="41" t="n"/>
      <c r="E116" s="41" t="n"/>
      <c r="F116" s="41" t="n"/>
      <c r="G116" s="42" t="n"/>
      <c r="H116" s="20" t="n"/>
      <c r="I116" s="20" t="n"/>
      <c r="J116" s="20" t="n"/>
    </row>
    <row r="117" ht="16.5" customFormat="1" customHeight="1" s="12">
      <c r="A117" s="17" t="n">
        <v>112</v>
      </c>
      <c r="B117" s="25" t="n"/>
      <c r="C117" s="137" t="n"/>
      <c r="D117" s="41" t="n"/>
      <c r="E117" s="41" t="n"/>
      <c r="F117" s="41" t="n"/>
      <c r="G117" s="42" t="n"/>
      <c r="H117" s="20" t="n"/>
      <c r="I117" s="20" t="n"/>
      <c r="J117" s="20" t="n"/>
    </row>
    <row r="118" ht="16.5" customFormat="1" customHeight="1" s="12">
      <c r="A118" s="17" t="n">
        <v>113</v>
      </c>
      <c r="B118" s="25" t="n"/>
      <c r="C118" s="137" t="n"/>
      <c r="D118" s="41" t="n"/>
      <c r="E118" s="41" t="n"/>
      <c r="F118" s="41" t="n"/>
      <c r="G118" s="42" t="n"/>
      <c r="H118" s="20" t="n"/>
      <c r="I118" s="20" t="n"/>
      <c r="J118" s="20" t="n"/>
    </row>
    <row r="119" ht="16.5" customFormat="1" customHeight="1" s="12">
      <c r="A119" s="17" t="n">
        <v>114</v>
      </c>
      <c r="B119" s="25" t="n"/>
      <c r="C119" s="137" t="n"/>
      <c r="D119" s="41" t="n"/>
      <c r="E119" s="41" t="n"/>
      <c r="F119" s="41" t="n"/>
      <c r="G119" s="42" t="n"/>
      <c r="H119" s="20" t="n"/>
      <c r="I119" s="20" t="n"/>
      <c r="J119" s="20" t="n"/>
    </row>
    <row r="120" ht="16.5" customFormat="1" customHeight="1" s="12">
      <c r="A120" s="17" t="n">
        <v>115</v>
      </c>
      <c r="B120" s="25" t="n"/>
      <c r="C120" s="137" t="n"/>
      <c r="D120" s="41" t="n"/>
      <c r="E120" s="41" t="n"/>
      <c r="F120" s="41" t="n"/>
      <c r="G120" s="42" t="n"/>
      <c r="H120" s="20" t="n"/>
      <c r="I120" s="20" t="n"/>
      <c r="J120" s="20" t="n"/>
    </row>
    <row r="121" ht="16.5" customFormat="1" customHeight="1" s="12">
      <c r="A121" s="17" t="n">
        <v>116</v>
      </c>
      <c r="B121" s="25" t="n"/>
      <c r="C121" s="137" t="n"/>
      <c r="D121" s="41" t="n"/>
      <c r="E121" s="41" t="n"/>
      <c r="F121" s="41" t="n"/>
      <c r="G121" s="42" t="n"/>
      <c r="H121" s="20" t="n"/>
      <c r="I121" s="20" t="n"/>
      <c r="J121" s="20" t="n"/>
    </row>
    <row r="122" ht="16.5" customFormat="1" customHeight="1" s="12">
      <c r="A122" s="17" t="n">
        <v>117</v>
      </c>
      <c r="B122" s="25" t="n"/>
      <c r="C122" s="137" t="n"/>
      <c r="D122" s="41" t="n"/>
      <c r="E122" s="41" t="n"/>
      <c r="F122" s="41" t="n"/>
      <c r="G122" s="42" t="n"/>
      <c r="H122" s="20" t="n"/>
      <c r="I122" s="20" t="n"/>
      <c r="J122" s="20" t="n"/>
    </row>
    <row r="123" ht="16.5" customFormat="1" customHeight="1" s="12">
      <c r="A123" s="17" t="n">
        <v>118</v>
      </c>
      <c r="B123" s="25" t="n"/>
      <c r="C123" s="137" t="n"/>
      <c r="D123" s="41" t="n"/>
      <c r="E123" s="41" t="n"/>
      <c r="F123" s="41" t="n"/>
      <c r="G123" s="42" t="n"/>
      <c r="H123" s="20" t="n"/>
      <c r="I123" s="20" t="n"/>
      <c r="J123" s="20" t="n"/>
    </row>
    <row r="124" ht="16.5" customFormat="1" customHeight="1" s="12">
      <c r="A124" s="17" t="n">
        <v>119</v>
      </c>
      <c r="B124" s="25" t="n"/>
      <c r="C124" s="137" t="n"/>
      <c r="D124" s="41" t="n"/>
      <c r="E124" s="41" t="n"/>
      <c r="F124" s="41" t="n"/>
      <c r="G124" s="42" t="n"/>
      <c r="H124" s="20" t="n"/>
      <c r="I124" s="20" t="n"/>
      <c r="J124" s="20" t="n"/>
    </row>
    <row r="125" ht="16.5" customFormat="1" customHeight="1" s="12">
      <c r="A125" s="17" t="n">
        <v>120</v>
      </c>
      <c r="B125" s="25" t="n"/>
      <c r="C125" s="137" t="n"/>
      <c r="D125" s="41" t="n"/>
      <c r="E125" s="41" t="n"/>
      <c r="F125" s="41" t="n"/>
      <c r="G125" s="42" t="n"/>
      <c r="H125" s="20" t="n"/>
      <c r="I125" s="20" t="n"/>
      <c r="J125" s="20" t="n"/>
    </row>
    <row r="126" ht="16.5" customFormat="1" customHeight="1" s="12">
      <c r="A126" s="17" t="n">
        <v>121</v>
      </c>
      <c r="B126" s="25" t="n"/>
      <c r="C126" s="137" t="n"/>
      <c r="D126" s="41" t="n"/>
      <c r="E126" s="41" t="n"/>
      <c r="F126" s="41" t="n"/>
      <c r="G126" s="42" t="n"/>
      <c r="H126" s="20" t="n"/>
      <c r="I126" s="20" t="n"/>
      <c r="J126" s="20" t="n"/>
    </row>
    <row r="127" ht="16.5" customFormat="1" customHeight="1" s="12">
      <c r="A127" s="17" t="n">
        <v>122</v>
      </c>
      <c r="B127" s="25" t="n"/>
      <c r="C127" s="137" t="n"/>
      <c r="D127" s="41" t="n"/>
      <c r="E127" s="41" t="n"/>
      <c r="F127" s="41" t="n"/>
      <c r="G127" s="42" t="n"/>
      <c r="H127" s="20" t="n"/>
      <c r="I127" s="20" t="n"/>
      <c r="J127" s="20" t="n"/>
    </row>
    <row r="128" ht="16.5" customFormat="1" customHeight="1" s="12">
      <c r="A128" s="17" t="n">
        <v>123</v>
      </c>
      <c r="B128" s="25" t="n"/>
      <c r="C128" s="137" t="n"/>
      <c r="D128" s="41" t="n"/>
      <c r="E128" s="41" t="n"/>
      <c r="F128" s="41" t="n"/>
      <c r="G128" s="42" t="n"/>
      <c r="H128" s="20" t="n"/>
      <c r="I128" s="20" t="n"/>
      <c r="J128" s="20" t="n"/>
    </row>
    <row r="129" ht="16.5" customFormat="1" customHeight="1" s="12">
      <c r="A129" s="17" t="n">
        <v>124</v>
      </c>
      <c r="B129" s="25" t="n"/>
      <c r="C129" s="137" t="n"/>
      <c r="D129" s="41" t="n"/>
      <c r="E129" s="41" t="n"/>
      <c r="F129" s="41" t="n"/>
      <c r="G129" s="42" t="n"/>
      <c r="H129" s="20" t="n"/>
      <c r="I129" s="20" t="n"/>
      <c r="J129" s="20" t="n"/>
    </row>
    <row r="130" ht="16.5" customFormat="1" customHeight="1" s="12">
      <c r="A130" s="17" t="n">
        <v>125</v>
      </c>
      <c r="B130" s="25" t="n"/>
      <c r="C130" s="137" t="n"/>
      <c r="D130" s="41" t="n"/>
      <c r="E130" s="41" t="n"/>
      <c r="F130" s="41" t="n"/>
      <c r="G130" s="42" t="n"/>
      <c r="H130" s="20" t="n"/>
      <c r="I130" s="20" t="n"/>
      <c r="J130" s="20" t="n"/>
    </row>
    <row r="131" ht="16.5" customFormat="1" customHeight="1" s="12">
      <c r="A131" s="17" t="n">
        <v>126</v>
      </c>
      <c r="B131" s="25" t="n"/>
      <c r="C131" s="137" t="n"/>
      <c r="D131" s="41" t="n"/>
      <c r="E131" s="41" t="n"/>
      <c r="F131" s="41" t="n"/>
      <c r="G131" s="42" t="n"/>
      <c r="H131" s="20" t="n"/>
      <c r="I131" s="20" t="n"/>
      <c r="J131" s="20" t="n"/>
    </row>
    <row r="132" ht="16.5" customFormat="1" customHeight="1" s="12">
      <c r="A132" s="17" t="n">
        <v>127</v>
      </c>
      <c r="B132" s="25" t="n"/>
      <c r="C132" s="137" t="n"/>
      <c r="D132" s="41" t="n"/>
      <c r="E132" s="41" t="n"/>
      <c r="F132" s="41" t="n"/>
      <c r="G132" s="42" t="n"/>
      <c r="H132" s="20" t="n"/>
      <c r="I132" s="20" t="n"/>
      <c r="J132" s="20" t="n"/>
    </row>
    <row r="133" ht="16.5" customFormat="1" customHeight="1" s="12">
      <c r="A133" s="17" t="n">
        <v>128</v>
      </c>
      <c r="B133" s="25" t="n"/>
      <c r="C133" s="137" t="n"/>
      <c r="D133" s="41" t="n"/>
      <c r="E133" s="41" t="n"/>
      <c r="F133" s="41" t="n"/>
      <c r="G133" s="42" t="n"/>
      <c r="H133" s="20" t="n"/>
      <c r="I133" s="20" t="n"/>
      <c r="J133" s="20" t="n"/>
    </row>
    <row r="134" ht="16.5" customFormat="1" customHeight="1" s="12">
      <c r="A134" s="17" t="n">
        <v>129</v>
      </c>
      <c r="B134" s="25" t="n"/>
      <c r="C134" s="137" t="n"/>
      <c r="D134" s="41" t="n"/>
      <c r="E134" s="41" t="n"/>
      <c r="F134" s="41" t="n"/>
      <c r="G134" s="42" t="n"/>
      <c r="H134" s="20" t="n"/>
      <c r="I134" s="20" t="n"/>
      <c r="J134" s="20" t="n"/>
    </row>
    <row r="135" ht="16.5" customFormat="1" customHeight="1" s="12">
      <c r="A135" s="17" t="n">
        <v>130</v>
      </c>
      <c r="B135" s="25" t="n"/>
      <c r="C135" s="137" t="n"/>
      <c r="D135" s="41" t="n"/>
      <c r="E135" s="41" t="n"/>
      <c r="F135" s="41" t="n"/>
      <c r="G135" s="42" t="n"/>
      <c r="H135" s="20" t="n"/>
      <c r="I135" s="20" t="n"/>
      <c r="J135" s="20" t="n"/>
    </row>
    <row r="136" ht="16.5" customFormat="1" customHeight="1" s="12">
      <c r="A136" s="17" t="n">
        <v>131</v>
      </c>
      <c r="B136" s="25" t="n"/>
      <c r="C136" s="137" t="n"/>
      <c r="D136" s="41" t="n"/>
      <c r="E136" s="41" t="n"/>
      <c r="F136" s="41" t="n"/>
      <c r="G136" s="42" t="n"/>
      <c r="H136" s="20" t="n"/>
      <c r="I136" s="20" t="n"/>
      <c r="J136" s="20" t="n"/>
    </row>
    <row r="137" ht="16.5" customFormat="1" customHeight="1" s="12">
      <c r="A137" s="17" t="n">
        <v>132</v>
      </c>
      <c r="B137" s="25" t="n"/>
      <c r="C137" s="137" t="n"/>
      <c r="D137" s="41" t="n"/>
      <c r="E137" s="41" t="n"/>
      <c r="F137" s="41" t="n"/>
      <c r="G137" s="42" t="n"/>
      <c r="H137" s="20" t="n"/>
      <c r="I137" s="20" t="n"/>
      <c r="J137" s="20" t="n"/>
    </row>
    <row r="138" ht="16.5" customFormat="1" customHeight="1" s="12">
      <c r="A138" s="17" t="n">
        <v>133</v>
      </c>
      <c r="B138" s="25" t="n"/>
      <c r="C138" s="137" t="n"/>
      <c r="D138" s="41" t="n"/>
      <c r="E138" s="41" t="n"/>
      <c r="F138" s="41" t="n"/>
      <c r="G138" s="42" t="n"/>
      <c r="H138" s="20" t="n"/>
      <c r="I138" s="20" t="n"/>
      <c r="J138" s="20" t="n"/>
    </row>
    <row r="139" ht="16.5" customFormat="1" customHeight="1" s="12">
      <c r="A139" s="17" t="n">
        <v>134</v>
      </c>
      <c r="B139" s="25" t="n"/>
      <c r="C139" s="137" t="n"/>
      <c r="D139" s="41" t="n"/>
      <c r="E139" s="41" t="n"/>
      <c r="F139" s="41" t="n"/>
      <c r="G139" s="42" t="n"/>
      <c r="H139" s="20" t="n"/>
      <c r="I139" s="20" t="n"/>
      <c r="J139" s="20" t="n"/>
    </row>
    <row r="140" ht="16.5" customFormat="1" customHeight="1" s="12">
      <c r="A140" s="17" t="n">
        <v>135</v>
      </c>
      <c r="B140" s="25" t="n"/>
      <c r="C140" s="137" t="n"/>
      <c r="D140" s="41" t="n"/>
      <c r="E140" s="41" t="n"/>
      <c r="F140" s="41" t="n"/>
      <c r="G140" s="42" t="n"/>
      <c r="H140" s="20" t="n"/>
      <c r="I140" s="20" t="n"/>
      <c r="J140" s="20" t="n"/>
    </row>
    <row r="141" ht="16.5" customFormat="1" customHeight="1" s="12">
      <c r="A141" s="17" t="n">
        <v>136</v>
      </c>
      <c r="B141" s="25" t="n"/>
      <c r="C141" s="137" t="n"/>
      <c r="D141" s="41" t="n"/>
      <c r="E141" s="41" t="n"/>
      <c r="F141" s="41" t="n"/>
      <c r="G141" s="42" t="n"/>
      <c r="H141" s="20" t="n"/>
      <c r="I141" s="20" t="n"/>
      <c r="J141" s="20" t="n"/>
    </row>
    <row r="142" ht="16.5" customFormat="1" customHeight="1" s="12">
      <c r="A142" s="17" t="n">
        <v>137</v>
      </c>
      <c r="B142" s="25" t="n"/>
      <c r="C142" s="137" t="n"/>
      <c r="D142" s="41" t="n"/>
      <c r="E142" s="41" t="n"/>
      <c r="F142" s="41" t="n"/>
      <c r="G142" s="42" t="n"/>
      <c r="H142" s="20" t="n"/>
      <c r="I142" s="20" t="n"/>
      <c r="J142" s="20" t="n"/>
    </row>
    <row r="143" ht="16.5" customFormat="1" customHeight="1" s="12">
      <c r="A143" s="17" t="n">
        <v>138</v>
      </c>
      <c r="B143" s="25" t="n"/>
      <c r="C143" s="137" t="n"/>
      <c r="D143" s="41" t="n"/>
      <c r="E143" s="41" t="n"/>
      <c r="F143" s="41" t="n"/>
      <c r="G143" s="42" t="n"/>
      <c r="H143" s="20" t="n"/>
      <c r="I143" s="20" t="n"/>
      <c r="J143" s="20" t="n"/>
    </row>
    <row r="144" ht="16.5" customFormat="1" customHeight="1" s="12">
      <c r="A144" s="17" t="n">
        <v>139</v>
      </c>
      <c r="B144" s="25" t="n"/>
      <c r="C144" s="137" t="n"/>
      <c r="D144" s="41" t="n"/>
      <c r="E144" s="41" t="n"/>
      <c r="F144" s="41" t="n"/>
      <c r="G144" s="42" t="n"/>
      <c r="H144" s="20" t="n"/>
      <c r="I144" s="20" t="n"/>
      <c r="J144" s="20" t="n"/>
    </row>
    <row r="145" ht="16.5" customFormat="1" customHeight="1" s="12">
      <c r="A145" s="17" t="n">
        <v>140</v>
      </c>
      <c r="B145" s="25" t="n"/>
      <c r="C145" s="137" t="n"/>
      <c r="D145" s="41" t="n"/>
      <c r="E145" s="41" t="n"/>
      <c r="F145" s="41" t="n"/>
      <c r="G145" s="42" t="n"/>
      <c r="H145" s="20" t="n"/>
      <c r="I145" s="20" t="n"/>
      <c r="J145" s="20" t="n"/>
    </row>
    <row r="146" ht="16.5" customFormat="1" customHeight="1" s="12">
      <c r="A146" s="17" t="n">
        <v>141</v>
      </c>
      <c r="B146" s="25" t="n"/>
      <c r="C146" s="137" t="n"/>
      <c r="D146" s="41" t="n"/>
      <c r="E146" s="41" t="n"/>
      <c r="F146" s="41" t="n"/>
      <c r="G146" s="42" t="n"/>
      <c r="H146" s="20" t="n"/>
      <c r="I146" s="20" t="n"/>
      <c r="J146" s="20" t="n"/>
    </row>
    <row r="147" ht="16.5" customFormat="1" customHeight="1" s="12">
      <c r="A147" s="17" t="n">
        <v>142</v>
      </c>
      <c r="B147" s="25" t="n"/>
      <c r="C147" s="137" t="n"/>
      <c r="D147" s="41" t="n"/>
      <c r="E147" s="41" t="n"/>
      <c r="F147" s="41" t="n"/>
      <c r="G147" s="42" t="n"/>
      <c r="H147" s="20" t="n"/>
      <c r="I147" s="20" t="n"/>
      <c r="J147" s="20" t="n"/>
    </row>
    <row r="148" ht="16.5" customFormat="1" customHeight="1" s="12">
      <c r="A148" s="17" t="n">
        <v>143</v>
      </c>
      <c r="B148" s="25" t="n"/>
      <c r="C148" s="137" t="n"/>
      <c r="D148" s="41" t="n"/>
      <c r="E148" s="41" t="n"/>
      <c r="F148" s="41" t="n"/>
      <c r="G148" s="42" t="n"/>
      <c r="H148" s="20" t="n"/>
      <c r="I148" s="20" t="n"/>
      <c r="J148" s="20" t="n"/>
    </row>
    <row r="149" ht="16.5" customFormat="1" customHeight="1" s="12">
      <c r="A149" s="17" t="n">
        <v>144</v>
      </c>
      <c r="B149" s="25" t="n"/>
      <c r="C149" s="137" t="n"/>
      <c r="D149" s="41" t="n"/>
      <c r="E149" s="41" t="n"/>
      <c r="F149" s="41" t="n"/>
      <c r="G149" s="42" t="n"/>
      <c r="H149" s="20" t="n"/>
      <c r="I149" s="20" t="n"/>
      <c r="J149" s="20" t="n"/>
    </row>
    <row r="150" ht="16.5" customFormat="1" customHeight="1" s="12">
      <c r="A150" s="17" t="n">
        <v>145</v>
      </c>
      <c r="B150" s="25" t="n"/>
      <c r="C150" s="137" t="n"/>
      <c r="D150" s="41" t="n"/>
      <c r="E150" s="41" t="n"/>
      <c r="F150" s="41" t="n"/>
      <c r="G150" s="42" t="n"/>
      <c r="H150" s="20" t="n"/>
      <c r="I150" s="20" t="n"/>
      <c r="J150" s="20" t="n"/>
    </row>
    <row r="151" ht="16.5" customFormat="1" customHeight="1" s="12">
      <c r="A151" s="17" t="n">
        <v>146</v>
      </c>
      <c r="B151" s="25" t="n"/>
      <c r="C151" s="137" t="n"/>
      <c r="D151" s="41" t="n"/>
      <c r="E151" s="41" t="n"/>
      <c r="F151" s="41" t="n"/>
      <c r="G151" s="42" t="n"/>
      <c r="H151" s="20" t="n"/>
      <c r="I151" s="20" t="n"/>
      <c r="J151" s="20" t="n"/>
    </row>
    <row r="152" ht="16.5" customFormat="1" customHeight="1" s="12">
      <c r="A152" s="17" t="n">
        <v>147</v>
      </c>
      <c r="B152" s="25" t="n"/>
      <c r="C152" s="137" t="n"/>
      <c r="D152" s="41" t="n"/>
      <c r="E152" s="41" t="n"/>
      <c r="F152" s="41" t="n"/>
      <c r="G152" s="42" t="n"/>
      <c r="H152" s="20" t="n"/>
      <c r="I152" s="20" t="n"/>
      <c r="J152" s="20" t="n"/>
    </row>
    <row r="153" ht="16.5" customFormat="1" customHeight="1" s="12">
      <c r="A153" s="17" t="n">
        <v>148</v>
      </c>
      <c r="B153" s="25" t="n"/>
      <c r="C153" s="137" t="n"/>
      <c r="D153" s="41" t="n"/>
      <c r="E153" s="41" t="n"/>
      <c r="F153" s="41" t="n"/>
      <c r="G153" s="42" t="n"/>
      <c r="H153" s="20" t="n"/>
      <c r="I153" s="20" t="n"/>
      <c r="J153" s="20" t="n"/>
    </row>
    <row r="154" ht="16.5" customFormat="1" customHeight="1" s="12">
      <c r="A154" s="17" t="n">
        <v>149</v>
      </c>
      <c r="B154" s="25" t="n"/>
      <c r="C154" s="137" t="n"/>
      <c r="D154" s="41" t="n"/>
      <c r="E154" s="41" t="n"/>
      <c r="F154" s="41" t="n"/>
      <c r="G154" s="42" t="n"/>
      <c r="H154" s="20" t="n"/>
      <c r="I154" s="20" t="n"/>
      <c r="J154" s="20" t="n"/>
    </row>
    <row r="155" ht="16.5" customFormat="1" customHeight="1" s="12">
      <c r="A155" s="17" t="n">
        <v>150</v>
      </c>
      <c r="B155" s="25" t="n"/>
      <c r="C155" s="137" t="n"/>
      <c r="D155" s="41" t="n"/>
      <c r="E155" s="41" t="n"/>
      <c r="F155" s="41" t="n"/>
      <c r="G155" s="42" t="n"/>
      <c r="H155" s="20" t="n"/>
      <c r="I155" s="20" t="n"/>
      <c r="J155" s="20" t="n"/>
    </row>
    <row r="156" ht="16.5" customFormat="1" customHeight="1" s="12">
      <c r="A156" s="17" t="n">
        <v>151</v>
      </c>
      <c r="B156" s="25" t="n"/>
      <c r="C156" s="137" t="n"/>
      <c r="D156" s="41" t="n"/>
      <c r="E156" s="41" t="n"/>
      <c r="F156" s="41" t="n"/>
      <c r="G156" s="42" t="n"/>
      <c r="H156" s="20" t="n"/>
      <c r="I156" s="20" t="n"/>
      <c r="J156" s="20" t="n"/>
    </row>
    <row r="157" ht="16.5" customFormat="1" customHeight="1" s="12">
      <c r="A157" s="17" t="n">
        <v>152</v>
      </c>
      <c r="B157" s="25" t="n"/>
      <c r="C157" s="137" t="n"/>
      <c r="D157" s="41" t="n"/>
      <c r="E157" s="41" t="n"/>
      <c r="F157" s="41" t="n"/>
      <c r="G157" s="42" t="n"/>
      <c r="H157" s="20" t="n"/>
      <c r="I157" s="20" t="n"/>
      <c r="J157" s="20" t="n"/>
    </row>
    <row r="158" ht="16.5" customFormat="1" customHeight="1" s="12">
      <c r="A158" s="17" t="n">
        <v>153</v>
      </c>
      <c r="B158" s="25" t="n"/>
      <c r="C158" s="137" t="n"/>
      <c r="D158" s="41" t="n"/>
      <c r="E158" s="41" t="n"/>
      <c r="F158" s="41" t="n"/>
      <c r="G158" s="42" t="n"/>
      <c r="H158" s="20" t="n"/>
      <c r="I158" s="20" t="n"/>
      <c r="J158" s="20" t="n"/>
    </row>
    <row r="159" ht="16.5" customFormat="1" customHeight="1" s="12">
      <c r="A159" s="17" t="n">
        <v>154</v>
      </c>
      <c r="B159" s="25" t="n"/>
      <c r="C159" s="137" t="n"/>
      <c r="D159" s="41" t="n"/>
      <c r="E159" s="41" t="n"/>
      <c r="F159" s="41" t="n"/>
      <c r="G159" s="42" t="n"/>
      <c r="H159" s="20" t="n"/>
      <c r="I159" s="20" t="n"/>
      <c r="J159" s="20" t="n"/>
    </row>
    <row r="160" ht="16.5" customFormat="1" customHeight="1" s="12">
      <c r="A160" s="17" t="n">
        <v>155</v>
      </c>
      <c r="B160" s="25" t="n"/>
      <c r="C160" s="137" t="n"/>
      <c r="D160" s="41" t="n"/>
      <c r="E160" s="41" t="n"/>
      <c r="F160" s="41" t="n"/>
      <c r="G160" s="42" t="n"/>
      <c r="H160" s="20" t="n"/>
      <c r="I160" s="20" t="n"/>
      <c r="J160" s="20" t="n"/>
    </row>
    <row r="161" ht="16.5" customFormat="1" customHeight="1" s="12">
      <c r="A161" s="17" t="n">
        <v>156</v>
      </c>
      <c r="B161" s="25" t="n"/>
      <c r="C161" s="137" t="n"/>
      <c r="D161" s="41" t="n"/>
      <c r="E161" s="41" t="n"/>
      <c r="F161" s="41" t="n"/>
      <c r="G161" s="42" t="n"/>
      <c r="H161" s="20" t="n"/>
      <c r="I161" s="20" t="n"/>
      <c r="J161" s="20" t="n"/>
    </row>
    <row r="162" ht="16.5" customFormat="1" customHeight="1" s="12">
      <c r="A162" s="17" t="n">
        <v>157</v>
      </c>
      <c r="B162" s="25" t="n"/>
      <c r="C162" s="137" t="n"/>
      <c r="D162" s="41" t="n"/>
      <c r="E162" s="41" t="n"/>
      <c r="F162" s="41" t="n"/>
      <c r="G162" s="42" t="n"/>
      <c r="H162" s="20" t="n"/>
      <c r="I162" s="20" t="n"/>
      <c r="J162" s="20" t="n"/>
    </row>
    <row r="163" ht="16.5" customFormat="1" customHeight="1" s="12">
      <c r="A163" s="17" t="n">
        <v>158</v>
      </c>
      <c r="B163" s="25" t="n"/>
      <c r="C163" s="137" t="n"/>
      <c r="D163" s="41" t="n"/>
      <c r="E163" s="41" t="n"/>
      <c r="F163" s="41" t="n"/>
      <c r="G163" s="42" t="n"/>
      <c r="H163" s="20" t="n"/>
      <c r="I163" s="20" t="n"/>
      <c r="J163" s="20" t="n"/>
    </row>
    <row r="164" ht="16.5" customFormat="1" customHeight="1" s="12">
      <c r="A164" s="17" t="n">
        <v>159</v>
      </c>
      <c r="B164" s="25" t="n"/>
      <c r="C164" s="137" t="n"/>
      <c r="D164" s="41" t="n"/>
      <c r="E164" s="41" t="n"/>
      <c r="F164" s="41" t="n"/>
      <c r="G164" s="42" t="n"/>
      <c r="H164" s="20" t="n"/>
      <c r="I164" s="20" t="n"/>
      <c r="J164" s="20" t="n"/>
    </row>
    <row r="165" ht="16.5" customFormat="1" customHeight="1" s="12">
      <c r="A165" s="17" t="n">
        <v>160</v>
      </c>
      <c r="B165" s="25" t="n"/>
      <c r="C165" s="137" t="n"/>
      <c r="D165" s="41" t="n"/>
      <c r="E165" s="41" t="n"/>
      <c r="F165" s="41" t="n"/>
      <c r="G165" s="42" t="n"/>
      <c r="H165" s="20" t="n"/>
      <c r="I165" s="20" t="n"/>
      <c r="J165" s="20" t="n"/>
    </row>
    <row r="166" ht="16.5" customFormat="1" customHeight="1" s="12">
      <c r="A166" s="17" t="n">
        <v>161</v>
      </c>
      <c r="B166" s="25" t="n"/>
      <c r="C166" s="137" t="n"/>
      <c r="D166" s="41" t="n"/>
      <c r="E166" s="41" t="n"/>
      <c r="F166" s="41" t="n"/>
      <c r="G166" s="42" t="n"/>
      <c r="H166" s="20" t="n"/>
      <c r="I166" s="20" t="n"/>
      <c r="J166" s="20" t="n"/>
    </row>
    <row r="167" ht="16.5" customFormat="1" customHeight="1" s="12">
      <c r="A167" s="17" t="n">
        <v>162</v>
      </c>
      <c r="B167" s="25" t="n"/>
      <c r="C167" s="137" t="n"/>
      <c r="D167" s="41" t="n"/>
      <c r="E167" s="41" t="n"/>
      <c r="F167" s="41" t="n"/>
      <c r="G167" s="42" t="n"/>
      <c r="H167" s="20" t="n"/>
      <c r="I167" s="20" t="n"/>
      <c r="J167" s="20" t="n"/>
    </row>
    <row r="168" ht="16.5" customFormat="1" customHeight="1" s="12">
      <c r="A168" s="17" t="n">
        <v>163</v>
      </c>
      <c r="B168" s="25" t="n"/>
      <c r="C168" s="137" t="n"/>
      <c r="D168" s="41" t="n"/>
      <c r="E168" s="41" t="n"/>
      <c r="F168" s="41" t="n"/>
      <c r="G168" s="42" t="n"/>
      <c r="H168" s="20" t="n"/>
      <c r="I168" s="20" t="n"/>
      <c r="J168" s="20" t="n"/>
    </row>
    <row r="169" ht="16.5" customFormat="1" customHeight="1" s="12">
      <c r="A169" s="17" t="n">
        <v>164</v>
      </c>
      <c r="B169" s="25" t="n"/>
      <c r="C169" s="137" t="n"/>
      <c r="D169" s="41" t="n"/>
      <c r="E169" s="41" t="n"/>
      <c r="F169" s="41" t="n"/>
      <c r="G169" s="42" t="n"/>
      <c r="H169" s="20" t="n"/>
      <c r="I169" s="20" t="n"/>
      <c r="J169" s="20" t="n"/>
    </row>
    <row r="170" ht="16.5" customFormat="1" customHeight="1" s="12">
      <c r="A170" s="17" t="n">
        <v>165</v>
      </c>
      <c r="B170" s="25" t="n"/>
      <c r="C170" s="137" t="n"/>
      <c r="D170" s="41" t="n"/>
      <c r="E170" s="41" t="n"/>
      <c r="F170" s="41" t="n"/>
      <c r="G170" s="42" t="n"/>
      <c r="H170" s="20" t="n"/>
      <c r="I170" s="20" t="n"/>
      <c r="J170" s="20" t="n"/>
    </row>
    <row r="171" ht="16.5" customFormat="1" customHeight="1" s="12">
      <c r="A171" s="17" t="n">
        <v>166</v>
      </c>
      <c r="B171" s="25" t="n"/>
      <c r="C171" s="137" t="n"/>
      <c r="D171" s="41" t="n"/>
      <c r="E171" s="41" t="n"/>
      <c r="F171" s="41" t="n"/>
      <c r="G171" s="42" t="n"/>
      <c r="H171" s="20" t="n"/>
      <c r="I171" s="20" t="n"/>
      <c r="J171" s="20" t="n"/>
    </row>
    <row r="172" ht="16.5" customFormat="1" customHeight="1" s="12">
      <c r="A172" s="17" t="n">
        <v>167</v>
      </c>
      <c r="B172" s="25" t="n"/>
      <c r="C172" s="137" t="n"/>
      <c r="D172" s="41" t="n"/>
      <c r="E172" s="41" t="n"/>
      <c r="F172" s="41" t="n"/>
      <c r="G172" s="42" t="n"/>
      <c r="H172" s="20" t="n"/>
      <c r="I172" s="20" t="n"/>
      <c r="J172" s="20" t="n"/>
    </row>
    <row r="173" ht="16.5" customFormat="1" customHeight="1" s="12">
      <c r="A173" s="17" t="n">
        <v>168</v>
      </c>
      <c r="B173" s="25" t="n"/>
      <c r="C173" s="137" t="n"/>
      <c r="D173" s="41" t="n"/>
      <c r="E173" s="41" t="n"/>
      <c r="F173" s="41" t="n"/>
      <c r="G173" s="42" t="n"/>
      <c r="H173" s="20" t="n"/>
      <c r="I173" s="20" t="n"/>
      <c r="J173" s="20" t="n"/>
    </row>
    <row r="174" ht="16.5" customFormat="1" customHeight="1" s="12">
      <c r="A174" s="17" t="n">
        <v>169</v>
      </c>
      <c r="B174" s="25" t="n"/>
      <c r="C174" s="137" t="n"/>
      <c r="D174" s="41" t="n"/>
      <c r="E174" s="41" t="n"/>
      <c r="F174" s="41" t="n"/>
      <c r="G174" s="42" t="n"/>
      <c r="H174" s="20" t="n"/>
      <c r="I174" s="20" t="n"/>
      <c r="J174" s="20" t="n"/>
    </row>
    <row r="175" ht="16.5" customFormat="1" customHeight="1" s="12">
      <c r="A175" s="17" t="n">
        <v>170</v>
      </c>
      <c r="B175" s="25" t="n"/>
      <c r="C175" s="137" t="n"/>
      <c r="D175" s="41" t="n"/>
      <c r="E175" s="41" t="n"/>
      <c r="F175" s="41" t="n"/>
      <c r="G175" s="42" t="n"/>
      <c r="H175" s="20" t="n"/>
      <c r="I175" s="20" t="n"/>
      <c r="J175" s="20" t="n"/>
    </row>
    <row r="176" ht="16.5" customFormat="1" customHeight="1" s="12">
      <c r="A176" s="17" t="n">
        <v>171</v>
      </c>
      <c r="B176" s="25" t="n"/>
      <c r="C176" s="137" t="n"/>
      <c r="D176" s="41" t="n"/>
      <c r="E176" s="41" t="n"/>
      <c r="F176" s="41" t="n"/>
      <c r="G176" s="42" t="n"/>
      <c r="H176" s="20" t="n"/>
      <c r="I176" s="20" t="n"/>
      <c r="J176" s="20" t="n"/>
    </row>
    <row r="177" ht="16.5" customFormat="1" customHeight="1" s="12">
      <c r="A177" s="17" t="n">
        <v>172</v>
      </c>
      <c r="B177" s="25" t="n"/>
      <c r="C177" s="137" t="n"/>
      <c r="D177" s="41" t="n"/>
      <c r="E177" s="41" t="n"/>
      <c r="F177" s="41" t="n"/>
      <c r="G177" s="42" t="n"/>
      <c r="H177" s="20" t="n"/>
      <c r="I177" s="20" t="n"/>
      <c r="J177" s="20" t="n"/>
    </row>
    <row r="178" ht="16.5" customFormat="1" customHeight="1" s="12">
      <c r="A178" s="17" t="n">
        <v>173</v>
      </c>
      <c r="B178" s="25" t="n"/>
      <c r="C178" s="137" t="n"/>
      <c r="D178" s="41" t="n"/>
      <c r="E178" s="41" t="n"/>
      <c r="F178" s="41" t="n"/>
      <c r="G178" s="42" t="n"/>
      <c r="H178" s="20" t="n"/>
      <c r="I178" s="20" t="n"/>
      <c r="J178" s="20" t="n"/>
    </row>
    <row r="179" ht="16.5" customFormat="1" customHeight="1" s="12">
      <c r="A179" s="17" t="n">
        <v>174</v>
      </c>
      <c r="B179" s="25" t="n"/>
      <c r="C179" s="137" t="n"/>
      <c r="D179" s="41" t="n"/>
      <c r="E179" s="41" t="n"/>
      <c r="F179" s="41" t="n"/>
      <c r="G179" s="42" t="n"/>
      <c r="H179" s="20" t="n"/>
      <c r="I179" s="20" t="n"/>
      <c r="J179" s="20" t="n"/>
    </row>
    <row r="180" ht="16.5" customFormat="1" customHeight="1" s="12">
      <c r="A180" s="17" t="n">
        <v>175</v>
      </c>
      <c r="B180" s="25" t="n"/>
      <c r="C180" s="137" t="n"/>
      <c r="D180" s="41" t="n"/>
      <c r="E180" s="41" t="n"/>
      <c r="F180" s="41" t="n"/>
      <c r="G180" s="42" t="n"/>
      <c r="H180" s="20" t="n"/>
      <c r="I180" s="20" t="n"/>
      <c r="J180" s="20" t="n"/>
    </row>
    <row r="181" ht="16.5" customFormat="1" customHeight="1" s="12">
      <c r="A181" s="17" t="n">
        <v>176</v>
      </c>
      <c r="B181" s="25" t="n"/>
      <c r="C181" s="137" t="n"/>
      <c r="D181" s="41" t="n"/>
      <c r="E181" s="41" t="n"/>
      <c r="F181" s="41" t="n"/>
      <c r="G181" s="42" t="n"/>
      <c r="H181" s="20" t="n"/>
      <c r="I181" s="20" t="n"/>
      <c r="J181" s="20" t="n"/>
    </row>
    <row r="182" ht="16.5" customFormat="1" customHeight="1" s="12">
      <c r="A182" s="17" t="n">
        <v>177</v>
      </c>
      <c r="B182" s="25" t="n"/>
      <c r="C182" s="137" t="n"/>
      <c r="D182" s="41" t="n"/>
      <c r="E182" s="41" t="n"/>
      <c r="F182" s="41" t="n"/>
      <c r="G182" s="42" t="n"/>
      <c r="H182" s="20" t="n"/>
      <c r="I182" s="20" t="n"/>
      <c r="J182" s="20" t="n"/>
    </row>
    <row r="183" ht="16.5" customFormat="1" customHeight="1" s="12">
      <c r="A183" s="17" t="n">
        <v>178</v>
      </c>
      <c r="B183" s="25" t="n"/>
      <c r="C183" s="137" t="n"/>
      <c r="D183" s="41" t="n"/>
      <c r="E183" s="41" t="n"/>
      <c r="F183" s="41" t="n"/>
      <c r="G183" s="42" t="n"/>
      <c r="H183" s="20" t="n"/>
      <c r="I183" s="20" t="n"/>
      <c r="J183" s="20" t="n"/>
    </row>
    <row r="184" ht="16.5" customFormat="1" customHeight="1" s="12">
      <c r="A184" s="17" t="n">
        <v>179</v>
      </c>
      <c r="B184" s="25" t="n"/>
      <c r="C184" s="137" t="n"/>
      <c r="D184" s="41" t="n"/>
      <c r="E184" s="41" t="n"/>
      <c r="F184" s="41" t="n"/>
      <c r="G184" s="42" t="n"/>
      <c r="H184" s="20" t="n"/>
      <c r="I184" s="20" t="n"/>
      <c r="J184" s="20" t="n"/>
    </row>
    <row r="185" ht="16.5" customFormat="1" customHeight="1" s="12">
      <c r="A185" s="17" t="n">
        <v>180</v>
      </c>
      <c r="B185" s="25" t="n"/>
      <c r="C185" s="137" t="n"/>
      <c r="D185" s="41" t="n"/>
      <c r="E185" s="41" t="n"/>
      <c r="F185" s="41" t="n"/>
      <c r="G185" s="42" t="n"/>
      <c r="H185" s="20" t="n"/>
      <c r="I185" s="20" t="n"/>
      <c r="J185" s="20" t="n"/>
    </row>
    <row r="186" ht="16.5" customFormat="1" customHeight="1" s="12">
      <c r="A186" s="17" t="n">
        <v>181</v>
      </c>
      <c r="B186" s="25" t="n"/>
      <c r="C186" s="137" t="n"/>
      <c r="D186" s="41" t="n"/>
      <c r="E186" s="41" t="n"/>
      <c r="F186" s="41" t="n"/>
      <c r="G186" s="42" t="n"/>
      <c r="H186" s="20" t="n"/>
      <c r="I186" s="20" t="n"/>
      <c r="J186" s="20" t="n"/>
    </row>
    <row r="187" ht="16.5" customFormat="1" customHeight="1" s="12">
      <c r="A187" s="17" t="n">
        <v>182</v>
      </c>
      <c r="B187" s="25" t="n"/>
      <c r="C187" s="137" t="n"/>
      <c r="D187" s="41" t="n"/>
      <c r="E187" s="41" t="n"/>
      <c r="F187" s="41" t="n"/>
      <c r="G187" s="42" t="n"/>
      <c r="H187" s="20" t="n"/>
      <c r="I187" s="20" t="n"/>
      <c r="J187" s="20" t="n"/>
    </row>
    <row r="188" ht="16.5" customFormat="1" customHeight="1" s="12">
      <c r="A188" s="17" t="n">
        <v>183</v>
      </c>
      <c r="B188" s="25" t="n"/>
      <c r="C188" s="137" t="n"/>
      <c r="D188" s="41" t="n"/>
      <c r="E188" s="41" t="n"/>
      <c r="F188" s="41" t="n"/>
      <c r="G188" s="42" t="n"/>
      <c r="H188" s="20" t="n"/>
      <c r="I188" s="20" t="n"/>
      <c r="J188" s="20" t="n"/>
    </row>
    <row r="189" ht="16.5" customFormat="1" customHeight="1" s="12">
      <c r="A189" s="17" t="n">
        <v>184</v>
      </c>
      <c r="B189" s="25" t="n"/>
      <c r="C189" s="137" t="n"/>
      <c r="D189" s="41" t="n"/>
      <c r="E189" s="41" t="n"/>
      <c r="F189" s="41" t="n"/>
      <c r="G189" s="42" t="n"/>
      <c r="H189" s="20" t="n"/>
      <c r="I189" s="20" t="n"/>
      <c r="J189" s="20" t="n"/>
    </row>
    <row r="190" ht="16.5" customFormat="1" customHeight="1" s="12">
      <c r="A190" s="17" t="n">
        <v>185</v>
      </c>
      <c r="B190" s="25" t="n"/>
      <c r="C190" s="137" t="n"/>
      <c r="D190" s="41" t="n"/>
      <c r="E190" s="41" t="n"/>
      <c r="F190" s="41" t="n"/>
      <c r="G190" s="42" t="n"/>
      <c r="H190" s="20" t="n"/>
      <c r="I190" s="20" t="n"/>
      <c r="J190" s="20" t="n"/>
    </row>
    <row r="191" ht="16.5" customFormat="1" customHeight="1" s="12">
      <c r="A191" s="17" t="n">
        <v>186</v>
      </c>
      <c r="B191" s="25" t="n"/>
      <c r="C191" s="137" t="n"/>
      <c r="D191" s="41" t="n"/>
      <c r="E191" s="41" t="n"/>
      <c r="F191" s="41" t="n"/>
      <c r="G191" s="42" t="n"/>
      <c r="H191" s="20" t="n"/>
      <c r="I191" s="20" t="n"/>
      <c r="J191" s="20" t="n"/>
    </row>
    <row r="192" ht="16.5" customFormat="1" customHeight="1" s="12">
      <c r="A192" s="17" t="n">
        <v>187</v>
      </c>
      <c r="B192" s="25" t="n"/>
      <c r="C192" s="137" t="n"/>
      <c r="D192" s="41" t="n"/>
      <c r="E192" s="41" t="n"/>
      <c r="F192" s="41" t="n"/>
      <c r="G192" s="42" t="n"/>
      <c r="H192" s="20" t="n"/>
      <c r="I192" s="20" t="n"/>
      <c r="J192" s="20" t="n"/>
    </row>
    <row r="193" ht="16.5" customFormat="1" customHeight="1" s="12">
      <c r="A193" s="17" t="n">
        <v>188</v>
      </c>
      <c r="B193" s="25" t="n"/>
      <c r="C193" s="137" t="n"/>
      <c r="D193" s="41" t="n"/>
      <c r="E193" s="41" t="n"/>
      <c r="F193" s="41" t="n"/>
      <c r="G193" s="42" t="n"/>
      <c r="H193" s="20" t="n"/>
      <c r="I193" s="20" t="n"/>
      <c r="J193" s="20" t="n"/>
    </row>
    <row r="194" ht="16.5" customFormat="1" customHeight="1" s="12">
      <c r="A194" s="17" t="n">
        <v>189</v>
      </c>
      <c r="B194" s="25" t="n"/>
      <c r="C194" s="137" t="n"/>
      <c r="D194" s="41" t="n"/>
      <c r="E194" s="41" t="n"/>
      <c r="F194" s="41" t="n"/>
      <c r="G194" s="42" t="n"/>
      <c r="H194" s="20" t="n"/>
      <c r="I194" s="20" t="n"/>
      <c r="J194" s="20" t="n"/>
    </row>
    <row r="195" ht="16.5" customFormat="1" customHeight="1" s="12">
      <c r="A195" s="17" t="n">
        <v>190</v>
      </c>
      <c r="B195" s="25" t="n"/>
      <c r="C195" s="137" t="n"/>
      <c r="D195" s="41" t="n"/>
      <c r="E195" s="41" t="n"/>
      <c r="F195" s="41" t="n"/>
      <c r="G195" s="42" t="n"/>
      <c r="H195" s="20" t="n"/>
      <c r="I195" s="20" t="n"/>
      <c r="J195" s="20" t="n"/>
    </row>
    <row r="196" ht="16.5" customFormat="1" customHeight="1" s="12">
      <c r="A196" s="17" t="n">
        <v>191</v>
      </c>
      <c r="B196" s="25" t="n"/>
      <c r="C196" s="137" t="n"/>
      <c r="D196" s="41" t="n"/>
      <c r="E196" s="41" t="n"/>
      <c r="F196" s="41" t="n"/>
      <c r="G196" s="42" t="n"/>
      <c r="H196" s="20" t="n"/>
      <c r="I196" s="20" t="n"/>
      <c r="J196" s="20" t="n"/>
    </row>
    <row r="197" ht="16.5" customFormat="1" customHeight="1" s="12">
      <c r="A197" s="17" t="n">
        <v>192</v>
      </c>
      <c r="B197" s="25" t="n"/>
      <c r="C197" s="137" t="n"/>
      <c r="D197" s="41" t="n"/>
      <c r="E197" s="41" t="n"/>
      <c r="F197" s="41" t="n"/>
      <c r="G197" s="42" t="n"/>
      <c r="H197" s="20" t="n"/>
      <c r="I197" s="20" t="n"/>
      <c r="J197" s="20" t="n"/>
    </row>
    <row r="198" ht="16.5" customFormat="1" customHeight="1" s="12">
      <c r="A198" s="17" t="n">
        <v>193</v>
      </c>
      <c r="B198" s="25" t="n"/>
      <c r="C198" s="137" t="n"/>
      <c r="D198" s="41" t="n"/>
      <c r="E198" s="41" t="n"/>
      <c r="F198" s="41" t="n"/>
      <c r="G198" s="42" t="n"/>
      <c r="H198" s="20" t="n"/>
      <c r="I198" s="20" t="n"/>
      <c r="J198" s="20" t="n"/>
    </row>
    <row r="199" ht="16.5" customFormat="1" customHeight="1" s="12">
      <c r="A199" s="17" t="n">
        <v>194</v>
      </c>
      <c r="B199" s="25" t="n"/>
      <c r="C199" s="137" t="n"/>
      <c r="D199" s="41" t="n"/>
      <c r="E199" s="41" t="n"/>
      <c r="F199" s="41" t="n"/>
      <c r="G199" s="42" t="n"/>
      <c r="H199" s="20" t="n"/>
      <c r="I199" s="20" t="n"/>
      <c r="J199" s="20" t="n"/>
    </row>
    <row r="200" ht="16.5" customFormat="1" customHeight="1" s="12">
      <c r="A200" s="17" t="n">
        <v>195</v>
      </c>
      <c r="B200" s="25" t="n"/>
      <c r="C200" s="137" t="n"/>
      <c r="D200" s="41" t="n"/>
      <c r="E200" s="41" t="n"/>
      <c r="F200" s="41" t="n"/>
      <c r="G200" s="42" t="n"/>
      <c r="H200" s="20" t="n"/>
      <c r="I200" s="20" t="n"/>
      <c r="J200" s="20" t="n"/>
    </row>
    <row r="201" ht="16.5" customFormat="1" customHeight="1" s="12">
      <c r="A201" s="17" t="n">
        <v>196</v>
      </c>
      <c r="B201" s="25" t="n"/>
      <c r="C201" s="137" t="n"/>
      <c r="D201" s="41" t="n"/>
      <c r="E201" s="41" t="n"/>
      <c r="F201" s="41" t="n"/>
      <c r="G201" s="42" t="n"/>
      <c r="H201" s="20" t="n"/>
      <c r="I201" s="20" t="n"/>
      <c r="J201" s="20" t="n"/>
    </row>
    <row r="202" ht="16.5" customFormat="1" customHeight="1" s="12">
      <c r="A202" s="17" t="n">
        <v>197</v>
      </c>
      <c r="B202" s="25" t="n"/>
      <c r="C202" s="137" t="n"/>
      <c r="D202" s="41" t="n"/>
      <c r="E202" s="41" t="n"/>
      <c r="F202" s="41" t="n"/>
      <c r="G202" s="42" t="n"/>
      <c r="H202" s="20" t="n"/>
      <c r="I202" s="20" t="n"/>
      <c r="J202" s="20" t="n"/>
    </row>
    <row r="203" ht="16.5" customFormat="1" customHeight="1" s="12">
      <c r="A203" s="17" t="n">
        <v>198</v>
      </c>
      <c r="B203" s="25" t="n"/>
      <c r="C203" s="137" t="n"/>
      <c r="D203" s="41" t="n"/>
      <c r="E203" s="41" t="n"/>
      <c r="F203" s="41" t="n"/>
      <c r="G203" s="42" t="n"/>
      <c r="H203" s="20" t="n"/>
      <c r="I203" s="20" t="n"/>
      <c r="J203" s="20" t="n"/>
    </row>
    <row r="204" ht="16.5" customFormat="1" customHeight="1" s="12">
      <c r="A204" s="17" t="n">
        <v>199</v>
      </c>
      <c r="B204" s="25" t="n"/>
      <c r="C204" s="137" t="n"/>
      <c r="D204" s="41" t="n"/>
      <c r="E204" s="41" t="n"/>
      <c r="F204" s="41" t="n"/>
      <c r="G204" s="42" t="n"/>
      <c r="H204" s="20" t="n"/>
      <c r="I204" s="20" t="n"/>
      <c r="J204" s="20" t="n"/>
    </row>
    <row r="205" ht="16.5" customFormat="1" customHeight="1" s="12">
      <c r="A205" s="17" t="n">
        <v>200</v>
      </c>
      <c r="B205" s="25" t="n"/>
      <c r="C205" s="137" t="n"/>
      <c r="D205" s="41" t="n"/>
      <c r="E205" s="41" t="n"/>
      <c r="F205" s="41" t="n"/>
      <c r="G205" s="42" t="n"/>
      <c r="H205" s="20" t="n"/>
      <c r="I205" s="20" t="n"/>
      <c r="J205" s="20" t="n"/>
    </row>
    <row r="206" ht="16.5" customFormat="1" customHeight="1" s="12">
      <c r="A206" s="17" t="n">
        <v>201</v>
      </c>
      <c r="B206" s="25" t="n"/>
      <c r="C206" s="137" t="n"/>
      <c r="D206" s="41" t="n"/>
      <c r="E206" s="41" t="n"/>
      <c r="F206" s="41" t="n"/>
      <c r="G206" s="42" t="n"/>
      <c r="H206" s="20" t="n"/>
      <c r="I206" s="20" t="n"/>
      <c r="J206" s="20" t="n"/>
    </row>
    <row r="207" ht="16.5" customFormat="1" customHeight="1" s="12">
      <c r="A207" s="17" t="n">
        <v>202</v>
      </c>
      <c r="B207" s="25" t="n"/>
      <c r="C207" s="137" t="n"/>
      <c r="D207" s="41" t="n"/>
      <c r="E207" s="41" t="n"/>
      <c r="F207" s="41" t="n"/>
      <c r="G207" s="42" t="n"/>
      <c r="H207" s="20" t="n"/>
      <c r="I207" s="20" t="n"/>
      <c r="J207" s="20" t="n"/>
    </row>
    <row r="208" ht="16.5" customFormat="1" customHeight="1" s="12">
      <c r="A208" s="17" t="n">
        <v>203</v>
      </c>
      <c r="B208" s="25" t="n"/>
      <c r="C208" s="137" t="n"/>
      <c r="D208" s="41" t="n"/>
      <c r="E208" s="41" t="n"/>
      <c r="F208" s="41" t="n"/>
      <c r="G208" s="42" t="n"/>
      <c r="H208" s="20" t="n"/>
      <c r="I208" s="20" t="n"/>
      <c r="J208" s="20" t="n"/>
    </row>
    <row r="209" ht="16.5" customFormat="1" customHeight="1" s="12">
      <c r="A209" s="17" t="n">
        <v>204</v>
      </c>
      <c r="B209" s="25" t="n"/>
      <c r="C209" s="137" t="n"/>
      <c r="D209" s="41" t="n"/>
      <c r="E209" s="41" t="n"/>
      <c r="F209" s="41" t="n"/>
      <c r="G209" s="42" t="n"/>
      <c r="H209" s="20" t="n"/>
      <c r="I209" s="20" t="n"/>
      <c r="J209" s="20" t="n"/>
    </row>
    <row r="210" ht="16.5" customFormat="1" customHeight="1" s="12">
      <c r="A210" s="17" t="n">
        <v>205</v>
      </c>
      <c r="B210" s="25" t="n"/>
      <c r="C210" s="137" t="n"/>
      <c r="D210" s="41" t="n"/>
      <c r="E210" s="41" t="n"/>
      <c r="F210" s="41" t="n"/>
      <c r="G210" s="42" t="n"/>
      <c r="H210" s="20" t="n"/>
      <c r="I210" s="20" t="n"/>
      <c r="J210" s="20" t="n"/>
    </row>
    <row r="211" ht="16.5" customFormat="1" customHeight="1" s="12">
      <c r="A211" s="17" t="n">
        <v>206</v>
      </c>
      <c r="B211" s="25" t="n"/>
      <c r="C211" s="137" t="n"/>
      <c r="D211" s="41" t="n"/>
      <c r="E211" s="41" t="n"/>
      <c r="F211" s="41" t="n"/>
      <c r="G211" s="42" t="n"/>
      <c r="H211" s="20" t="n"/>
      <c r="I211" s="20" t="n"/>
      <c r="J211" s="20" t="n"/>
    </row>
    <row r="212" ht="16.5" customFormat="1" customHeight="1" s="12">
      <c r="A212" s="17" t="n">
        <v>207</v>
      </c>
      <c r="B212" s="25" t="n"/>
      <c r="C212" s="137" t="n"/>
      <c r="D212" s="41" t="n"/>
      <c r="E212" s="41" t="n"/>
      <c r="F212" s="41" t="n"/>
      <c r="G212" s="42" t="n"/>
      <c r="H212" s="20" t="n"/>
      <c r="I212" s="20" t="n"/>
      <c r="J212" s="20" t="n"/>
    </row>
    <row r="213" ht="16.5" customFormat="1" customHeight="1" s="12">
      <c r="A213" s="17" t="n">
        <v>208</v>
      </c>
      <c r="B213" s="25" t="n"/>
      <c r="C213" s="137" t="n"/>
      <c r="D213" s="41" t="n"/>
      <c r="E213" s="41" t="n"/>
      <c r="F213" s="41" t="n"/>
      <c r="G213" s="42" t="n"/>
      <c r="H213" s="20" t="n"/>
      <c r="I213" s="20" t="n"/>
      <c r="J213" s="20" t="n"/>
    </row>
    <row r="214" ht="16.5" customFormat="1" customHeight="1" s="12">
      <c r="A214" s="17" t="n">
        <v>209</v>
      </c>
      <c r="B214" s="25" t="n"/>
      <c r="C214" s="137" t="n"/>
      <c r="D214" s="41" t="n"/>
      <c r="E214" s="41" t="n"/>
      <c r="F214" s="41" t="n"/>
      <c r="G214" s="42" t="n"/>
      <c r="H214" s="20" t="n"/>
      <c r="I214" s="20" t="n"/>
      <c r="J214" s="20" t="n"/>
    </row>
    <row r="215" ht="16.5" customFormat="1" customHeight="1" s="12">
      <c r="A215" s="17" t="n">
        <v>210</v>
      </c>
      <c r="B215" s="25" t="n"/>
      <c r="C215" s="137" t="n"/>
      <c r="D215" s="41" t="n"/>
      <c r="E215" s="41" t="n"/>
      <c r="F215" s="41" t="n"/>
      <c r="G215" s="42" t="n"/>
      <c r="H215" s="20" t="n"/>
      <c r="I215" s="20" t="n"/>
      <c r="J215" s="20" t="n"/>
    </row>
    <row r="216" ht="16.5" customFormat="1" customHeight="1" s="12">
      <c r="A216" s="17" t="n">
        <v>211</v>
      </c>
      <c r="B216" s="25" t="n"/>
      <c r="C216" s="137" t="n"/>
      <c r="D216" s="41" t="n"/>
      <c r="E216" s="41" t="n"/>
      <c r="F216" s="41" t="n"/>
      <c r="G216" s="42" t="n"/>
      <c r="H216" s="20" t="n"/>
      <c r="I216" s="20" t="n"/>
      <c r="J216" s="20" t="n"/>
    </row>
    <row r="217" ht="16.5" customFormat="1" customHeight="1" s="12">
      <c r="A217" s="17" t="n">
        <v>212</v>
      </c>
      <c r="B217" s="25" t="n"/>
      <c r="C217" s="137" t="n"/>
      <c r="D217" s="41" t="n"/>
      <c r="E217" s="41" t="n"/>
      <c r="F217" s="41" t="n"/>
      <c r="G217" s="42" t="n"/>
      <c r="H217" s="20" t="n"/>
      <c r="I217" s="20" t="n"/>
      <c r="J217" s="20" t="n"/>
    </row>
    <row r="218" ht="16.5" customFormat="1" customHeight="1" s="12">
      <c r="A218" s="17" t="n">
        <v>213</v>
      </c>
      <c r="B218" s="25" t="n"/>
      <c r="C218" s="137" t="n"/>
      <c r="D218" s="41" t="n"/>
      <c r="E218" s="41" t="n"/>
      <c r="F218" s="41" t="n"/>
      <c r="G218" s="42" t="n"/>
      <c r="H218" s="20" t="n"/>
      <c r="I218" s="20" t="n"/>
      <c r="J218" s="20" t="n"/>
    </row>
    <row r="219" ht="16.5" customFormat="1" customHeight="1" s="12">
      <c r="A219" s="17" t="n">
        <v>214</v>
      </c>
      <c r="B219" s="25" t="n"/>
      <c r="C219" s="137" t="n"/>
      <c r="D219" s="41" t="n"/>
      <c r="E219" s="41" t="n"/>
      <c r="F219" s="41" t="n"/>
      <c r="G219" s="42" t="n"/>
      <c r="H219" s="20" t="n"/>
      <c r="I219" s="20" t="n"/>
      <c r="J219" s="20" t="n"/>
    </row>
    <row r="220" ht="16.5" customFormat="1" customHeight="1" s="12">
      <c r="A220" s="17" t="n">
        <v>215</v>
      </c>
      <c r="B220" s="25" t="n"/>
      <c r="C220" s="137" t="n"/>
      <c r="D220" s="41" t="n"/>
      <c r="E220" s="41" t="n"/>
      <c r="F220" s="41" t="n"/>
      <c r="G220" s="42" t="n"/>
      <c r="H220" s="20" t="n"/>
      <c r="I220" s="20" t="n"/>
      <c r="J220" s="20" t="n"/>
    </row>
    <row r="221" ht="16.5" customFormat="1" customHeight="1" s="12">
      <c r="A221" s="17" t="n">
        <v>216</v>
      </c>
      <c r="B221" s="25" t="n"/>
      <c r="C221" s="137" t="n"/>
      <c r="D221" s="41" t="n"/>
      <c r="E221" s="41" t="n"/>
      <c r="F221" s="41" t="n"/>
      <c r="G221" s="42" t="n"/>
      <c r="H221" s="20" t="n"/>
      <c r="I221" s="20" t="n"/>
      <c r="J221" s="20" t="n"/>
    </row>
    <row r="222" ht="16.5" customFormat="1" customHeight="1" s="12">
      <c r="A222" s="17" t="n">
        <v>217</v>
      </c>
      <c r="B222" s="25" t="n"/>
      <c r="C222" s="137" t="n"/>
      <c r="D222" s="41" t="n"/>
      <c r="E222" s="41" t="n"/>
      <c r="F222" s="41" t="n"/>
      <c r="G222" s="42" t="n"/>
      <c r="H222" s="20" t="n"/>
      <c r="I222" s="20" t="n"/>
      <c r="J222" s="20" t="n"/>
    </row>
    <row r="223" ht="16.5" customFormat="1" customHeight="1" s="12">
      <c r="A223" s="17" t="n">
        <v>218</v>
      </c>
      <c r="B223" s="25" t="n"/>
      <c r="C223" s="137" t="n"/>
      <c r="D223" s="41" t="n"/>
      <c r="E223" s="41" t="n"/>
      <c r="F223" s="41" t="n"/>
      <c r="G223" s="42" t="n"/>
      <c r="H223" s="20" t="n"/>
      <c r="I223" s="20" t="n"/>
      <c r="J223" s="20" t="n"/>
    </row>
    <row r="224" ht="16.5" customFormat="1" customHeight="1" s="12">
      <c r="A224" s="17" t="n">
        <v>219</v>
      </c>
      <c r="B224" s="25" t="n"/>
      <c r="C224" s="137" t="n"/>
      <c r="D224" s="41" t="n"/>
      <c r="E224" s="41" t="n"/>
      <c r="F224" s="41" t="n"/>
      <c r="G224" s="42" t="n"/>
      <c r="H224" s="20" t="n"/>
      <c r="I224" s="20" t="n"/>
      <c r="J224" s="20" t="n"/>
    </row>
    <row r="225" ht="16.5" customFormat="1" customHeight="1" s="12">
      <c r="A225" s="17" t="n">
        <v>220</v>
      </c>
      <c r="B225" s="25" t="n"/>
      <c r="C225" s="137" t="n"/>
      <c r="D225" s="41" t="n"/>
      <c r="E225" s="41" t="n"/>
      <c r="F225" s="41" t="n"/>
      <c r="G225" s="42" t="n"/>
      <c r="H225" s="20" t="n"/>
      <c r="I225" s="20" t="n"/>
      <c r="J225" s="20" t="n"/>
    </row>
    <row r="226" ht="16.5" customFormat="1" customHeight="1" s="12">
      <c r="A226" s="17" t="n">
        <v>221</v>
      </c>
      <c r="B226" s="25" t="n"/>
      <c r="C226" s="137" t="n"/>
      <c r="D226" s="41" t="n"/>
      <c r="E226" s="41" t="n"/>
      <c r="F226" s="41" t="n"/>
      <c r="G226" s="42" t="n"/>
      <c r="H226" s="20" t="n"/>
      <c r="I226" s="20" t="n"/>
      <c r="J226" s="20" t="n"/>
    </row>
    <row r="227" ht="16.5" customFormat="1" customHeight="1" s="12">
      <c r="A227" s="17" t="n">
        <v>222</v>
      </c>
      <c r="B227" s="25" t="n"/>
      <c r="C227" s="137" t="n"/>
      <c r="D227" s="41" t="n"/>
      <c r="E227" s="41" t="n"/>
      <c r="F227" s="41" t="n"/>
      <c r="G227" s="42" t="n"/>
      <c r="H227" s="20" t="n"/>
      <c r="I227" s="20" t="n"/>
      <c r="J227" s="20" t="n"/>
    </row>
    <row r="228" ht="16.5" customFormat="1" customHeight="1" s="12">
      <c r="A228" s="17" t="n">
        <v>223</v>
      </c>
      <c r="B228" s="25" t="n"/>
      <c r="C228" s="137" t="n"/>
      <c r="D228" s="41" t="n"/>
      <c r="E228" s="41" t="n"/>
      <c r="F228" s="41" t="n"/>
      <c r="G228" s="42" t="n"/>
      <c r="H228" s="20" t="n"/>
      <c r="I228" s="20" t="n"/>
      <c r="J228" s="20" t="n"/>
    </row>
    <row r="229" ht="16.5" customFormat="1" customHeight="1" s="12">
      <c r="A229" s="17" t="n">
        <v>224</v>
      </c>
      <c r="B229" s="25" t="n"/>
      <c r="C229" s="137" t="n"/>
      <c r="D229" s="41" t="n"/>
      <c r="E229" s="41" t="n"/>
      <c r="F229" s="41" t="n"/>
      <c r="G229" s="42" t="n"/>
      <c r="H229" s="20" t="n"/>
      <c r="I229" s="20" t="n"/>
      <c r="J229" s="20" t="n"/>
    </row>
    <row r="230" ht="16.5" customFormat="1" customHeight="1" s="12">
      <c r="A230" s="17" t="n">
        <v>225</v>
      </c>
      <c r="B230" s="25" t="n"/>
      <c r="C230" s="137" t="n"/>
      <c r="D230" s="41" t="n"/>
      <c r="E230" s="41" t="n"/>
      <c r="F230" s="41" t="n"/>
      <c r="G230" s="42" t="n"/>
      <c r="H230" s="20" t="n"/>
      <c r="I230" s="20" t="n"/>
      <c r="J230" s="20" t="n"/>
    </row>
    <row r="231" ht="16.5" customFormat="1" customHeight="1" s="12">
      <c r="A231" s="17" t="n">
        <v>226</v>
      </c>
      <c r="B231" s="25" t="n"/>
      <c r="C231" s="137" t="n"/>
      <c r="D231" s="41" t="n"/>
      <c r="E231" s="41" t="n"/>
      <c r="F231" s="41" t="n"/>
      <c r="G231" s="42" t="n"/>
      <c r="H231" s="20" t="n"/>
      <c r="I231" s="20" t="n"/>
      <c r="J231" s="20" t="n"/>
    </row>
    <row r="232" ht="16.5" customFormat="1" customHeight="1" s="12">
      <c r="A232" s="17" t="n">
        <v>227</v>
      </c>
      <c r="B232" s="25" t="n"/>
      <c r="C232" s="137" t="n"/>
      <c r="D232" s="41" t="n"/>
      <c r="E232" s="41" t="n"/>
      <c r="F232" s="41" t="n"/>
      <c r="G232" s="42" t="n"/>
      <c r="H232" s="20" t="n"/>
      <c r="I232" s="20" t="n"/>
      <c r="J232" s="20" t="n"/>
    </row>
    <row r="233" ht="16.5" customFormat="1" customHeight="1" s="12">
      <c r="A233" s="17" t="n">
        <v>228</v>
      </c>
      <c r="B233" s="25" t="n"/>
      <c r="C233" s="137" t="n"/>
      <c r="D233" s="41" t="n"/>
      <c r="E233" s="41" t="n"/>
      <c r="F233" s="41" t="n"/>
      <c r="G233" s="42" t="n"/>
      <c r="H233" s="20" t="n"/>
      <c r="I233" s="20" t="n"/>
      <c r="J233" s="20" t="n"/>
    </row>
    <row r="234" ht="16.5" customFormat="1" customHeight="1" s="12">
      <c r="A234" s="17" t="n">
        <v>229</v>
      </c>
      <c r="B234" s="25" t="n"/>
      <c r="C234" s="137" t="n"/>
      <c r="D234" s="41" t="n"/>
      <c r="E234" s="41" t="n"/>
      <c r="F234" s="41" t="n"/>
      <c r="G234" s="42" t="n"/>
      <c r="H234" s="20" t="n"/>
      <c r="I234" s="20" t="n"/>
      <c r="J234" s="20" t="n"/>
    </row>
    <row r="235" ht="16.5" customFormat="1" customHeight="1" s="12">
      <c r="A235" s="17" t="n">
        <v>230</v>
      </c>
      <c r="B235" s="25" t="n"/>
      <c r="C235" s="137" t="n"/>
      <c r="D235" s="41" t="n"/>
      <c r="E235" s="41" t="n"/>
      <c r="F235" s="41" t="n"/>
      <c r="G235" s="42" t="n"/>
      <c r="H235" s="20" t="n"/>
      <c r="I235" s="20" t="n"/>
      <c r="J235" s="20" t="n"/>
    </row>
    <row r="236" ht="16.5" customFormat="1" customHeight="1" s="12">
      <c r="A236" s="17" t="n">
        <v>231</v>
      </c>
      <c r="B236" s="25" t="n"/>
      <c r="C236" s="137" t="n"/>
      <c r="D236" s="41" t="n"/>
      <c r="E236" s="41" t="n"/>
      <c r="F236" s="41" t="n"/>
      <c r="G236" s="42" t="n"/>
      <c r="H236" s="20" t="n"/>
      <c r="I236" s="20" t="n"/>
      <c r="J236" s="20" t="n"/>
    </row>
    <row r="237" ht="16.5" customFormat="1" customHeight="1" s="12">
      <c r="A237" s="17" t="n">
        <v>232</v>
      </c>
      <c r="B237" s="25" t="n"/>
      <c r="C237" s="137" t="n"/>
      <c r="D237" s="41" t="n"/>
      <c r="E237" s="41" t="n"/>
      <c r="F237" s="41" t="n"/>
      <c r="G237" s="42" t="n"/>
      <c r="H237" s="20" t="n"/>
      <c r="I237" s="20" t="n"/>
      <c r="J237" s="20" t="n"/>
    </row>
    <row r="238" ht="16.5" customFormat="1" customHeight="1" s="12">
      <c r="A238" s="17" t="n">
        <v>233</v>
      </c>
      <c r="B238" s="25" t="n"/>
      <c r="C238" s="137" t="n"/>
      <c r="D238" s="41" t="n"/>
      <c r="E238" s="41" t="n"/>
      <c r="F238" s="41" t="n"/>
      <c r="G238" s="42" t="n"/>
      <c r="H238" s="20" t="n"/>
      <c r="I238" s="20" t="n"/>
      <c r="J238" s="20" t="n"/>
    </row>
    <row r="239" ht="16.5" customFormat="1" customHeight="1" s="12">
      <c r="A239" s="17" t="n">
        <v>234</v>
      </c>
      <c r="B239" s="25" t="n"/>
      <c r="C239" s="137" t="n"/>
      <c r="D239" s="41" t="n"/>
      <c r="E239" s="41" t="n"/>
      <c r="F239" s="41" t="n"/>
      <c r="G239" s="42" t="n"/>
      <c r="H239" s="20" t="n"/>
      <c r="I239" s="20" t="n"/>
      <c r="J239" s="20" t="n"/>
    </row>
    <row r="240" ht="16.5" customFormat="1" customHeight="1" s="12">
      <c r="A240" s="17" t="n">
        <v>235</v>
      </c>
      <c r="B240" s="25" t="n"/>
      <c r="C240" s="137" t="n"/>
      <c r="D240" s="41" t="n"/>
      <c r="E240" s="41" t="n"/>
      <c r="F240" s="41" t="n"/>
      <c r="G240" s="42" t="n"/>
      <c r="H240" s="20" t="n"/>
      <c r="I240" s="20" t="n"/>
      <c r="J240" s="20" t="n"/>
    </row>
    <row r="241" ht="16.5" customFormat="1" customHeight="1" s="12">
      <c r="A241" s="17" t="n">
        <v>236</v>
      </c>
      <c r="B241" s="25" t="n"/>
      <c r="C241" s="137" t="n"/>
      <c r="D241" s="41" t="n"/>
      <c r="E241" s="41" t="n"/>
      <c r="F241" s="41" t="n"/>
      <c r="G241" s="42" t="n"/>
      <c r="H241" s="20" t="n"/>
      <c r="I241" s="20" t="n"/>
      <c r="J241" s="20" t="n"/>
    </row>
    <row r="242" ht="16.5" customFormat="1" customHeight="1" s="12">
      <c r="A242" s="17" t="n">
        <v>237</v>
      </c>
      <c r="B242" s="25" t="n"/>
      <c r="C242" s="137" t="n"/>
      <c r="D242" s="41" t="n"/>
      <c r="E242" s="41" t="n"/>
      <c r="F242" s="41" t="n"/>
      <c r="G242" s="42" t="n"/>
      <c r="H242" s="20" t="n"/>
      <c r="I242" s="20" t="n"/>
      <c r="J242" s="20" t="n"/>
    </row>
    <row r="243" ht="16.5" customFormat="1" customHeight="1" s="12">
      <c r="A243" s="17" t="n">
        <v>238</v>
      </c>
      <c r="B243" s="25" t="n"/>
      <c r="C243" s="137" t="n"/>
      <c r="D243" s="41" t="n"/>
      <c r="E243" s="41" t="n"/>
      <c r="F243" s="41" t="n"/>
      <c r="G243" s="42" t="n"/>
      <c r="H243" s="20" t="n"/>
      <c r="I243" s="20" t="n"/>
      <c r="J243" s="20" t="n"/>
    </row>
    <row r="244" ht="16.5" customFormat="1" customHeight="1" s="12">
      <c r="A244" s="17" t="n">
        <v>239</v>
      </c>
      <c r="B244" s="25" t="n"/>
      <c r="C244" s="137" t="n"/>
      <c r="D244" s="41" t="n"/>
      <c r="E244" s="41" t="n"/>
      <c r="F244" s="41" t="n"/>
      <c r="G244" s="42" t="n"/>
      <c r="H244" s="20" t="n"/>
      <c r="I244" s="20" t="n"/>
      <c r="J244" s="20" t="n"/>
    </row>
    <row r="245" ht="16.5" customFormat="1" customHeight="1" s="12">
      <c r="A245" s="17" t="n">
        <v>240</v>
      </c>
      <c r="B245" s="25" t="n"/>
      <c r="C245" s="137" t="n"/>
      <c r="D245" s="41" t="n"/>
      <c r="E245" s="41" t="n"/>
      <c r="F245" s="41" t="n"/>
      <c r="G245" s="42" t="n"/>
      <c r="H245" s="20" t="n"/>
      <c r="I245" s="20" t="n"/>
      <c r="J245" s="20" t="n"/>
    </row>
    <row r="246" ht="16.5" customFormat="1" customHeight="1" s="12">
      <c r="A246" s="17" t="n">
        <v>241</v>
      </c>
      <c r="B246" s="25" t="n"/>
      <c r="C246" s="137" t="n"/>
      <c r="D246" s="41" t="n"/>
      <c r="E246" s="41" t="n"/>
      <c r="F246" s="41" t="n"/>
      <c r="G246" s="42" t="n"/>
      <c r="H246" s="20" t="n"/>
      <c r="I246" s="20" t="n"/>
      <c r="J246" s="20" t="n"/>
    </row>
    <row r="247" ht="16.5" customFormat="1" customHeight="1" s="12">
      <c r="A247" s="17" t="n">
        <v>242</v>
      </c>
      <c r="B247" s="25" t="n"/>
      <c r="C247" s="137" t="n"/>
      <c r="D247" s="41" t="n"/>
      <c r="E247" s="41" t="n"/>
      <c r="F247" s="41" t="n"/>
      <c r="G247" s="42" t="n"/>
      <c r="H247" s="20" t="n"/>
      <c r="I247" s="20" t="n"/>
      <c r="J247" s="20" t="n"/>
    </row>
    <row r="248" ht="16.5" customFormat="1" customHeight="1" s="12">
      <c r="A248" s="17" t="n">
        <v>243</v>
      </c>
      <c r="B248" s="25" t="n"/>
      <c r="C248" s="137" t="n"/>
      <c r="D248" s="41" t="n"/>
      <c r="E248" s="41" t="n"/>
      <c r="F248" s="41" t="n"/>
      <c r="G248" s="42" t="n"/>
      <c r="H248" s="20" t="n"/>
      <c r="I248" s="20" t="n"/>
      <c r="J248" s="20" t="n"/>
    </row>
    <row r="249" ht="16.5" customFormat="1" customHeight="1" s="12">
      <c r="A249" s="17" t="n">
        <v>244</v>
      </c>
      <c r="B249" s="25" t="n"/>
      <c r="C249" s="137" t="n"/>
      <c r="D249" s="41" t="n"/>
      <c r="E249" s="41" t="n"/>
      <c r="F249" s="41" t="n"/>
      <c r="G249" s="42" t="n"/>
      <c r="H249" s="20" t="n"/>
      <c r="I249" s="20" t="n"/>
      <c r="J249" s="20" t="n"/>
    </row>
    <row r="250" ht="16.5" customFormat="1" customHeight="1" s="12">
      <c r="A250" s="17" t="n">
        <v>245</v>
      </c>
      <c r="B250" s="25" t="n"/>
      <c r="C250" s="137" t="n"/>
      <c r="D250" s="41" t="n"/>
      <c r="E250" s="41" t="n"/>
      <c r="F250" s="41" t="n"/>
      <c r="G250" s="42" t="n"/>
      <c r="H250" s="20" t="n"/>
      <c r="I250" s="20" t="n"/>
      <c r="J250" s="20" t="n"/>
    </row>
    <row r="251" ht="16.5" customFormat="1" customHeight="1" s="12">
      <c r="A251" s="17" t="n">
        <v>246</v>
      </c>
      <c r="B251" s="25" t="n"/>
      <c r="C251" s="137" t="n"/>
      <c r="D251" s="41" t="n"/>
      <c r="E251" s="41" t="n"/>
      <c r="F251" s="41" t="n"/>
      <c r="G251" s="42" t="n"/>
      <c r="H251" s="20" t="n"/>
      <c r="I251" s="20" t="n"/>
      <c r="J251" s="20" t="n"/>
    </row>
    <row r="252" ht="16.5" customFormat="1" customHeight="1" s="12">
      <c r="A252" s="17" t="n">
        <v>247</v>
      </c>
      <c r="B252" s="25" t="n"/>
      <c r="C252" s="137" t="n"/>
      <c r="D252" s="41" t="n"/>
      <c r="E252" s="41" t="n"/>
      <c r="F252" s="41" t="n"/>
      <c r="G252" s="42" t="n"/>
      <c r="H252" s="20" t="n"/>
      <c r="I252" s="20" t="n"/>
      <c r="J252" s="20" t="n"/>
    </row>
    <row r="253" ht="16.5" customFormat="1" customHeight="1" s="12">
      <c r="A253" s="17" t="n">
        <v>248</v>
      </c>
      <c r="B253" s="25" t="n"/>
      <c r="C253" s="137" t="n"/>
      <c r="D253" s="41" t="n"/>
      <c r="E253" s="41" t="n"/>
      <c r="F253" s="41" t="n"/>
      <c r="G253" s="42" t="n"/>
      <c r="H253" s="20" t="n"/>
      <c r="I253" s="20" t="n"/>
      <c r="J253" s="20" t="n"/>
    </row>
    <row r="254" ht="16.5" customFormat="1" customHeight="1" s="12">
      <c r="A254" s="17" t="n">
        <v>249</v>
      </c>
      <c r="B254" s="25" t="n"/>
      <c r="C254" s="137" t="n"/>
      <c r="D254" s="41" t="n"/>
      <c r="E254" s="41" t="n"/>
      <c r="F254" s="41" t="n"/>
      <c r="G254" s="42" t="n"/>
      <c r="H254" s="20" t="n"/>
      <c r="I254" s="20" t="n"/>
      <c r="J254" s="20" t="n"/>
    </row>
    <row r="255" ht="16.5" customFormat="1" customHeight="1" s="12">
      <c r="A255" s="17" t="n">
        <v>250</v>
      </c>
      <c r="B255" s="25" t="n"/>
      <c r="C255" s="137" t="n"/>
      <c r="D255" s="41" t="n"/>
      <c r="E255" s="41" t="n"/>
      <c r="F255" s="41" t="n"/>
      <c r="G255" s="42" t="n"/>
      <c r="H255" s="20" t="n"/>
      <c r="I255" s="20" t="n"/>
      <c r="J255" s="20" t="n"/>
    </row>
    <row r="256" ht="16.5" customFormat="1" customHeight="1" s="12">
      <c r="A256" s="17" t="n">
        <v>251</v>
      </c>
      <c r="B256" s="25" t="n"/>
      <c r="C256" s="137" t="n"/>
      <c r="D256" s="41" t="n"/>
      <c r="E256" s="41" t="n"/>
      <c r="F256" s="41" t="n"/>
      <c r="G256" s="42" t="n"/>
      <c r="H256" s="20" t="n"/>
      <c r="I256" s="20" t="n"/>
      <c r="J256" s="20" t="n"/>
    </row>
    <row r="257" ht="16.5" customFormat="1" customHeight="1" s="12">
      <c r="A257" s="17" t="n">
        <v>252</v>
      </c>
      <c r="B257" s="25" t="n"/>
      <c r="C257" s="137" t="n"/>
      <c r="D257" s="41" t="n"/>
      <c r="E257" s="41" t="n"/>
      <c r="F257" s="41" t="n"/>
      <c r="G257" s="42" t="n"/>
      <c r="H257" s="20" t="n"/>
      <c r="I257" s="20" t="n"/>
      <c r="J257" s="20" t="n"/>
    </row>
    <row r="258" ht="16.5" customFormat="1" customHeight="1" s="12">
      <c r="A258" s="17" t="n">
        <v>253</v>
      </c>
      <c r="B258" s="25" t="n"/>
      <c r="C258" s="137" t="n"/>
      <c r="D258" s="41" t="n"/>
      <c r="E258" s="41" t="n"/>
      <c r="F258" s="41" t="n"/>
      <c r="G258" s="42" t="n"/>
      <c r="H258" s="20" t="n"/>
      <c r="I258" s="20" t="n"/>
      <c r="J258" s="20" t="n"/>
    </row>
    <row r="259" ht="16.5" customFormat="1" customHeight="1" s="12">
      <c r="A259" s="17" t="n">
        <v>254</v>
      </c>
      <c r="B259" s="25" t="n"/>
      <c r="C259" s="137" t="n"/>
      <c r="D259" s="41" t="n"/>
      <c r="E259" s="41" t="n"/>
      <c r="F259" s="41" t="n"/>
      <c r="G259" s="42" t="n"/>
      <c r="H259" s="20" t="n"/>
      <c r="I259" s="20" t="n"/>
      <c r="J259" s="20" t="n"/>
    </row>
    <row r="260" ht="16.5" customFormat="1" customHeight="1" s="12">
      <c r="A260" s="17" t="n">
        <v>255</v>
      </c>
      <c r="B260" s="25" t="n"/>
      <c r="C260" s="137" t="n"/>
      <c r="D260" s="41" t="n"/>
      <c r="E260" s="41" t="n"/>
      <c r="F260" s="41" t="n"/>
      <c r="G260" s="42" t="n"/>
      <c r="H260" s="20" t="n"/>
      <c r="I260" s="20" t="n"/>
      <c r="J260" s="20" t="n"/>
    </row>
    <row r="261" ht="16.5" customFormat="1" customHeight="1" s="12">
      <c r="A261" s="17" t="n">
        <v>256</v>
      </c>
      <c r="B261" s="25" t="n"/>
      <c r="C261" s="137" t="n"/>
      <c r="D261" s="41" t="n"/>
      <c r="E261" s="41" t="n"/>
      <c r="F261" s="41" t="n"/>
      <c r="G261" s="42" t="n"/>
      <c r="H261" s="20" t="n"/>
      <c r="I261" s="20" t="n"/>
      <c r="J261" s="20" t="n"/>
    </row>
    <row r="262" ht="16.5" customFormat="1" customHeight="1" s="12">
      <c r="A262" s="17" t="n">
        <v>257</v>
      </c>
      <c r="B262" s="25" t="n"/>
      <c r="C262" s="137" t="n"/>
      <c r="D262" s="41" t="n"/>
      <c r="E262" s="41" t="n"/>
      <c r="F262" s="41" t="n"/>
      <c r="G262" s="42" t="n"/>
      <c r="H262" s="20" t="n"/>
      <c r="I262" s="20" t="n"/>
      <c r="J262" s="20" t="n"/>
    </row>
    <row r="263" ht="16.5" customFormat="1" customHeight="1" s="12">
      <c r="A263" s="17" t="n">
        <v>258</v>
      </c>
      <c r="B263" s="25" t="n"/>
      <c r="C263" s="137" t="n"/>
      <c r="D263" s="41" t="n"/>
      <c r="E263" s="41" t="n"/>
      <c r="F263" s="41" t="n"/>
      <c r="G263" s="42" t="n"/>
      <c r="H263" s="20" t="n"/>
      <c r="I263" s="20" t="n"/>
      <c r="J263" s="20" t="n"/>
    </row>
    <row r="264" ht="16.5" customFormat="1" customHeight="1" s="12">
      <c r="A264" s="17" t="n">
        <v>259</v>
      </c>
      <c r="B264" s="25" t="n"/>
      <c r="C264" s="137" t="n"/>
      <c r="D264" s="41" t="n"/>
      <c r="E264" s="41" t="n"/>
      <c r="F264" s="41" t="n"/>
      <c r="G264" s="42" t="n"/>
      <c r="H264" s="20" t="n"/>
      <c r="I264" s="20" t="n"/>
      <c r="J264" s="20" t="n"/>
    </row>
    <row r="265" ht="16.5" customFormat="1" customHeight="1" s="12">
      <c r="A265" s="17" t="n">
        <v>260</v>
      </c>
      <c r="B265" s="25" t="n"/>
      <c r="C265" s="137" t="n"/>
      <c r="D265" s="41" t="n"/>
      <c r="E265" s="41" t="n"/>
      <c r="F265" s="41" t="n"/>
      <c r="G265" s="42" t="n"/>
      <c r="H265" s="20" t="n"/>
      <c r="I265" s="20" t="n"/>
      <c r="J265" s="20" t="n"/>
    </row>
    <row r="266" ht="16.5" customFormat="1" customHeight="1" s="12">
      <c r="A266" s="17" t="n">
        <v>261</v>
      </c>
      <c r="B266" s="25" t="n"/>
      <c r="C266" s="137" t="n"/>
      <c r="D266" s="41" t="n"/>
      <c r="E266" s="41" t="n"/>
      <c r="F266" s="41" t="n"/>
      <c r="G266" s="42" t="n"/>
      <c r="H266" s="20" t="n"/>
      <c r="I266" s="20" t="n"/>
      <c r="J266" s="20" t="n"/>
    </row>
    <row r="267" ht="16.5" customFormat="1" customHeight="1" s="12">
      <c r="A267" s="17" t="n">
        <v>262</v>
      </c>
      <c r="B267" s="25" t="n"/>
      <c r="C267" s="137" t="n"/>
      <c r="D267" s="41" t="n"/>
      <c r="E267" s="41" t="n"/>
      <c r="F267" s="41" t="n"/>
      <c r="G267" s="42" t="n"/>
      <c r="H267" s="20" t="n"/>
      <c r="I267" s="20" t="n"/>
      <c r="J267" s="20" t="n"/>
    </row>
    <row r="268" ht="16.5" customFormat="1" customHeight="1" s="12">
      <c r="A268" s="17" t="n">
        <v>263</v>
      </c>
      <c r="B268" s="25" t="n"/>
      <c r="C268" s="137" t="n"/>
      <c r="D268" s="41" t="n"/>
      <c r="E268" s="41" t="n"/>
      <c r="F268" s="41" t="n"/>
      <c r="G268" s="42" t="n"/>
      <c r="H268" s="20" t="n"/>
      <c r="I268" s="20" t="n"/>
      <c r="J268" s="20" t="n"/>
    </row>
    <row r="269" ht="16.5" customFormat="1" customHeight="1" s="12">
      <c r="A269" s="17" t="n">
        <v>264</v>
      </c>
      <c r="B269" s="25" t="n"/>
      <c r="C269" s="137" t="n"/>
      <c r="D269" s="41" t="n"/>
      <c r="E269" s="41" t="n"/>
      <c r="F269" s="41" t="n"/>
      <c r="G269" s="42" t="n"/>
      <c r="H269" s="20" t="n"/>
      <c r="I269" s="20" t="n"/>
      <c r="J269" s="20" t="n"/>
    </row>
    <row r="270" ht="16.5" customFormat="1" customHeight="1" s="12">
      <c r="A270" s="17" t="n">
        <v>265</v>
      </c>
      <c r="B270" s="25" t="n"/>
      <c r="C270" s="137" t="n"/>
      <c r="D270" s="41" t="n"/>
      <c r="E270" s="41" t="n"/>
      <c r="F270" s="41" t="n"/>
      <c r="G270" s="42" t="n"/>
      <c r="H270" s="20" t="n"/>
      <c r="I270" s="20" t="n"/>
      <c r="J270" s="20" t="n"/>
    </row>
    <row r="271" ht="16.5" customFormat="1" customHeight="1" s="12">
      <c r="A271" s="17" t="n">
        <v>266</v>
      </c>
      <c r="B271" s="25" t="n"/>
      <c r="C271" s="137" t="n"/>
      <c r="D271" s="41" t="n"/>
      <c r="E271" s="41" t="n"/>
      <c r="F271" s="41" t="n"/>
      <c r="G271" s="42" t="n"/>
      <c r="H271" s="20" t="n"/>
      <c r="I271" s="20" t="n"/>
      <c r="J271" s="20" t="n"/>
    </row>
    <row r="272" ht="16.5" customFormat="1" customHeight="1" s="12">
      <c r="A272" s="17" t="n">
        <v>267</v>
      </c>
      <c r="B272" s="25" t="n"/>
      <c r="C272" s="137" t="n"/>
      <c r="D272" s="41" t="n"/>
      <c r="E272" s="41" t="n"/>
      <c r="F272" s="41" t="n"/>
      <c r="G272" s="42" t="n"/>
      <c r="H272" s="20" t="n"/>
      <c r="I272" s="20" t="n"/>
      <c r="J272" s="20" t="n"/>
    </row>
    <row r="273" ht="16.5" customFormat="1" customHeight="1" s="12">
      <c r="A273" s="17" t="n">
        <v>268</v>
      </c>
      <c r="B273" s="25" t="n"/>
      <c r="C273" s="137" t="n"/>
      <c r="D273" s="41" t="n"/>
      <c r="E273" s="41" t="n"/>
      <c r="F273" s="41" t="n"/>
      <c r="G273" s="42" t="n"/>
      <c r="H273" s="20" t="n"/>
      <c r="I273" s="20" t="n"/>
      <c r="J273" s="20" t="n"/>
    </row>
    <row r="274" ht="16.5" customFormat="1" customHeight="1" s="12">
      <c r="A274" s="17" t="n">
        <v>269</v>
      </c>
      <c r="B274" s="25" t="n"/>
      <c r="C274" s="137" t="n"/>
      <c r="D274" s="41" t="n"/>
      <c r="E274" s="41" t="n"/>
      <c r="F274" s="41" t="n"/>
      <c r="G274" s="42" t="n"/>
      <c r="H274" s="20" t="n"/>
      <c r="I274" s="20" t="n"/>
      <c r="J274" s="20" t="n"/>
    </row>
    <row r="275" ht="16.5" customFormat="1" customHeight="1" s="12">
      <c r="A275" s="17" t="n">
        <v>270</v>
      </c>
      <c r="B275" s="25" t="n"/>
      <c r="C275" s="137" t="n"/>
      <c r="D275" s="41" t="n"/>
      <c r="E275" s="41" t="n"/>
      <c r="F275" s="41" t="n"/>
      <c r="G275" s="42" t="n"/>
      <c r="H275" s="20" t="n"/>
      <c r="I275" s="20" t="n"/>
      <c r="J275" s="20" t="n"/>
    </row>
    <row r="276" ht="16.5" customFormat="1" customHeight="1" s="12">
      <c r="A276" s="17" t="n">
        <v>271</v>
      </c>
      <c r="B276" s="25" t="n"/>
      <c r="C276" s="137" t="n"/>
      <c r="D276" s="41" t="n"/>
      <c r="E276" s="41" t="n"/>
      <c r="F276" s="41" t="n"/>
      <c r="G276" s="42" t="n"/>
      <c r="H276" s="20" t="n"/>
      <c r="I276" s="20" t="n"/>
      <c r="J276" s="20" t="n"/>
    </row>
    <row r="277" ht="16.5" customFormat="1" customHeight="1" s="12">
      <c r="A277" s="17" t="n">
        <v>272</v>
      </c>
      <c r="B277" s="25" t="n"/>
      <c r="C277" s="137" t="n"/>
      <c r="D277" s="41" t="n"/>
      <c r="E277" s="41" t="n"/>
      <c r="F277" s="41" t="n"/>
      <c r="G277" s="42" t="n"/>
      <c r="H277" s="20" t="n"/>
      <c r="I277" s="20" t="n"/>
      <c r="J277" s="20" t="n"/>
    </row>
    <row r="278" ht="16.5" customFormat="1" customHeight="1" s="12">
      <c r="A278" s="17" t="n">
        <v>273</v>
      </c>
      <c r="B278" s="25" t="n"/>
      <c r="C278" s="137" t="n"/>
      <c r="D278" s="41" t="n"/>
      <c r="E278" s="41" t="n"/>
      <c r="F278" s="41" t="n"/>
      <c r="G278" s="42" t="n"/>
      <c r="H278" s="20" t="n"/>
      <c r="I278" s="20" t="n"/>
      <c r="J278" s="20" t="n"/>
    </row>
    <row r="279" ht="16.5" customFormat="1" customHeight="1" s="12">
      <c r="A279" s="17" t="n">
        <v>274</v>
      </c>
      <c r="B279" s="25" t="n"/>
      <c r="C279" s="137" t="n"/>
      <c r="D279" s="41" t="n"/>
      <c r="E279" s="41" t="n"/>
      <c r="F279" s="41" t="n"/>
      <c r="G279" s="42" t="n"/>
      <c r="H279" s="20" t="n"/>
      <c r="I279" s="20" t="n"/>
      <c r="J279" s="20" t="n"/>
    </row>
    <row r="280" ht="16.5" customFormat="1" customHeight="1" s="12">
      <c r="A280" s="17" t="n">
        <v>275</v>
      </c>
      <c r="B280" s="25" t="n"/>
      <c r="C280" s="137" t="n"/>
      <c r="D280" s="41" t="n"/>
      <c r="E280" s="41" t="n"/>
      <c r="F280" s="41" t="n"/>
      <c r="G280" s="42" t="n"/>
      <c r="H280" s="20" t="n"/>
      <c r="I280" s="20" t="n"/>
      <c r="J280" s="20" t="n"/>
    </row>
    <row r="281" ht="16.5" customFormat="1" customHeight="1" s="12">
      <c r="A281" s="17" t="n">
        <v>276</v>
      </c>
      <c r="B281" s="25" t="n"/>
      <c r="C281" s="137" t="n"/>
      <c r="D281" s="41" t="n"/>
      <c r="E281" s="41" t="n"/>
      <c r="F281" s="41" t="n"/>
      <c r="G281" s="42" t="n"/>
      <c r="H281" s="20" t="n"/>
      <c r="I281" s="20" t="n"/>
      <c r="J281" s="20" t="n"/>
    </row>
    <row r="282" ht="16.5" customFormat="1" customHeight="1" s="12">
      <c r="A282" s="17" t="n">
        <v>277</v>
      </c>
      <c r="B282" s="25" t="n"/>
      <c r="C282" s="137" t="n"/>
      <c r="D282" s="41" t="n"/>
      <c r="E282" s="41" t="n"/>
      <c r="F282" s="41" t="n"/>
      <c r="G282" s="42" t="n"/>
      <c r="H282" s="20" t="n"/>
      <c r="I282" s="20" t="n"/>
      <c r="J282" s="20" t="n"/>
    </row>
    <row r="283" ht="16.5" customFormat="1" customHeight="1" s="12">
      <c r="A283" s="17" t="n">
        <v>278</v>
      </c>
      <c r="B283" s="25" t="n"/>
      <c r="C283" s="137" t="n"/>
      <c r="D283" s="41" t="n"/>
      <c r="E283" s="41" t="n"/>
      <c r="F283" s="41" t="n"/>
      <c r="G283" s="42" t="n"/>
      <c r="H283" s="20" t="n"/>
      <c r="I283" s="20" t="n"/>
      <c r="J283" s="20" t="n"/>
    </row>
    <row r="284" ht="16.5" customFormat="1" customHeight="1" s="12">
      <c r="A284" s="17" t="n">
        <v>279</v>
      </c>
      <c r="B284" s="25" t="n"/>
      <c r="C284" s="137" t="n"/>
      <c r="D284" s="41" t="n"/>
      <c r="E284" s="41" t="n"/>
      <c r="F284" s="41" t="n"/>
      <c r="G284" s="42" t="n"/>
      <c r="H284" s="20" t="n"/>
      <c r="I284" s="20" t="n"/>
      <c r="J284" s="20" t="n"/>
    </row>
    <row r="285" ht="16.5" customFormat="1" customHeight="1" s="12">
      <c r="A285" s="17" t="n">
        <v>280</v>
      </c>
      <c r="B285" s="25" t="n"/>
      <c r="C285" s="137" t="n"/>
      <c r="D285" s="41" t="n"/>
      <c r="E285" s="41" t="n"/>
      <c r="F285" s="41" t="n"/>
      <c r="G285" s="42" t="n"/>
      <c r="H285" s="20" t="n"/>
      <c r="I285" s="20" t="n"/>
      <c r="J285" s="20" t="n"/>
    </row>
    <row r="286" ht="16.5" customFormat="1" customHeight="1" s="12">
      <c r="A286" s="17" t="n">
        <v>281</v>
      </c>
      <c r="B286" s="25" t="n"/>
      <c r="C286" s="137" t="n"/>
      <c r="D286" s="41" t="n"/>
      <c r="E286" s="41" t="n"/>
      <c r="F286" s="41" t="n"/>
      <c r="G286" s="42" t="n"/>
      <c r="H286" s="20" t="n"/>
      <c r="I286" s="20" t="n"/>
      <c r="J286" s="20" t="n"/>
    </row>
    <row r="287" ht="16.5" customFormat="1" customHeight="1" s="12">
      <c r="A287" s="17" t="n">
        <v>282</v>
      </c>
      <c r="B287" s="25" t="n"/>
      <c r="C287" s="137" t="n"/>
      <c r="D287" s="41" t="n"/>
      <c r="E287" s="41" t="n"/>
      <c r="F287" s="41" t="n"/>
      <c r="G287" s="42" t="n"/>
      <c r="H287" s="20" t="n"/>
      <c r="I287" s="20" t="n"/>
      <c r="J287" s="20" t="n"/>
    </row>
    <row r="288" ht="16.5" customFormat="1" customHeight="1" s="12">
      <c r="A288" s="17" t="n">
        <v>283</v>
      </c>
      <c r="B288" s="25" t="n"/>
      <c r="C288" s="137" t="n"/>
      <c r="D288" s="41" t="n"/>
      <c r="E288" s="41" t="n"/>
      <c r="F288" s="41" t="n"/>
      <c r="G288" s="42" t="n"/>
      <c r="H288" s="20" t="n"/>
      <c r="I288" s="20" t="n"/>
      <c r="J288" s="20" t="n"/>
    </row>
    <row r="289" ht="16.5" customFormat="1" customHeight="1" s="12">
      <c r="A289" s="17" t="n">
        <v>284</v>
      </c>
      <c r="B289" s="25" t="n"/>
      <c r="C289" s="137" t="n"/>
      <c r="D289" s="41" t="n"/>
      <c r="E289" s="41" t="n"/>
      <c r="F289" s="41" t="n"/>
      <c r="G289" s="42" t="n"/>
      <c r="H289" s="20" t="n"/>
      <c r="I289" s="20" t="n"/>
      <c r="J289" s="20" t="n"/>
    </row>
    <row r="290" ht="16.5" customFormat="1" customHeight="1" s="12">
      <c r="A290" s="17" t="n">
        <v>285</v>
      </c>
      <c r="B290" s="25" t="n"/>
      <c r="C290" s="137" t="n"/>
      <c r="D290" s="41" t="n"/>
      <c r="E290" s="41" t="n"/>
      <c r="F290" s="41" t="n"/>
      <c r="G290" s="42" t="n"/>
      <c r="H290" s="20" t="n"/>
      <c r="I290" s="20" t="n"/>
      <c r="J290" s="20" t="n"/>
    </row>
    <row r="291" ht="16.5" customFormat="1" customHeight="1" s="12">
      <c r="A291" s="17" t="n">
        <v>286</v>
      </c>
      <c r="B291" s="25" t="n"/>
      <c r="C291" s="137" t="n"/>
      <c r="D291" s="41" t="n"/>
      <c r="E291" s="41" t="n"/>
      <c r="F291" s="41" t="n"/>
      <c r="G291" s="42" t="n"/>
      <c r="H291" s="20" t="n"/>
      <c r="I291" s="20" t="n"/>
      <c r="J291" s="20" t="n"/>
    </row>
    <row r="292" ht="16.5" customFormat="1" customHeight="1" s="12">
      <c r="A292" s="17" t="n">
        <v>287</v>
      </c>
      <c r="B292" s="25" t="n"/>
      <c r="C292" s="137" t="n"/>
      <c r="D292" s="41" t="n"/>
      <c r="E292" s="41" t="n"/>
      <c r="F292" s="41" t="n"/>
      <c r="G292" s="42" t="n"/>
      <c r="H292" s="20" t="n"/>
      <c r="I292" s="20" t="n"/>
      <c r="J292" s="20" t="n"/>
    </row>
    <row r="293" ht="16.5" customFormat="1" customHeight="1" s="12">
      <c r="A293" s="17" t="n">
        <v>288</v>
      </c>
      <c r="B293" s="25" t="n"/>
      <c r="C293" s="137" t="n"/>
      <c r="D293" s="41" t="n"/>
      <c r="E293" s="41" t="n"/>
      <c r="F293" s="41" t="n"/>
      <c r="G293" s="42" t="n"/>
      <c r="H293" s="20" t="n"/>
      <c r="I293" s="20" t="n"/>
      <c r="J293" s="20" t="n"/>
    </row>
    <row r="294" ht="16.5" customFormat="1" customHeight="1" s="12">
      <c r="A294" s="17" t="n">
        <v>289</v>
      </c>
      <c r="B294" s="25" t="n"/>
      <c r="C294" s="137" t="n"/>
      <c r="D294" s="41" t="n"/>
      <c r="E294" s="41" t="n"/>
      <c r="F294" s="41" t="n"/>
      <c r="G294" s="42" t="n"/>
      <c r="H294" s="20" t="n"/>
      <c r="I294" s="20" t="n"/>
      <c r="J294" s="20" t="n"/>
    </row>
    <row r="295" ht="16.5" customFormat="1" customHeight="1" s="12">
      <c r="A295" s="17" t="n">
        <v>290</v>
      </c>
      <c r="B295" s="25" t="n"/>
      <c r="C295" s="137" t="n"/>
      <c r="D295" s="41" t="n"/>
      <c r="E295" s="41" t="n"/>
      <c r="F295" s="41" t="n"/>
      <c r="G295" s="42" t="n"/>
      <c r="H295" s="20" t="n"/>
      <c r="I295" s="20" t="n"/>
      <c r="J295" s="20" t="n"/>
    </row>
    <row r="296" ht="16.5" customFormat="1" customHeight="1" s="12">
      <c r="A296" s="17" t="n">
        <v>291</v>
      </c>
      <c r="B296" s="25" t="n"/>
      <c r="C296" s="137" t="n"/>
      <c r="D296" s="41" t="n"/>
      <c r="E296" s="41" t="n"/>
      <c r="F296" s="41" t="n"/>
      <c r="G296" s="42" t="n"/>
      <c r="H296" s="20" t="n"/>
      <c r="I296" s="20" t="n"/>
      <c r="J296" s="20" t="n"/>
    </row>
    <row r="297" ht="16.5" customFormat="1" customHeight="1" s="12">
      <c r="A297" s="17" t="n">
        <v>292</v>
      </c>
      <c r="B297" s="25" t="n"/>
      <c r="C297" s="137" t="n"/>
      <c r="D297" s="41" t="n"/>
      <c r="E297" s="41" t="n"/>
      <c r="F297" s="41" t="n"/>
      <c r="G297" s="42" t="n"/>
      <c r="H297" s="20" t="n"/>
      <c r="I297" s="20" t="n"/>
      <c r="J297" s="20" t="n"/>
    </row>
    <row r="298" ht="16.5" customFormat="1" customHeight="1" s="12">
      <c r="A298" s="17" t="n">
        <v>293</v>
      </c>
      <c r="B298" s="25" t="n"/>
      <c r="C298" s="137" t="n"/>
      <c r="D298" s="41" t="n"/>
      <c r="E298" s="41" t="n"/>
      <c r="F298" s="41" t="n"/>
      <c r="G298" s="42" t="n"/>
      <c r="H298" s="20" t="n"/>
      <c r="I298" s="20" t="n"/>
      <c r="J298" s="20" t="n"/>
    </row>
    <row r="299" ht="16.5" customFormat="1" customHeight="1" s="12">
      <c r="A299" s="17" t="n">
        <v>294</v>
      </c>
      <c r="B299" s="25" t="n"/>
      <c r="C299" s="137" t="n"/>
      <c r="D299" s="41" t="n"/>
      <c r="E299" s="41" t="n"/>
      <c r="F299" s="41" t="n"/>
      <c r="G299" s="42" t="n"/>
      <c r="H299" s="20" t="n"/>
      <c r="I299" s="20" t="n"/>
      <c r="J299" s="20" t="n"/>
    </row>
    <row r="300" ht="16.5" customFormat="1" customHeight="1" s="12">
      <c r="A300" s="17" t="n">
        <v>295</v>
      </c>
      <c r="B300" s="25" t="n"/>
      <c r="C300" s="137" t="n"/>
      <c r="D300" s="41" t="n"/>
      <c r="E300" s="41" t="n"/>
      <c r="F300" s="41" t="n"/>
      <c r="G300" s="42" t="n"/>
      <c r="H300" s="20" t="n"/>
      <c r="I300" s="20" t="n"/>
      <c r="J300" s="20" t="n"/>
    </row>
    <row r="301" ht="16.5" customFormat="1" customHeight="1" s="12">
      <c r="A301" s="17" t="n">
        <v>296</v>
      </c>
      <c r="B301" s="25" t="n"/>
      <c r="C301" s="137" t="n"/>
      <c r="D301" s="41" t="n"/>
      <c r="E301" s="41" t="n"/>
      <c r="F301" s="41" t="n"/>
      <c r="G301" s="42" t="n"/>
      <c r="H301" s="20" t="n"/>
      <c r="I301" s="20" t="n"/>
      <c r="J301" s="20" t="n"/>
    </row>
    <row r="302" ht="16.5" customFormat="1" customHeight="1" s="12">
      <c r="A302" s="17" t="n">
        <v>297</v>
      </c>
      <c r="B302" s="25" t="n"/>
      <c r="C302" s="137" t="n"/>
      <c r="D302" s="41" t="n"/>
      <c r="E302" s="41" t="n"/>
      <c r="F302" s="41" t="n"/>
      <c r="G302" s="42" t="n"/>
      <c r="H302" s="20" t="n"/>
      <c r="I302" s="20" t="n"/>
      <c r="J302" s="20" t="n"/>
    </row>
    <row r="303" ht="16.5" customFormat="1" customHeight="1" s="12">
      <c r="A303" s="17" t="n">
        <v>298</v>
      </c>
      <c r="B303" s="25" t="n"/>
      <c r="C303" s="137" t="n"/>
      <c r="D303" s="41" t="n"/>
      <c r="E303" s="41" t="n"/>
      <c r="F303" s="41" t="n"/>
      <c r="G303" s="42" t="n"/>
      <c r="H303" s="20" t="n"/>
      <c r="I303" s="20" t="n"/>
      <c r="J303" s="20" t="n"/>
    </row>
    <row r="304" ht="16.5" customFormat="1" customHeight="1" s="12">
      <c r="A304" s="17" t="n">
        <v>299</v>
      </c>
      <c r="B304" s="25" t="n"/>
      <c r="C304" s="137" t="n"/>
      <c r="D304" s="41" t="n"/>
      <c r="E304" s="41" t="n"/>
      <c r="F304" s="41" t="n"/>
      <c r="G304" s="42" t="n"/>
      <c r="H304" s="20" t="n"/>
      <c r="I304" s="20" t="n"/>
      <c r="J304" s="20" t="n"/>
    </row>
    <row r="305" ht="16.5" customFormat="1" customHeight="1" s="12">
      <c r="A305" s="17" t="n">
        <v>300</v>
      </c>
      <c r="B305" s="25" t="n"/>
      <c r="C305" s="137" t="n"/>
      <c r="D305" s="41" t="n"/>
      <c r="E305" s="41" t="n"/>
      <c r="F305" s="41" t="n"/>
      <c r="G305" s="42" t="n"/>
      <c r="H305" s="20" t="n"/>
      <c r="I305" s="20" t="n"/>
      <c r="J305" s="20" t="n"/>
    </row>
    <row r="306" ht="16.5" customFormat="1" customHeight="1" s="12">
      <c r="A306" s="17" t="n">
        <v>301</v>
      </c>
      <c r="B306" s="25" t="n"/>
      <c r="C306" s="137" t="n"/>
      <c r="D306" s="41" t="n"/>
      <c r="E306" s="41" t="n"/>
      <c r="F306" s="41" t="n"/>
      <c r="G306" s="42" t="n"/>
      <c r="H306" s="20" t="n"/>
      <c r="I306" s="20" t="n"/>
      <c r="J306" s="20" t="n"/>
    </row>
    <row r="307" ht="16.5" customFormat="1" customHeight="1" s="12">
      <c r="A307" s="17" t="n">
        <v>302</v>
      </c>
      <c r="B307" s="25" t="n"/>
      <c r="C307" s="137" t="n"/>
      <c r="D307" s="41" t="n"/>
      <c r="E307" s="41" t="n"/>
      <c r="F307" s="41" t="n"/>
      <c r="G307" s="42" t="n"/>
      <c r="H307" s="20" t="n"/>
      <c r="I307" s="20" t="n"/>
      <c r="J307" s="20" t="n"/>
    </row>
    <row r="308" ht="16.5" customFormat="1" customHeight="1" s="12">
      <c r="A308" s="17" t="n">
        <v>303</v>
      </c>
      <c r="B308" s="25" t="n"/>
      <c r="C308" s="137" t="n"/>
      <c r="D308" s="41" t="n"/>
      <c r="E308" s="41" t="n"/>
      <c r="F308" s="41" t="n"/>
      <c r="G308" s="42" t="n"/>
      <c r="H308" s="20" t="n"/>
      <c r="I308" s="20" t="n"/>
      <c r="J308" s="20" t="n"/>
    </row>
    <row r="309" ht="16.5" customFormat="1" customHeight="1" s="12">
      <c r="A309" s="17" t="n">
        <v>304</v>
      </c>
      <c r="B309" s="25" t="n"/>
      <c r="C309" s="137" t="n"/>
      <c r="D309" s="41" t="n"/>
      <c r="E309" s="41" t="n"/>
      <c r="F309" s="41" t="n"/>
      <c r="G309" s="42" t="n"/>
      <c r="H309" s="20" t="n"/>
      <c r="I309" s="20" t="n"/>
      <c r="J309" s="20" t="n"/>
    </row>
    <row r="310" ht="16.5" customFormat="1" customHeight="1" s="12">
      <c r="A310" s="17" t="n">
        <v>305</v>
      </c>
      <c r="B310" s="25" t="n"/>
      <c r="C310" s="137" t="n"/>
      <c r="D310" s="41" t="n"/>
      <c r="E310" s="41" t="n"/>
      <c r="F310" s="41" t="n"/>
      <c r="G310" s="42" t="n"/>
      <c r="H310" s="20" t="n"/>
      <c r="I310" s="20" t="n"/>
      <c r="J310" s="20" t="n"/>
    </row>
    <row r="311" ht="16.5" customFormat="1" customHeight="1" s="12">
      <c r="A311" s="17" t="n">
        <v>306</v>
      </c>
      <c r="B311" s="25" t="n"/>
      <c r="C311" s="137" t="n"/>
      <c r="D311" s="41" t="n"/>
      <c r="E311" s="41" t="n"/>
      <c r="F311" s="41" t="n"/>
      <c r="G311" s="42" t="n"/>
      <c r="H311" s="20" t="n"/>
      <c r="I311" s="20" t="n"/>
      <c r="J311" s="20" t="n"/>
    </row>
    <row r="312" ht="16.5" customFormat="1" customHeight="1" s="12">
      <c r="A312" s="17" t="n">
        <v>307</v>
      </c>
      <c r="B312" s="25" t="n"/>
      <c r="C312" s="137" t="n"/>
      <c r="D312" s="41" t="n"/>
      <c r="E312" s="41" t="n"/>
      <c r="F312" s="41" t="n"/>
      <c r="G312" s="42" t="n"/>
      <c r="H312" s="20" t="n"/>
      <c r="I312" s="20" t="n"/>
      <c r="J312" s="20" t="n"/>
    </row>
    <row r="313" ht="16.5" customFormat="1" customHeight="1" s="12">
      <c r="A313" s="17" t="n">
        <v>308</v>
      </c>
      <c r="B313" s="25" t="n"/>
      <c r="C313" s="137" t="n"/>
      <c r="D313" s="41" t="n"/>
      <c r="E313" s="41" t="n"/>
      <c r="F313" s="41" t="n"/>
      <c r="G313" s="42" t="n"/>
      <c r="H313" s="20" t="n"/>
      <c r="I313" s="20" t="n"/>
      <c r="J313" s="20" t="n"/>
    </row>
    <row r="314" ht="16.5" customFormat="1" customHeight="1" s="12">
      <c r="A314" s="17" t="n">
        <v>309</v>
      </c>
      <c r="B314" s="25" t="n"/>
      <c r="C314" s="137" t="n"/>
      <c r="D314" s="41" t="n"/>
      <c r="E314" s="41" t="n"/>
      <c r="F314" s="41" t="n"/>
      <c r="G314" s="42" t="n"/>
      <c r="H314" s="20" t="n"/>
      <c r="I314" s="20" t="n"/>
      <c r="J314" s="20" t="n"/>
    </row>
    <row r="315" ht="16.5" customFormat="1" customHeight="1" s="12">
      <c r="A315" s="17" t="n">
        <v>310</v>
      </c>
      <c r="B315" s="25" t="n"/>
      <c r="C315" s="137" t="n"/>
      <c r="D315" s="41" t="n"/>
      <c r="E315" s="41" t="n"/>
      <c r="F315" s="41" t="n"/>
      <c r="G315" s="42" t="n"/>
      <c r="H315" s="20" t="n"/>
      <c r="I315" s="20" t="n"/>
      <c r="J315" s="20" t="n"/>
    </row>
    <row r="316" ht="16.5" customFormat="1" customHeight="1" s="12">
      <c r="A316" s="17" t="n">
        <v>311</v>
      </c>
      <c r="B316" s="25" t="n"/>
      <c r="C316" s="137" t="n"/>
      <c r="D316" s="41" t="n"/>
      <c r="E316" s="41" t="n"/>
      <c r="F316" s="41" t="n"/>
      <c r="G316" s="42" t="n"/>
      <c r="H316" s="20" t="n"/>
      <c r="I316" s="20" t="n"/>
      <c r="J316" s="20" t="n"/>
    </row>
    <row r="317" ht="16.5" customFormat="1" customHeight="1" s="12">
      <c r="A317" s="17" t="n">
        <v>312</v>
      </c>
      <c r="B317" s="25" t="n"/>
      <c r="C317" s="137" t="n"/>
      <c r="D317" s="41" t="n"/>
      <c r="E317" s="41" t="n"/>
      <c r="F317" s="41" t="n"/>
      <c r="G317" s="42" t="n"/>
      <c r="H317" s="20" t="n"/>
      <c r="I317" s="20" t="n"/>
      <c r="J317" s="20" t="n"/>
    </row>
    <row r="318" ht="16.5" customFormat="1" customHeight="1" s="12">
      <c r="A318" s="17" t="n">
        <v>313</v>
      </c>
      <c r="B318" s="25" t="n"/>
      <c r="C318" s="137" t="n"/>
      <c r="D318" s="41" t="n"/>
      <c r="E318" s="41" t="n"/>
      <c r="F318" s="41" t="n"/>
      <c r="G318" s="42" t="n"/>
      <c r="H318" s="20" t="n"/>
      <c r="I318" s="20" t="n"/>
      <c r="J318" s="20" t="n"/>
    </row>
    <row r="319" ht="16.5" customFormat="1" customHeight="1" s="12">
      <c r="A319" s="17" t="n">
        <v>314</v>
      </c>
      <c r="B319" s="25" t="n"/>
      <c r="C319" s="137" t="n"/>
      <c r="D319" s="41" t="n"/>
      <c r="E319" s="41" t="n"/>
      <c r="F319" s="41" t="n"/>
      <c r="G319" s="42" t="n"/>
      <c r="H319" s="20" t="n"/>
      <c r="I319" s="20" t="n"/>
      <c r="J319" s="20" t="n"/>
    </row>
    <row r="320" ht="16.5" customFormat="1" customHeight="1" s="12">
      <c r="A320" s="17" t="n">
        <v>315</v>
      </c>
      <c r="B320" s="25" t="n"/>
      <c r="C320" s="137" t="n"/>
      <c r="D320" s="41" t="n"/>
      <c r="E320" s="41" t="n"/>
      <c r="F320" s="41" t="n"/>
      <c r="G320" s="42" t="n"/>
      <c r="H320" s="20" t="n"/>
      <c r="I320" s="20" t="n"/>
      <c r="J320" s="20" t="n"/>
    </row>
    <row r="321" ht="16.5" customFormat="1" customHeight="1" s="12">
      <c r="A321" s="17" t="n">
        <v>316</v>
      </c>
      <c r="B321" s="25" t="n"/>
      <c r="C321" s="137" t="n"/>
      <c r="D321" s="41" t="n"/>
      <c r="E321" s="41" t="n"/>
      <c r="F321" s="41" t="n"/>
      <c r="G321" s="42" t="n"/>
      <c r="H321" s="20" t="n"/>
      <c r="I321" s="20" t="n"/>
      <c r="J321" s="20" t="n"/>
    </row>
    <row r="322" ht="16.5" customFormat="1" customHeight="1" s="12">
      <c r="A322" s="17" t="n">
        <v>317</v>
      </c>
      <c r="B322" s="25" t="n"/>
      <c r="C322" s="137" t="n"/>
      <c r="D322" s="41" t="n"/>
      <c r="E322" s="41" t="n"/>
      <c r="F322" s="41" t="n"/>
      <c r="G322" s="42" t="n"/>
      <c r="H322" s="20" t="n"/>
      <c r="I322" s="20" t="n"/>
      <c r="J322" s="20" t="n"/>
    </row>
    <row r="323" ht="16.5" customFormat="1" customHeight="1" s="12">
      <c r="A323" s="17" t="n">
        <v>318</v>
      </c>
      <c r="B323" s="25" t="n"/>
      <c r="C323" s="137" t="n"/>
      <c r="D323" s="41" t="n"/>
      <c r="E323" s="41" t="n"/>
      <c r="F323" s="41" t="n"/>
      <c r="G323" s="42" t="n"/>
      <c r="H323" s="20" t="n"/>
      <c r="I323" s="20" t="n"/>
      <c r="J323" s="20" t="n"/>
    </row>
    <row r="324" ht="16.5" customFormat="1" customHeight="1" s="12">
      <c r="A324" s="17" t="n">
        <v>319</v>
      </c>
      <c r="B324" s="25" t="n"/>
      <c r="C324" s="137" t="n"/>
      <c r="D324" s="41" t="n"/>
      <c r="E324" s="41" t="n"/>
      <c r="F324" s="41" t="n"/>
      <c r="G324" s="42" t="n"/>
      <c r="H324" s="20" t="n"/>
      <c r="I324" s="20" t="n"/>
      <c r="J324" s="20" t="n"/>
    </row>
    <row r="325" ht="16.5" customFormat="1" customHeight="1" s="12">
      <c r="A325" s="17" t="n">
        <v>320</v>
      </c>
      <c r="B325" s="25" t="n"/>
      <c r="C325" s="137" t="n"/>
      <c r="D325" s="41" t="n"/>
      <c r="E325" s="41" t="n"/>
      <c r="F325" s="41" t="n"/>
      <c r="G325" s="42" t="n"/>
      <c r="H325" s="20" t="n"/>
      <c r="I325" s="20" t="n"/>
      <c r="J325" s="20" t="n"/>
    </row>
    <row r="326" ht="16.5" customFormat="1" customHeight="1" s="12">
      <c r="A326" s="17" t="n">
        <v>321</v>
      </c>
      <c r="B326" s="25" t="n"/>
      <c r="C326" s="137" t="n"/>
      <c r="D326" s="41" t="n"/>
      <c r="E326" s="41" t="n"/>
      <c r="F326" s="41" t="n"/>
      <c r="G326" s="42" t="n"/>
      <c r="H326" s="20" t="n"/>
      <c r="I326" s="20" t="n"/>
      <c r="J326" s="20" t="n"/>
    </row>
    <row r="327" ht="16.5" customFormat="1" customHeight="1" s="12">
      <c r="A327" s="17" t="n">
        <v>322</v>
      </c>
      <c r="B327" s="25" t="n"/>
      <c r="C327" s="137" t="n"/>
      <c r="D327" s="41" t="n"/>
      <c r="E327" s="41" t="n"/>
      <c r="F327" s="41" t="n"/>
      <c r="G327" s="42" t="n"/>
      <c r="H327" s="20" t="n"/>
      <c r="I327" s="20" t="n"/>
      <c r="J327" s="20" t="n"/>
    </row>
    <row r="328" ht="16.5" customFormat="1" customHeight="1" s="12">
      <c r="A328" s="17" t="n">
        <v>323</v>
      </c>
      <c r="B328" s="25" t="n"/>
      <c r="C328" s="137" t="n"/>
      <c r="D328" s="41" t="n"/>
      <c r="E328" s="41" t="n"/>
      <c r="F328" s="41" t="n"/>
      <c r="G328" s="42" t="n"/>
      <c r="H328" s="20" t="n"/>
      <c r="I328" s="20" t="n"/>
      <c r="J328" s="20" t="n"/>
    </row>
    <row r="329" ht="16.5" customFormat="1" customHeight="1" s="12">
      <c r="A329" s="17" t="n">
        <v>324</v>
      </c>
      <c r="B329" s="25" t="n"/>
      <c r="C329" s="137" t="n"/>
      <c r="D329" s="41" t="n"/>
      <c r="E329" s="41" t="n"/>
      <c r="F329" s="41" t="n"/>
      <c r="G329" s="42" t="n"/>
      <c r="H329" s="20" t="n"/>
      <c r="I329" s="20" t="n"/>
      <c r="J329" s="20" t="n"/>
    </row>
    <row r="330" ht="16.5" customFormat="1" customHeight="1" s="12">
      <c r="A330" s="17" t="n">
        <v>325</v>
      </c>
      <c r="B330" s="25" t="n"/>
      <c r="C330" s="137" t="n"/>
      <c r="D330" s="41" t="n"/>
      <c r="E330" s="41" t="n"/>
      <c r="F330" s="41" t="n"/>
      <c r="G330" s="42" t="n"/>
      <c r="H330" s="20" t="n"/>
      <c r="I330" s="20" t="n"/>
      <c r="J330" s="20" t="n"/>
    </row>
    <row r="331" ht="16.5" customFormat="1" customHeight="1" s="12">
      <c r="A331" s="17" t="n">
        <v>326</v>
      </c>
      <c r="B331" s="25" t="n"/>
      <c r="C331" s="137" t="n"/>
      <c r="D331" s="41" t="n"/>
      <c r="E331" s="41" t="n"/>
      <c r="F331" s="41" t="n"/>
      <c r="G331" s="42" t="n"/>
      <c r="H331" s="20" t="n"/>
      <c r="I331" s="20" t="n"/>
      <c r="J331" s="20" t="n"/>
    </row>
    <row r="332" ht="16.5" customFormat="1" customHeight="1" s="12">
      <c r="A332" s="17" t="n">
        <v>327</v>
      </c>
      <c r="B332" s="25" t="n"/>
      <c r="C332" s="137" t="n"/>
      <c r="D332" s="41" t="n"/>
      <c r="E332" s="41" t="n"/>
      <c r="F332" s="41" t="n"/>
      <c r="G332" s="42" t="n"/>
      <c r="H332" s="20" t="n"/>
      <c r="I332" s="20" t="n"/>
      <c r="J332" s="20" t="n"/>
    </row>
    <row r="333" ht="16.5" customFormat="1" customHeight="1" s="12">
      <c r="A333" s="17" t="n">
        <v>328</v>
      </c>
      <c r="B333" s="25" t="n"/>
      <c r="C333" s="137" t="n"/>
      <c r="D333" s="41" t="n"/>
      <c r="E333" s="41" t="n"/>
      <c r="F333" s="41" t="n"/>
      <c r="G333" s="42" t="n"/>
      <c r="H333" s="20" t="n"/>
      <c r="I333" s="20" t="n"/>
      <c r="J333" s="20" t="n"/>
    </row>
    <row r="334" ht="16.5" customFormat="1" customHeight="1" s="12">
      <c r="A334" s="17" t="n">
        <v>329</v>
      </c>
      <c r="B334" s="25" t="n"/>
      <c r="C334" s="137" t="n"/>
      <c r="D334" s="41" t="n"/>
      <c r="E334" s="41" t="n"/>
      <c r="F334" s="41" t="n"/>
      <c r="G334" s="42" t="n"/>
      <c r="H334" s="20" t="n"/>
      <c r="I334" s="20" t="n"/>
      <c r="J334" s="20" t="n"/>
    </row>
    <row r="335" ht="16.5" customFormat="1" customHeight="1" s="12">
      <c r="A335" s="17" t="n">
        <v>330</v>
      </c>
      <c r="B335" s="25" t="n"/>
      <c r="C335" s="137" t="n"/>
      <c r="D335" s="41" t="n"/>
      <c r="E335" s="41" t="n"/>
      <c r="F335" s="41" t="n"/>
      <c r="G335" s="42" t="n"/>
      <c r="H335" s="20" t="n"/>
      <c r="I335" s="20" t="n"/>
      <c r="J335" s="20" t="n"/>
    </row>
    <row r="336" ht="16.5" customFormat="1" customHeight="1" s="12">
      <c r="A336" s="17" t="n">
        <v>331</v>
      </c>
      <c r="B336" s="25" t="n"/>
      <c r="C336" s="137" t="n"/>
      <c r="D336" s="41" t="n"/>
      <c r="E336" s="41" t="n"/>
      <c r="F336" s="41" t="n"/>
      <c r="G336" s="42" t="n"/>
      <c r="H336" s="20" t="n"/>
      <c r="I336" s="20" t="n"/>
      <c r="J336" s="20" t="n"/>
    </row>
    <row r="337" ht="16.5" customFormat="1" customHeight="1" s="12">
      <c r="A337" s="17" t="n">
        <v>332</v>
      </c>
      <c r="B337" s="25" t="n"/>
      <c r="C337" s="137" t="n"/>
      <c r="D337" s="41" t="n"/>
      <c r="E337" s="41" t="n"/>
      <c r="F337" s="41" t="n"/>
      <c r="G337" s="42" t="n"/>
      <c r="H337" s="20" t="n"/>
      <c r="I337" s="20" t="n"/>
      <c r="J337" s="20" t="n"/>
    </row>
    <row r="338" ht="16.5" customFormat="1" customHeight="1" s="12">
      <c r="A338" s="17" t="n">
        <v>333</v>
      </c>
      <c r="B338" s="25" t="n"/>
      <c r="C338" s="137" t="n"/>
      <c r="D338" s="41" t="n"/>
      <c r="E338" s="41" t="n"/>
      <c r="F338" s="41" t="n"/>
      <c r="G338" s="42" t="n"/>
      <c r="H338" s="20" t="n"/>
      <c r="I338" s="20" t="n"/>
      <c r="J338" s="20" t="n"/>
    </row>
    <row r="339" ht="16.5" customFormat="1" customHeight="1" s="12">
      <c r="A339" s="17" t="n">
        <v>334</v>
      </c>
      <c r="B339" s="25" t="n"/>
      <c r="C339" s="137" t="n"/>
      <c r="D339" s="41" t="n"/>
      <c r="E339" s="41" t="n"/>
      <c r="F339" s="41" t="n"/>
      <c r="G339" s="42" t="n"/>
      <c r="H339" s="20" t="n"/>
      <c r="I339" s="20" t="n"/>
      <c r="J339" s="20" t="n"/>
    </row>
    <row r="340" ht="16.5" customFormat="1" customHeight="1" s="12">
      <c r="A340" s="17" t="n">
        <v>335</v>
      </c>
      <c r="B340" s="25" t="n"/>
      <c r="C340" s="137" t="n"/>
      <c r="D340" s="41" t="n"/>
      <c r="E340" s="41" t="n"/>
      <c r="F340" s="41" t="n"/>
      <c r="G340" s="42" t="n"/>
      <c r="H340" s="20" t="n"/>
      <c r="I340" s="20" t="n"/>
      <c r="J340" s="20" t="n"/>
    </row>
    <row r="341" ht="16.5" customFormat="1" customHeight="1" s="12">
      <c r="A341" s="17" t="n">
        <v>336</v>
      </c>
      <c r="B341" s="25" t="n"/>
      <c r="C341" s="137" t="n"/>
      <c r="D341" s="41" t="n"/>
      <c r="E341" s="41" t="n"/>
      <c r="F341" s="41" t="n"/>
      <c r="G341" s="42" t="n"/>
      <c r="H341" s="20" t="n"/>
      <c r="I341" s="20" t="n"/>
      <c r="J341" s="20" t="n"/>
    </row>
    <row r="342" ht="16.5" customFormat="1" customHeight="1" s="12">
      <c r="A342" s="17" t="n">
        <v>337</v>
      </c>
      <c r="B342" s="25" t="n"/>
      <c r="C342" s="137" t="n"/>
      <c r="D342" s="41" t="n"/>
      <c r="E342" s="41" t="n"/>
      <c r="F342" s="41" t="n"/>
      <c r="G342" s="42" t="n"/>
      <c r="H342" s="20" t="n"/>
      <c r="I342" s="20" t="n"/>
      <c r="J342" s="20" t="n"/>
    </row>
    <row r="343" ht="16.5" customFormat="1" customHeight="1" s="12">
      <c r="A343" s="17" t="n">
        <v>338</v>
      </c>
      <c r="B343" s="25" t="n"/>
      <c r="C343" s="137" t="n"/>
      <c r="D343" s="41" t="n"/>
      <c r="E343" s="41" t="n"/>
      <c r="F343" s="41" t="n"/>
      <c r="G343" s="42" t="n"/>
      <c r="H343" s="20" t="n"/>
      <c r="I343" s="20" t="n"/>
      <c r="J343" s="20" t="n"/>
    </row>
    <row r="344" ht="16.5" customFormat="1" customHeight="1" s="12">
      <c r="A344" s="17" t="n">
        <v>339</v>
      </c>
      <c r="B344" s="25" t="n"/>
      <c r="C344" s="137" t="n"/>
      <c r="D344" s="41" t="n"/>
      <c r="E344" s="41" t="n"/>
      <c r="F344" s="41" t="n"/>
      <c r="G344" s="42" t="n"/>
      <c r="H344" s="20" t="n"/>
      <c r="I344" s="20" t="n"/>
      <c r="J344" s="20" t="n"/>
    </row>
    <row r="345" ht="16.5" customFormat="1" customHeight="1" s="12">
      <c r="A345" s="17" t="n">
        <v>340</v>
      </c>
      <c r="B345" s="25" t="n"/>
      <c r="C345" s="137" t="n"/>
      <c r="D345" s="41" t="n"/>
      <c r="E345" s="41" t="n"/>
      <c r="F345" s="41" t="n"/>
      <c r="G345" s="42" t="n"/>
      <c r="H345" s="20" t="n"/>
      <c r="I345" s="20" t="n"/>
      <c r="J345" s="20" t="n"/>
    </row>
    <row r="346" ht="16.5" customFormat="1" customHeight="1" s="12">
      <c r="A346" s="17" t="n">
        <v>341</v>
      </c>
      <c r="B346" s="25" t="n"/>
      <c r="C346" s="137" t="n"/>
      <c r="D346" s="41" t="n"/>
      <c r="E346" s="41" t="n"/>
      <c r="F346" s="41" t="n"/>
      <c r="G346" s="42" t="n"/>
      <c r="H346" s="20" t="n"/>
      <c r="I346" s="20" t="n"/>
      <c r="J346" s="20" t="n"/>
    </row>
    <row r="347" ht="16.5" customFormat="1" customHeight="1" s="12">
      <c r="A347" s="17" t="n">
        <v>342</v>
      </c>
      <c r="B347" s="25" t="n"/>
      <c r="C347" s="137" t="n"/>
      <c r="D347" s="41" t="n"/>
      <c r="E347" s="41" t="n"/>
      <c r="F347" s="41" t="n"/>
      <c r="G347" s="42" t="n"/>
      <c r="H347" s="20" t="n"/>
      <c r="I347" s="20" t="n"/>
      <c r="J347" s="20" t="n"/>
    </row>
    <row r="348" ht="16.5" customFormat="1" customHeight="1" s="12">
      <c r="A348" s="17" t="n">
        <v>343</v>
      </c>
      <c r="B348" s="25" t="n"/>
      <c r="C348" s="137" t="n"/>
      <c r="D348" s="41" t="n"/>
      <c r="E348" s="41" t="n"/>
      <c r="F348" s="41" t="n"/>
      <c r="G348" s="42" t="n"/>
      <c r="H348" s="20" t="n"/>
      <c r="I348" s="20" t="n"/>
      <c r="J348" s="20" t="n"/>
    </row>
    <row r="349" ht="16.5" customFormat="1" customHeight="1" s="12">
      <c r="A349" s="17" t="n">
        <v>344</v>
      </c>
      <c r="B349" s="25" t="n"/>
      <c r="C349" s="137" t="n"/>
      <c r="D349" s="41" t="n"/>
      <c r="E349" s="41" t="n"/>
      <c r="F349" s="41" t="n"/>
      <c r="G349" s="42" t="n"/>
      <c r="H349" s="20" t="n"/>
      <c r="I349" s="20" t="n"/>
      <c r="J349" s="20" t="n"/>
    </row>
    <row r="350" ht="16.5" customFormat="1" customHeight="1" s="12">
      <c r="A350" s="17" t="n">
        <v>345</v>
      </c>
      <c r="B350" s="25" t="n"/>
      <c r="C350" s="137" t="n"/>
      <c r="D350" s="41" t="n"/>
      <c r="E350" s="41" t="n"/>
      <c r="F350" s="41" t="n"/>
      <c r="G350" s="42" t="n"/>
      <c r="H350" s="20" t="n"/>
      <c r="I350" s="20" t="n"/>
      <c r="J350" s="20" t="n"/>
    </row>
    <row r="351" ht="16.5" customFormat="1" customHeight="1" s="12">
      <c r="A351" s="17" t="n">
        <v>346</v>
      </c>
      <c r="B351" s="25" t="n"/>
      <c r="C351" s="137" t="n"/>
      <c r="D351" s="41" t="n"/>
      <c r="E351" s="41" t="n"/>
      <c r="F351" s="41" t="n"/>
      <c r="G351" s="42" t="n"/>
      <c r="H351" s="20" t="n"/>
      <c r="I351" s="20" t="n"/>
      <c r="J351" s="20" t="n"/>
    </row>
    <row r="352" ht="16.5" customFormat="1" customHeight="1" s="12">
      <c r="A352" s="17" t="n">
        <v>347</v>
      </c>
      <c r="B352" s="25" t="n"/>
      <c r="C352" s="137" t="n"/>
      <c r="D352" s="41" t="n"/>
      <c r="E352" s="41" t="n"/>
      <c r="F352" s="41" t="n"/>
      <c r="G352" s="42" t="n"/>
      <c r="H352" s="20" t="n"/>
      <c r="I352" s="20" t="n"/>
      <c r="J352" s="20" t="n"/>
    </row>
    <row r="353" ht="16.5" customFormat="1" customHeight="1" s="12">
      <c r="A353" s="17" t="n">
        <v>348</v>
      </c>
      <c r="B353" s="25" t="n"/>
      <c r="C353" s="137" t="n"/>
      <c r="D353" s="41" t="n"/>
      <c r="E353" s="41" t="n"/>
      <c r="F353" s="41" t="n"/>
      <c r="G353" s="42" t="n"/>
      <c r="H353" s="20" t="n"/>
      <c r="I353" s="20" t="n"/>
      <c r="J353" s="20" t="n"/>
    </row>
    <row r="354" ht="16.5" customFormat="1" customHeight="1" s="12">
      <c r="A354" s="17" t="n">
        <v>349</v>
      </c>
      <c r="B354" s="25" t="n"/>
      <c r="C354" s="137" t="n"/>
      <c r="D354" s="41" t="n"/>
      <c r="E354" s="41" t="n"/>
      <c r="F354" s="41" t="n"/>
      <c r="G354" s="42" t="n"/>
      <c r="H354" s="20" t="n"/>
      <c r="I354" s="20" t="n"/>
      <c r="J354" s="20" t="n"/>
    </row>
    <row r="355" ht="16.5" customFormat="1" customHeight="1" s="12">
      <c r="A355" s="17" t="n">
        <v>350</v>
      </c>
      <c r="B355" s="25" t="n"/>
      <c r="C355" s="137" t="n"/>
      <c r="D355" s="41" t="n"/>
      <c r="E355" s="41" t="n"/>
      <c r="F355" s="41" t="n"/>
      <c r="G355" s="42" t="n"/>
      <c r="H355" s="20" t="n"/>
      <c r="I355" s="20" t="n"/>
      <c r="J355" s="20" t="n"/>
    </row>
    <row r="356" ht="16.5" customFormat="1" customHeight="1" s="12">
      <c r="A356" s="17" t="n">
        <v>351</v>
      </c>
      <c r="B356" s="25" t="n"/>
      <c r="C356" s="137" t="n"/>
      <c r="D356" s="41" t="n"/>
      <c r="E356" s="41" t="n"/>
      <c r="F356" s="41" t="n"/>
      <c r="G356" s="42" t="n"/>
      <c r="H356" s="20" t="n"/>
      <c r="I356" s="20" t="n"/>
      <c r="J356" s="20" t="n"/>
    </row>
    <row r="357" ht="16.5" customFormat="1" customHeight="1" s="12">
      <c r="A357" s="17" t="n">
        <v>352</v>
      </c>
      <c r="B357" s="25" t="n"/>
      <c r="C357" s="137" t="n"/>
      <c r="D357" s="41" t="n"/>
      <c r="E357" s="41" t="n"/>
      <c r="F357" s="41" t="n"/>
      <c r="G357" s="42" t="n"/>
      <c r="H357" s="20" t="n"/>
      <c r="I357" s="20" t="n"/>
      <c r="J357" s="20" t="n"/>
    </row>
    <row r="358" ht="16.5" customFormat="1" customHeight="1" s="12">
      <c r="A358" s="17" t="n">
        <v>353</v>
      </c>
      <c r="B358" s="25" t="n"/>
      <c r="C358" s="137" t="n"/>
      <c r="D358" s="41" t="n"/>
      <c r="E358" s="41" t="n"/>
      <c r="F358" s="41" t="n"/>
      <c r="G358" s="42" t="n"/>
      <c r="H358" s="20" t="n"/>
      <c r="I358" s="20" t="n"/>
      <c r="J358" s="20" t="n"/>
    </row>
    <row r="359" ht="16.5" customFormat="1" customHeight="1" s="12">
      <c r="A359" s="17" t="n">
        <v>354</v>
      </c>
      <c r="B359" s="25" t="n"/>
      <c r="C359" s="137" t="n"/>
      <c r="D359" s="41" t="n"/>
      <c r="E359" s="41" t="n"/>
      <c r="F359" s="41" t="n"/>
      <c r="G359" s="42" t="n"/>
      <c r="H359" s="20" t="n"/>
      <c r="I359" s="20" t="n"/>
      <c r="J359" s="20" t="n"/>
    </row>
    <row r="360" ht="16.5" customFormat="1" customHeight="1" s="12">
      <c r="A360" s="17" t="n">
        <v>355</v>
      </c>
      <c r="B360" s="25" t="n"/>
      <c r="C360" s="137" t="n"/>
      <c r="D360" s="41" t="n"/>
      <c r="E360" s="41" t="n"/>
      <c r="F360" s="41" t="n"/>
      <c r="G360" s="42" t="n"/>
      <c r="H360" s="20" t="n"/>
      <c r="I360" s="20" t="n"/>
      <c r="J360" s="20" t="n"/>
    </row>
    <row r="361" ht="16.5" customFormat="1" customHeight="1" s="12">
      <c r="A361" s="17" t="n">
        <v>356</v>
      </c>
      <c r="B361" s="25" t="n"/>
      <c r="C361" s="137" t="n"/>
      <c r="D361" s="41" t="n"/>
      <c r="E361" s="41" t="n"/>
      <c r="F361" s="41" t="n"/>
      <c r="G361" s="42" t="n"/>
      <c r="H361" s="20" t="n"/>
      <c r="I361" s="20" t="n"/>
      <c r="J361" s="20" t="n"/>
    </row>
    <row r="362" ht="16.5" customFormat="1" customHeight="1" s="12">
      <c r="A362" s="17" t="n">
        <v>357</v>
      </c>
      <c r="B362" s="25" t="n"/>
      <c r="C362" s="137" t="n"/>
      <c r="D362" s="41" t="n"/>
      <c r="E362" s="41" t="n"/>
      <c r="F362" s="41" t="n"/>
      <c r="G362" s="42" t="n"/>
      <c r="H362" s="20" t="n"/>
      <c r="I362" s="20" t="n"/>
      <c r="J362" s="20" t="n"/>
    </row>
    <row r="363" ht="16.5" customFormat="1" customHeight="1" s="12">
      <c r="A363" s="17" t="n">
        <v>358</v>
      </c>
      <c r="B363" s="25" t="n"/>
      <c r="C363" s="137" t="n"/>
      <c r="D363" s="41" t="n"/>
      <c r="E363" s="41" t="n"/>
      <c r="F363" s="41" t="n"/>
      <c r="G363" s="42" t="n"/>
      <c r="H363" s="20" t="n"/>
      <c r="I363" s="20" t="n"/>
      <c r="J363" s="20" t="n"/>
    </row>
    <row r="364" ht="16.5" customFormat="1" customHeight="1" s="12">
      <c r="A364" s="17" t="n">
        <v>359</v>
      </c>
      <c r="B364" s="25" t="n"/>
      <c r="C364" s="137" t="n"/>
      <c r="D364" s="41" t="n"/>
      <c r="E364" s="41" t="n"/>
      <c r="F364" s="41" t="n"/>
      <c r="G364" s="42" t="n"/>
      <c r="H364" s="20" t="n"/>
      <c r="I364" s="20" t="n"/>
      <c r="J364" s="20" t="n"/>
    </row>
    <row r="365" ht="16.5" customFormat="1" customHeight="1" s="12">
      <c r="A365" s="17" t="n">
        <v>360</v>
      </c>
      <c r="B365" s="25" t="n"/>
      <c r="C365" s="137" t="n"/>
      <c r="D365" s="41" t="n"/>
      <c r="E365" s="41" t="n"/>
      <c r="F365" s="41" t="n"/>
      <c r="G365" s="42" t="n"/>
      <c r="H365" s="20" t="n"/>
      <c r="I365" s="20" t="n"/>
      <c r="J365" s="20" t="n"/>
    </row>
    <row r="366" ht="16.5" customFormat="1" customHeight="1" s="12">
      <c r="A366" s="17" t="n">
        <v>361</v>
      </c>
      <c r="B366" s="25" t="n"/>
      <c r="C366" s="137" t="n"/>
      <c r="D366" s="41" t="n"/>
      <c r="E366" s="41" t="n"/>
      <c r="F366" s="41" t="n"/>
      <c r="G366" s="42" t="n"/>
      <c r="H366" s="20" t="n"/>
      <c r="I366" s="20" t="n"/>
      <c r="J366" s="20" t="n"/>
    </row>
    <row r="367" ht="16.5" customFormat="1" customHeight="1" s="12">
      <c r="A367" s="17" t="n">
        <v>362</v>
      </c>
      <c r="B367" s="25" t="n"/>
      <c r="C367" s="137" t="n"/>
      <c r="D367" s="41" t="n"/>
      <c r="E367" s="41" t="n"/>
      <c r="F367" s="41" t="n"/>
      <c r="G367" s="42" t="n"/>
      <c r="H367" s="20" t="n"/>
      <c r="I367" s="20" t="n"/>
      <c r="J367" s="20" t="n"/>
    </row>
    <row r="368" ht="16.5" customFormat="1" customHeight="1" s="12">
      <c r="A368" s="17" t="n">
        <v>363</v>
      </c>
      <c r="B368" s="25" t="n"/>
      <c r="C368" s="137" t="n"/>
      <c r="D368" s="41" t="n"/>
      <c r="E368" s="41" t="n"/>
      <c r="F368" s="41" t="n"/>
      <c r="G368" s="42" t="n"/>
      <c r="H368" s="20" t="n"/>
      <c r="I368" s="20" t="n"/>
      <c r="J368" s="20" t="n"/>
    </row>
    <row r="369" ht="16.5" customFormat="1" customHeight="1" s="12">
      <c r="A369" s="17" t="n">
        <v>364</v>
      </c>
      <c r="B369" s="25" t="n"/>
      <c r="C369" s="137" t="n"/>
      <c r="D369" s="41" t="n"/>
      <c r="E369" s="41" t="n"/>
      <c r="F369" s="41" t="n"/>
      <c r="G369" s="42" t="n"/>
      <c r="H369" s="20" t="n"/>
      <c r="I369" s="20" t="n"/>
      <c r="J369" s="20" t="n"/>
    </row>
    <row r="370" ht="16.5" customFormat="1" customHeight="1" s="12">
      <c r="A370" s="17" t="n">
        <v>365</v>
      </c>
      <c r="B370" s="25" t="n"/>
      <c r="C370" s="137" t="n"/>
      <c r="D370" s="41" t="n"/>
      <c r="E370" s="41" t="n"/>
      <c r="F370" s="41" t="n"/>
      <c r="G370" s="42" t="n"/>
      <c r="H370" s="20" t="n"/>
      <c r="I370" s="20" t="n"/>
      <c r="J370" s="20" t="n"/>
    </row>
    <row r="371" ht="16.5" customFormat="1" customHeight="1" s="12">
      <c r="A371" s="17" t="n">
        <v>366</v>
      </c>
      <c r="B371" s="25" t="n"/>
      <c r="C371" s="137" t="n"/>
      <c r="D371" s="41" t="n"/>
      <c r="E371" s="41" t="n"/>
      <c r="F371" s="41" t="n"/>
      <c r="G371" s="42" t="n"/>
      <c r="H371" s="20" t="n"/>
      <c r="I371" s="20" t="n"/>
      <c r="J371" s="20" t="n"/>
    </row>
    <row r="372" ht="16.5" customFormat="1" customHeight="1" s="12">
      <c r="A372" s="17" t="n">
        <v>367</v>
      </c>
      <c r="B372" s="25" t="n"/>
      <c r="C372" s="137" t="n"/>
      <c r="D372" s="41" t="n"/>
      <c r="E372" s="41" t="n"/>
      <c r="F372" s="41" t="n"/>
      <c r="G372" s="42" t="n"/>
      <c r="H372" s="20" t="n"/>
      <c r="I372" s="20" t="n"/>
      <c r="J372" s="20" t="n"/>
    </row>
    <row r="373" ht="16.5" customFormat="1" customHeight="1" s="12">
      <c r="A373" s="17" t="n">
        <v>368</v>
      </c>
      <c r="B373" s="25" t="n"/>
      <c r="C373" s="137" t="n"/>
      <c r="D373" s="41" t="n"/>
      <c r="E373" s="41" t="n"/>
      <c r="F373" s="41" t="n"/>
      <c r="G373" s="42" t="n"/>
      <c r="H373" s="20" t="n"/>
      <c r="I373" s="20" t="n"/>
      <c r="J373" s="20" t="n"/>
    </row>
    <row r="374" ht="16.5" customFormat="1" customHeight="1" s="12">
      <c r="A374" s="17" t="n">
        <v>369</v>
      </c>
      <c r="B374" s="25" t="n"/>
      <c r="C374" s="137" t="n"/>
      <c r="D374" s="41" t="n"/>
      <c r="E374" s="41" t="n"/>
      <c r="F374" s="41" t="n"/>
      <c r="G374" s="42" t="n"/>
      <c r="H374" s="20" t="n"/>
      <c r="I374" s="20" t="n"/>
      <c r="J374" s="20" t="n"/>
    </row>
    <row r="375" ht="16.5" customFormat="1" customHeight="1" s="12">
      <c r="A375" s="17" t="n">
        <v>370</v>
      </c>
      <c r="B375" s="25" t="n"/>
      <c r="C375" s="137" t="n"/>
      <c r="D375" s="41" t="n"/>
      <c r="E375" s="41" t="n"/>
      <c r="F375" s="41" t="n"/>
      <c r="G375" s="42" t="n"/>
      <c r="H375" s="20" t="n"/>
      <c r="I375" s="20" t="n"/>
      <c r="J375" s="20" t="n"/>
    </row>
    <row r="376" ht="16.5" customFormat="1" customHeight="1" s="12">
      <c r="A376" s="17" t="n">
        <v>371</v>
      </c>
      <c r="B376" s="25" t="n"/>
      <c r="C376" s="137" t="n"/>
      <c r="D376" s="41" t="n"/>
      <c r="E376" s="41" t="n"/>
      <c r="F376" s="41" t="n"/>
      <c r="G376" s="42" t="n"/>
      <c r="H376" s="20" t="n"/>
      <c r="I376" s="20" t="n"/>
      <c r="J376" s="20" t="n"/>
    </row>
    <row r="377" ht="16.5" customFormat="1" customHeight="1" s="12">
      <c r="A377" s="17" t="n">
        <v>372</v>
      </c>
      <c r="B377" s="25" t="n"/>
      <c r="C377" s="137" t="n"/>
      <c r="D377" s="41" t="n"/>
      <c r="E377" s="41" t="n"/>
      <c r="F377" s="41" t="n"/>
      <c r="G377" s="42" t="n"/>
      <c r="H377" s="20" t="n"/>
      <c r="I377" s="20" t="n"/>
      <c r="J377" s="20" t="n"/>
    </row>
    <row r="378" ht="16.5" customFormat="1" customHeight="1" s="12">
      <c r="A378" s="17" t="n">
        <v>373</v>
      </c>
      <c r="B378" s="25" t="n"/>
      <c r="C378" s="137" t="n"/>
      <c r="D378" s="41" t="n"/>
      <c r="E378" s="41" t="n"/>
      <c r="F378" s="41" t="n"/>
      <c r="G378" s="42" t="n"/>
      <c r="H378" s="20" t="n"/>
      <c r="I378" s="20" t="n"/>
      <c r="J378" s="20" t="n"/>
    </row>
    <row r="379" ht="16.5" customFormat="1" customHeight="1" s="12">
      <c r="A379" s="17" t="n">
        <v>374</v>
      </c>
      <c r="B379" s="25" t="n"/>
      <c r="C379" s="137" t="n"/>
      <c r="D379" s="41" t="n"/>
      <c r="E379" s="41" t="n"/>
      <c r="F379" s="41" t="n"/>
      <c r="G379" s="42" t="n"/>
      <c r="H379" s="20" t="n"/>
      <c r="I379" s="20" t="n"/>
      <c r="J379" s="20" t="n"/>
    </row>
    <row r="380" ht="16.5" customFormat="1" customHeight="1" s="12">
      <c r="A380" s="17" t="n">
        <v>375</v>
      </c>
      <c r="B380" s="25" t="n"/>
      <c r="C380" s="137" t="n"/>
      <c r="D380" s="41" t="n"/>
      <c r="E380" s="41" t="n"/>
      <c r="F380" s="41" t="n"/>
      <c r="G380" s="42" t="n"/>
      <c r="H380" s="20" t="n"/>
      <c r="I380" s="20" t="n"/>
      <c r="J380" s="20" t="n"/>
    </row>
    <row r="381" ht="16.5" customFormat="1" customHeight="1" s="12">
      <c r="A381" s="17" t="n">
        <v>376</v>
      </c>
      <c r="B381" s="25" t="n"/>
      <c r="C381" s="137" t="n"/>
      <c r="D381" s="41" t="n"/>
      <c r="E381" s="41" t="n"/>
      <c r="F381" s="41" t="n"/>
      <c r="G381" s="42" t="n"/>
      <c r="H381" s="20" t="n"/>
      <c r="I381" s="20" t="n"/>
      <c r="J381" s="20" t="n"/>
    </row>
    <row r="382" ht="16.5" customFormat="1" customHeight="1" s="12">
      <c r="A382" s="17" t="n">
        <v>377</v>
      </c>
      <c r="B382" s="25" t="n"/>
      <c r="C382" s="137" t="n"/>
      <c r="D382" s="41" t="n"/>
      <c r="E382" s="41" t="n"/>
      <c r="F382" s="41" t="n"/>
      <c r="G382" s="42" t="n"/>
      <c r="H382" s="20" t="n"/>
      <c r="I382" s="20" t="n"/>
      <c r="J382" s="20" t="n"/>
    </row>
    <row r="383" ht="16.5" customFormat="1" customHeight="1" s="12">
      <c r="A383" s="17" t="n">
        <v>378</v>
      </c>
      <c r="B383" s="25" t="n"/>
      <c r="C383" s="137" t="n"/>
      <c r="D383" s="41" t="n"/>
      <c r="E383" s="41" t="n"/>
      <c r="F383" s="41" t="n"/>
      <c r="G383" s="42" t="n"/>
      <c r="H383" s="20" t="n"/>
      <c r="I383" s="20" t="n"/>
      <c r="J383" s="20" t="n"/>
    </row>
    <row r="384" ht="16.5" customFormat="1" customHeight="1" s="12">
      <c r="A384" s="17" t="n">
        <v>379</v>
      </c>
      <c r="B384" s="25" t="n"/>
      <c r="C384" s="137" t="n"/>
      <c r="D384" s="41" t="n"/>
      <c r="E384" s="41" t="n"/>
      <c r="F384" s="41" t="n"/>
      <c r="G384" s="42" t="n"/>
      <c r="H384" s="20" t="n"/>
      <c r="I384" s="20" t="n"/>
      <c r="J384" s="20" t="n"/>
    </row>
    <row r="385" ht="16.5" customFormat="1" customHeight="1" s="12">
      <c r="A385" s="17" t="n">
        <v>380</v>
      </c>
      <c r="B385" s="25" t="n"/>
      <c r="C385" s="137" t="n"/>
      <c r="D385" s="41" t="n"/>
      <c r="E385" s="41" t="n"/>
      <c r="F385" s="41" t="n"/>
      <c r="G385" s="42" t="n"/>
      <c r="H385" s="20" t="n"/>
      <c r="I385" s="20" t="n"/>
      <c r="J385" s="20" t="n"/>
    </row>
    <row r="386" ht="16.5" customFormat="1" customHeight="1" s="12">
      <c r="A386" s="17" t="n">
        <v>381</v>
      </c>
      <c r="B386" s="25" t="n"/>
      <c r="C386" s="137" t="n"/>
      <c r="D386" s="41" t="n"/>
      <c r="E386" s="41" t="n"/>
      <c r="F386" s="41" t="n"/>
      <c r="G386" s="42" t="n"/>
      <c r="H386" s="20" t="n"/>
      <c r="I386" s="20" t="n"/>
      <c r="J386" s="20" t="n"/>
    </row>
    <row r="387" ht="16.5" customFormat="1" customHeight="1" s="12">
      <c r="A387" s="17" t="n">
        <v>382</v>
      </c>
      <c r="B387" s="25" t="n"/>
      <c r="C387" s="137" t="n"/>
      <c r="D387" s="41" t="n"/>
      <c r="E387" s="41" t="n"/>
      <c r="F387" s="41" t="n"/>
      <c r="G387" s="42" t="n"/>
      <c r="H387" s="20" t="n"/>
      <c r="I387" s="20" t="n"/>
      <c r="J387" s="20" t="n"/>
    </row>
    <row r="388" ht="16.5" customFormat="1" customHeight="1" s="12">
      <c r="A388" s="17" t="n">
        <v>383</v>
      </c>
      <c r="B388" s="25" t="n"/>
      <c r="C388" s="137" t="n"/>
      <c r="D388" s="41" t="n"/>
      <c r="E388" s="41" t="n"/>
      <c r="F388" s="41" t="n"/>
      <c r="G388" s="42" t="n"/>
      <c r="H388" s="20" t="n"/>
      <c r="I388" s="20" t="n"/>
      <c r="J388" s="20" t="n"/>
    </row>
    <row r="389" ht="16.5" customFormat="1" customHeight="1" s="12">
      <c r="A389" s="17" t="n">
        <v>384</v>
      </c>
      <c r="B389" s="25" t="n"/>
      <c r="C389" s="137" t="n"/>
      <c r="D389" s="41" t="n"/>
      <c r="E389" s="41" t="n"/>
      <c r="F389" s="41" t="n"/>
      <c r="G389" s="42" t="n"/>
      <c r="H389" s="20" t="n"/>
      <c r="I389" s="20" t="n"/>
      <c r="J389" s="20" t="n"/>
    </row>
    <row r="390" ht="16.5" customFormat="1" customHeight="1" s="12">
      <c r="A390" s="17" t="n">
        <v>385</v>
      </c>
      <c r="B390" s="25" t="n"/>
      <c r="C390" s="137" t="n"/>
      <c r="D390" s="41" t="n"/>
      <c r="E390" s="41" t="n"/>
      <c r="F390" s="41" t="n"/>
      <c r="G390" s="42" t="n"/>
      <c r="H390" s="20" t="n"/>
      <c r="I390" s="20" t="n"/>
      <c r="J390" s="20" t="n"/>
    </row>
    <row r="391" ht="16.5" customFormat="1" customHeight="1" s="12">
      <c r="A391" s="17" t="n">
        <v>386</v>
      </c>
      <c r="B391" s="25" t="n"/>
      <c r="C391" s="137" t="n"/>
      <c r="D391" s="41" t="n"/>
      <c r="E391" s="41" t="n"/>
      <c r="F391" s="41" t="n"/>
      <c r="G391" s="42" t="n"/>
      <c r="H391" s="20" t="n"/>
      <c r="I391" s="20" t="n"/>
      <c r="J391" s="20" t="n"/>
    </row>
    <row r="392" ht="16.5" customFormat="1" customHeight="1" s="12">
      <c r="A392" s="17" t="n">
        <v>387</v>
      </c>
      <c r="B392" s="25" t="n"/>
      <c r="C392" s="137" t="n"/>
      <c r="D392" s="41" t="n"/>
      <c r="E392" s="41" t="n"/>
      <c r="F392" s="41" t="n"/>
      <c r="G392" s="42" t="n"/>
      <c r="H392" s="20" t="n"/>
      <c r="I392" s="20" t="n"/>
      <c r="J392" s="20" t="n"/>
    </row>
    <row r="393" ht="16.5" customFormat="1" customHeight="1" s="12">
      <c r="A393" s="17" t="n">
        <v>388</v>
      </c>
      <c r="B393" s="25" t="n"/>
      <c r="C393" s="137" t="n"/>
      <c r="D393" s="41" t="n"/>
      <c r="E393" s="41" t="n"/>
      <c r="F393" s="41" t="n"/>
      <c r="G393" s="42" t="n"/>
      <c r="H393" s="20" t="n"/>
      <c r="I393" s="20" t="n"/>
      <c r="J393" s="20" t="n"/>
    </row>
    <row r="394" ht="16.5" customFormat="1" customHeight="1" s="12">
      <c r="A394" s="17" t="n">
        <v>389</v>
      </c>
      <c r="B394" s="25" t="n"/>
      <c r="C394" s="137" t="n"/>
      <c r="D394" s="41" t="n"/>
      <c r="E394" s="41" t="n"/>
      <c r="F394" s="41" t="n"/>
      <c r="G394" s="42" t="n"/>
      <c r="H394" s="20" t="n"/>
      <c r="I394" s="20" t="n"/>
      <c r="J394" s="20" t="n"/>
    </row>
    <row r="395" ht="16.5" customFormat="1" customHeight="1" s="12">
      <c r="A395" s="17" t="n">
        <v>390</v>
      </c>
      <c r="B395" s="25" t="n"/>
      <c r="C395" s="137" t="n"/>
      <c r="D395" s="41" t="n"/>
      <c r="E395" s="41" t="n"/>
      <c r="F395" s="41" t="n"/>
      <c r="G395" s="42" t="n"/>
      <c r="H395" s="20" t="n"/>
      <c r="I395" s="20" t="n"/>
      <c r="J395" s="20" t="n"/>
    </row>
    <row r="396" ht="16.5" customFormat="1" customHeight="1" s="12">
      <c r="A396" s="17" t="n">
        <v>391</v>
      </c>
      <c r="B396" s="25" t="n"/>
      <c r="C396" s="137" t="n"/>
      <c r="D396" s="41" t="n"/>
      <c r="E396" s="41" t="n"/>
      <c r="F396" s="41" t="n"/>
      <c r="G396" s="42" t="n"/>
      <c r="H396" s="20" t="n"/>
      <c r="I396" s="20" t="n"/>
      <c r="J396" s="20" t="n"/>
    </row>
    <row r="397" ht="16.5" customFormat="1" customHeight="1" s="12">
      <c r="A397" s="17" t="n">
        <v>392</v>
      </c>
      <c r="B397" s="25" t="n"/>
      <c r="C397" s="137" t="n"/>
      <c r="D397" s="41" t="n"/>
      <c r="E397" s="41" t="n"/>
      <c r="F397" s="41" t="n"/>
      <c r="G397" s="42" t="n"/>
      <c r="H397" s="20" t="n"/>
      <c r="I397" s="20" t="n"/>
      <c r="J397" s="20" t="n"/>
    </row>
    <row r="398" ht="16.5" customFormat="1" customHeight="1" s="12">
      <c r="A398" s="17" t="n">
        <v>393</v>
      </c>
      <c r="B398" s="25" t="n"/>
      <c r="C398" s="137" t="n"/>
      <c r="D398" s="41" t="n"/>
      <c r="E398" s="41" t="n"/>
      <c r="F398" s="41" t="n"/>
      <c r="G398" s="42" t="n"/>
      <c r="H398" s="20" t="n"/>
      <c r="I398" s="20" t="n"/>
      <c r="J398" s="20" t="n"/>
    </row>
    <row r="399" ht="16.5" customFormat="1" customHeight="1" s="12">
      <c r="A399" s="17" t="n">
        <v>394</v>
      </c>
      <c r="B399" s="25" t="n"/>
      <c r="C399" s="137" t="n"/>
      <c r="D399" s="41" t="n"/>
      <c r="E399" s="41" t="n"/>
      <c r="F399" s="41" t="n"/>
      <c r="G399" s="42" t="n"/>
      <c r="H399" s="20" t="n"/>
      <c r="I399" s="20" t="n"/>
      <c r="J399" s="20" t="n"/>
    </row>
    <row r="400" ht="16.5" customFormat="1" customHeight="1" s="12">
      <c r="A400" s="17" t="n">
        <v>395</v>
      </c>
      <c r="B400" s="25" t="n"/>
      <c r="C400" s="137" t="n"/>
      <c r="D400" s="41" t="n"/>
      <c r="E400" s="41" t="n"/>
      <c r="F400" s="41" t="n"/>
      <c r="G400" s="42" t="n"/>
      <c r="H400" s="20" t="n"/>
      <c r="I400" s="20" t="n"/>
      <c r="J400" s="20" t="n"/>
    </row>
    <row r="401" ht="16.5" customFormat="1" customHeight="1" s="12">
      <c r="A401" s="17" t="n">
        <v>396</v>
      </c>
      <c r="B401" s="25" t="n"/>
      <c r="C401" s="137" t="n"/>
      <c r="D401" s="41" t="n"/>
      <c r="E401" s="41" t="n"/>
      <c r="F401" s="41" t="n"/>
      <c r="G401" s="42" t="n"/>
      <c r="H401" s="20" t="n"/>
      <c r="I401" s="20" t="n"/>
      <c r="J401" s="20" t="n"/>
    </row>
    <row r="402" ht="16.5" customFormat="1" customHeight="1" s="12">
      <c r="A402" s="17" t="n">
        <v>397</v>
      </c>
      <c r="B402" s="25" t="n"/>
      <c r="C402" s="137" t="n"/>
      <c r="D402" s="41" t="n"/>
      <c r="E402" s="41" t="n"/>
      <c r="F402" s="41" t="n"/>
      <c r="G402" s="42" t="n"/>
      <c r="H402" s="20" t="n"/>
      <c r="I402" s="20" t="n"/>
      <c r="J402" s="20" t="n"/>
    </row>
    <row r="403" ht="16.5" customFormat="1" customHeight="1" s="12">
      <c r="A403" s="17" t="n">
        <v>398</v>
      </c>
      <c r="B403" s="25" t="n"/>
      <c r="C403" s="137" t="n"/>
      <c r="D403" s="41" t="n"/>
      <c r="E403" s="41" t="n"/>
      <c r="F403" s="41" t="n"/>
      <c r="G403" s="42" t="n"/>
      <c r="H403" s="20" t="n"/>
      <c r="I403" s="20" t="n"/>
      <c r="J403" s="20" t="n"/>
    </row>
    <row r="404" ht="16.5" customFormat="1" customHeight="1" s="12">
      <c r="A404" s="17" t="n">
        <v>399</v>
      </c>
      <c r="B404" s="25" t="n"/>
      <c r="C404" s="137" t="n"/>
      <c r="D404" s="41" t="n"/>
      <c r="E404" s="41" t="n"/>
      <c r="F404" s="41" t="n"/>
      <c r="G404" s="42" t="n"/>
      <c r="H404" s="20" t="n"/>
      <c r="I404" s="20" t="n"/>
      <c r="J404" s="20" t="n"/>
    </row>
    <row r="405" ht="16.5" customFormat="1" customHeight="1" s="12">
      <c r="A405" s="17" t="n">
        <v>400</v>
      </c>
      <c r="B405" s="25" t="n"/>
      <c r="C405" s="137" t="n"/>
      <c r="D405" s="41" t="n"/>
      <c r="E405" s="41" t="n"/>
      <c r="F405" s="41" t="n"/>
      <c r="G405" s="42" t="n"/>
      <c r="H405" s="20" t="n"/>
      <c r="I405" s="20" t="n"/>
      <c r="J405" s="20" t="n"/>
    </row>
    <row r="406" ht="16.5" customFormat="1" customHeight="1" s="12">
      <c r="A406" s="17" t="n">
        <v>401</v>
      </c>
      <c r="B406" s="25" t="n"/>
      <c r="C406" s="137" t="n"/>
      <c r="D406" s="41" t="n"/>
      <c r="E406" s="41" t="n"/>
      <c r="F406" s="41" t="n"/>
      <c r="G406" s="42" t="n"/>
      <c r="H406" s="20" t="n"/>
      <c r="I406" s="20" t="n"/>
      <c r="J406" s="20" t="n"/>
    </row>
    <row r="407" ht="16.5" customFormat="1" customHeight="1" s="12">
      <c r="A407" s="17" t="n">
        <v>402</v>
      </c>
      <c r="B407" s="25" t="n"/>
      <c r="C407" s="137" t="n"/>
      <c r="D407" s="41" t="n"/>
      <c r="E407" s="41" t="n"/>
      <c r="F407" s="41" t="n"/>
      <c r="G407" s="42" t="n"/>
      <c r="H407" s="20" t="n"/>
      <c r="I407" s="20" t="n"/>
      <c r="J407" s="20" t="n"/>
    </row>
    <row r="408" ht="16.5" customFormat="1" customHeight="1" s="12">
      <c r="A408" s="17" t="n">
        <v>403</v>
      </c>
      <c r="B408" s="25" t="n"/>
      <c r="C408" s="137" t="n"/>
      <c r="D408" s="41" t="n"/>
      <c r="E408" s="41" t="n"/>
      <c r="F408" s="41" t="n"/>
      <c r="G408" s="42" t="n"/>
      <c r="H408" s="20" t="n"/>
      <c r="I408" s="20" t="n"/>
      <c r="J408" s="20" t="n"/>
    </row>
    <row r="409" ht="16.5" customFormat="1" customHeight="1" s="12">
      <c r="A409" s="17" t="n">
        <v>404</v>
      </c>
      <c r="B409" s="25" t="n"/>
      <c r="C409" s="137" t="n"/>
      <c r="D409" s="41" t="n"/>
      <c r="E409" s="41" t="n"/>
      <c r="F409" s="41" t="n"/>
      <c r="G409" s="42" t="n"/>
      <c r="H409" s="20" t="n"/>
      <c r="I409" s="20" t="n"/>
      <c r="J409" s="20" t="n"/>
    </row>
    <row r="410" ht="16.5" customFormat="1" customHeight="1" s="12">
      <c r="A410" s="17" t="n">
        <v>405</v>
      </c>
      <c r="B410" s="25" t="n"/>
      <c r="C410" s="137" t="n"/>
      <c r="D410" s="41" t="n"/>
      <c r="E410" s="41" t="n"/>
      <c r="F410" s="41" t="n"/>
      <c r="G410" s="42" t="n"/>
      <c r="H410" s="20" t="n"/>
      <c r="I410" s="20" t="n"/>
      <c r="J410" s="20" t="n"/>
    </row>
    <row r="411" ht="16.5" customFormat="1" customHeight="1" s="12">
      <c r="A411" s="17" t="n">
        <v>406</v>
      </c>
      <c r="B411" s="25" t="n"/>
      <c r="C411" s="137" t="n"/>
      <c r="D411" s="41" t="n"/>
      <c r="E411" s="41" t="n"/>
      <c r="F411" s="41" t="n"/>
      <c r="G411" s="42" t="n"/>
      <c r="H411" s="20" t="n"/>
      <c r="I411" s="20" t="n"/>
      <c r="J411" s="20" t="n"/>
    </row>
    <row r="412" ht="16.5" customFormat="1" customHeight="1" s="12">
      <c r="A412" s="17" t="n">
        <v>407</v>
      </c>
      <c r="B412" s="25" t="n"/>
      <c r="C412" s="137" t="n"/>
      <c r="D412" s="41" t="n"/>
      <c r="E412" s="41" t="n"/>
      <c r="F412" s="41" t="n"/>
      <c r="G412" s="42" t="n"/>
      <c r="H412" s="20" t="n"/>
      <c r="I412" s="20" t="n"/>
      <c r="J412" s="20" t="n"/>
    </row>
    <row r="413" ht="16.5" customFormat="1" customHeight="1" s="12">
      <c r="A413" s="17" t="n">
        <v>408</v>
      </c>
      <c r="B413" s="25" t="n"/>
      <c r="C413" s="137" t="n"/>
      <c r="D413" s="41" t="n"/>
      <c r="E413" s="41" t="n"/>
      <c r="F413" s="41" t="n"/>
      <c r="G413" s="42" t="n"/>
      <c r="H413" s="20" t="n"/>
      <c r="I413" s="20" t="n"/>
      <c r="J413" s="20" t="n"/>
    </row>
    <row r="414" ht="16.5" customFormat="1" customHeight="1" s="12">
      <c r="A414" s="17" t="n">
        <v>409</v>
      </c>
      <c r="B414" s="25" t="n"/>
      <c r="C414" s="137" t="n"/>
      <c r="D414" s="41" t="n"/>
      <c r="E414" s="41" t="n"/>
      <c r="F414" s="41" t="n"/>
      <c r="G414" s="42" t="n"/>
      <c r="H414" s="20" t="n"/>
      <c r="I414" s="20" t="n"/>
      <c r="J414" s="20" t="n"/>
    </row>
    <row r="415" ht="16.5" customFormat="1" customHeight="1" s="12">
      <c r="A415" s="17" t="n">
        <v>410</v>
      </c>
      <c r="B415" s="25" t="n"/>
      <c r="C415" s="137" t="n"/>
      <c r="D415" s="41" t="n"/>
      <c r="E415" s="41" t="n"/>
      <c r="F415" s="41" t="n"/>
      <c r="G415" s="42" t="n"/>
      <c r="H415" s="20" t="n"/>
      <c r="I415" s="20" t="n"/>
      <c r="J415" s="20" t="n"/>
    </row>
    <row r="416" ht="16.5" customFormat="1" customHeight="1" s="12">
      <c r="A416" s="17" t="n">
        <v>411</v>
      </c>
      <c r="B416" s="25" t="n"/>
      <c r="C416" s="137" t="n"/>
      <c r="D416" s="41" t="n"/>
      <c r="E416" s="41" t="n"/>
      <c r="F416" s="41" t="n"/>
      <c r="G416" s="42" t="n"/>
      <c r="H416" s="20" t="n"/>
      <c r="I416" s="20" t="n"/>
      <c r="J416" s="20" t="n"/>
    </row>
    <row r="417" ht="16.5" customFormat="1" customHeight="1" s="12">
      <c r="A417" s="17" t="n">
        <v>412</v>
      </c>
      <c r="B417" s="25" t="n"/>
      <c r="C417" s="137" t="n"/>
      <c r="D417" s="41" t="n"/>
      <c r="E417" s="41" t="n"/>
      <c r="F417" s="41" t="n"/>
      <c r="G417" s="42" t="n"/>
      <c r="H417" s="20" t="n"/>
      <c r="I417" s="20" t="n"/>
      <c r="J417" s="20" t="n"/>
    </row>
    <row r="418" ht="16.5" customFormat="1" customHeight="1" s="12">
      <c r="A418" s="17" t="n">
        <v>413</v>
      </c>
      <c r="B418" s="25" t="n"/>
      <c r="C418" s="137" t="n"/>
      <c r="D418" s="41" t="n"/>
      <c r="E418" s="41" t="n"/>
      <c r="F418" s="41" t="n"/>
      <c r="G418" s="42" t="n"/>
      <c r="H418" s="20" t="n"/>
      <c r="I418" s="20" t="n"/>
      <c r="J418" s="20" t="n"/>
    </row>
    <row r="419" ht="16.5" customFormat="1" customHeight="1" s="12">
      <c r="A419" s="17" t="n">
        <v>414</v>
      </c>
      <c r="B419" s="25" t="n"/>
      <c r="C419" s="137" t="n"/>
      <c r="D419" s="41" t="n"/>
      <c r="E419" s="41" t="n"/>
      <c r="F419" s="41" t="n"/>
      <c r="G419" s="42" t="n"/>
      <c r="H419" s="20" t="n"/>
      <c r="I419" s="20" t="n"/>
      <c r="J419" s="20" t="n"/>
    </row>
    <row r="420" ht="16.5" customFormat="1" customHeight="1" s="12">
      <c r="A420" s="17" t="n">
        <v>415</v>
      </c>
      <c r="B420" s="25" t="n"/>
      <c r="C420" s="137" t="n"/>
      <c r="D420" s="41" t="n"/>
      <c r="E420" s="41" t="n"/>
      <c r="F420" s="41" t="n"/>
      <c r="G420" s="42" t="n"/>
      <c r="H420" s="20" t="n"/>
      <c r="I420" s="20" t="n"/>
      <c r="J420" s="20" t="n"/>
    </row>
    <row r="421" ht="16.5" customFormat="1" customHeight="1" s="12">
      <c r="A421" s="17" t="n">
        <v>416</v>
      </c>
      <c r="B421" s="25" t="n"/>
      <c r="C421" s="137" t="n"/>
      <c r="D421" s="41" t="n"/>
      <c r="E421" s="41" t="n"/>
      <c r="F421" s="41" t="n"/>
      <c r="G421" s="42" t="n"/>
      <c r="H421" s="20" t="n"/>
      <c r="I421" s="20" t="n"/>
      <c r="J421" s="20" t="n"/>
    </row>
    <row r="422" ht="16.5" customFormat="1" customHeight="1" s="12">
      <c r="A422" s="17" t="n">
        <v>417</v>
      </c>
      <c r="B422" s="25" t="n"/>
      <c r="C422" s="137" t="n"/>
      <c r="D422" s="41" t="n"/>
      <c r="E422" s="41" t="n"/>
      <c r="F422" s="41" t="n"/>
      <c r="G422" s="42" t="n"/>
      <c r="H422" s="20" t="n"/>
      <c r="I422" s="20" t="n"/>
      <c r="J422" s="20" t="n"/>
    </row>
    <row r="423" ht="16.5" customFormat="1" customHeight="1" s="12">
      <c r="A423" s="17" t="n">
        <v>418</v>
      </c>
      <c r="B423" s="25" t="n"/>
      <c r="C423" s="137" t="n"/>
      <c r="D423" s="41" t="n"/>
      <c r="E423" s="41" t="n"/>
      <c r="F423" s="41" t="n"/>
      <c r="G423" s="42" t="n"/>
      <c r="H423" s="20" t="n"/>
      <c r="I423" s="20" t="n"/>
      <c r="J423" s="20" t="n"/>
    </row>
    <row r="424" ht="16.5" customFormat="1" customHeight="1" s="12">
      <c r="A424" s="17" t="n">
        <v>419</v>
      </c>
      <c r="B424" s="25" t="n"/>
      <c r="C424" s="137" t="n"/>
      <c r="D424" s="41" t="n"/>
      <c r="E424" s="41" t="n"/>
      <c r="F424" s="41" t="n"/>
      <c r="G424" s="42" t="n"/>
      <c r="H424" s="20" t="n"/>
      <c r="I424" s="20" t="n"/>
      <c r="J424" s="20" t="n"/>
    </row>
    <row r="425" ht="16.5" customFormat="1" customHeight="1" s="12">
      <c r="A425" s="17" t="n">
        <v>420</v>
      </c>
      <c r="B425" s="25" t="n"/>
      <c r="C425" s="137" t="n"/>
      <c r="D425" s="41" t="n"/>
      <c r="E425" s="41" t="n"/>
      <c r="F425" s="41" t="n"/>
      <c r="G425" s="42" t="n"/>
      <c r="H425" s="20" t="n"/>
      <c r="I425" s="20" t="n"/>
      <c r="J425" s="20" t="n"/>
    </row>
    <row r="426" ht="16.5" customFormat="1" customHeight="1" s="12">
      <c r="A426" s="17" t="n">
        <v>421</v>
      </c>
      <c r="B426" s="25" t="n"/>
      <c r="C426" s="137" t="n"/>
      <c r="D426" s="41" t="n"/>
      <c r="E426" s="41" t="n"/>
      <c r="F426" s="41" t="n"/>
      <c r="G426" s="42" t="n"/>
      <c r="H426" s="20" t="n"/>
      <c r="I426" s="20" t="n"/>
      <c r="J426" s="20" t="n"/>
    </row>
    <row r="427" ht="16.5" customFormat="1" customHeight="1" s="12">
      <c r="A427" s="17" t="n">
        <v>422</v>
      </c>
      <c r="B427" s="25" t="n"/>
      <c r="C427" s="137" t="n"/>
      <c r="D427" s="41" t="n"/>
      <c r="E427" s="41" t="n"/>
      <c r="F427" s="41" t="n"/>
      <c r="G427" s="42" t="n"/>
      <c r="H427" s="20" t="n"/>
      <c r="I427" s="20" t="n"/>
      <c r="J427" s="20" t="n"/>
    </row>
    <row r="428" ht="16.5" customFormat="1" customHeight="1" s="12">
      <c r="A428" s="17" t="n">
        <v>423</v>
      </c>
      <c r="B428" s="25" t="n"/>
      <c r="C428" s="137" t="n"/>
      <c r="D428" s="41" t="n"/>
      <c r="E428" s="41" t="n"/>
      <c r="F428" s="41" t="n"/>
      <c r="G428" s="42" t="n"/>
      <c r="H428" s="20" t="n"/>
      <c r="I428" s="20" t="n"/>
      <c r="J428" s="20" t="n"/>
    </row>
    <row r="429" ht="16.5" customFormat="1" customHeight="1" s="12">
      <c r="A429" s="17" t="n">
        <v>424</v>
      </c>
      <c r="B429" s="25" t="n"/>
      <c r="C429" s="137" t="n"/>
      <c r="D429" s="41" t="n"/>
      <c r="E429" s="41" t="n"/>
      <c r="F429" s="41" t="n"/>
      <c r="G429" s="42" t="n"/>
      <c r="H429" s="20" t="n"/>
      <c r="I429" s="20" t="n"/>
      <c r="J429" s="20" t="n"/>
    </row>
    <row r="430" ht="16.5" customFormat="1" customHeight="1" s="12">
      <c r="A430" s="17" t="n">
        <v>425</v>
      </c>
      <c r="B430" s="25" t="n"/>
      <c r="C430" s="137" t="n"/>
      <c r="D430" s="41" t="n"/>
      <c r="E430" s="41" t="n"/>
      <c r="F430" s="41" t="n"/>
      <c r="G430" s="42" t="n"/>
      <c r="H430" s="20" t="n"/>
      <c r="I430" s="20" t="n"/>
      <c r="J430" s="20" t="n"/>
    </row>
    <row r="431" ht="16.5" customFormat="1" customHeight="1" s="12">
      <c r="A431" s="17" t="n">
        <v>426</v>
      </c>
      <c r="B431" s="25" t="n"/>
      <c r="C431" s="137" t="n"/>
      <c r="D431" s="41" t="n"/>
      <c r="E431" s="41" t="n"/>
      <c r="F431" s="41" t="n"/>
      <c r="G431" s="42" t="n"/>
      <c r="H431" s="20" t="n"/>
      <c r="I431" s="20" t="n"/>
      <c r="J431" s="20" t="n"/>
    </row>
    <row r="432" ht="16.5" customFormat="1" customHeight="1" s="12">
      <c r="A432" s="17" t="n">
        <v>427</v>
      </c>
      <c r="B432" s="25" t="n"/>
      <c r="C432" s="137" t="n"/>
      <c r="D432" s="41" t="n"/>
      <c r="E432" s="41" t="n"/>
      <c r="F432" s="41" t="n"/>
      <c r="G432" s="42" t="n"/>
      <c r="H432" s="20" t="n"/>
      <c r="I432" s="20" t="n"/>
      <c r="J432" s="20" t="n"/>
    </row>
    <row r="433" ht="16.5" customFormat="1" customHeight="1" s="12">
      <c r="A433" s="17" t="n">
        <v>428</v>
      </c>
      <c r="B433" s="25" t="n"/>
      <c r="C433" s="137" t="n"/>
      <c r="D433" s="41" t="n"/>
      <c r="E433" s="41" t="n"/>
      <c r="F433" s="41" t="n"/>
      <c r="G433" s="42" t="n"/>
      <c r="H433" s="20" t="n"/>
      <c r="I433" s="20" t="n"/>
      <c r="J433" s="20" t="n"/>
    </row>
    <row r="434" ht="16.5" customFormat="1" customHeight="1" s="12">
      <c r="A434" s="17" t="n">
        <v>429</v>
      </c>
      <c r="B434" s="25" t="n"/>
      <c r="C434" s="137" t="n"/>
      <c r="D434" s="41" t="n"/>
      <c r="E434" s="41" t="n"/>
      <c r="F434" s="41" t="n"/>
      <c r="G434" s="42" t="n"/>
      <c r="H434" s="20" t="n"/>
      <c r="I434" s="20" t="n"/>
      <c r="J434" s="20" t="n"/>
    </row>
    <row r="435" ht="16.5" customFormat="1" customHeight="1" s="12">
      <c r="A435" s="17" t="n">
        <v>430</v>
      </c>
      <c r="B435" s="25" t="n"/>
      <c r="C435" s="137" t="n"/>
      <c r="D435" s="41" t="n"/>
      <c r="E435" s="41" t="n"/>
      <c r="F435" s="41" t="n"/>
      <c r="G435" s="42" t="n"/>
      <c r="H435" s="20" t="n"/>
      <c r="I435" s="20" t="n"/>
      <c r="J435" s="20" t="n"/>
    </row>
    <row r="436" ht="16.5" customFormat="1" customHeight="1" s="12">
      <c r="A436" s="17" t="n">
        <v>431</v>
      </c>
      <c r="B436" s="25" t="n"/>
      <c r="C436" s="137" t="n"/>
      <c r="D436" s="41" t="n"/>
      <c r="E436" s="41" t="n"/>
      <c r="F436" s="41" t="n"/>
      <c r="G436" s="42" t="n"/>
      <c r="H436" s="20" t="n"/>
      <c r="I436" s="20" t="n"/>
      <c r="J436" s="20" t="n"/>
    </row>
    <row r="437" ht="16.5" customFormat="1" customHeight="1" s="12">
      <c r="A437" s="17" t="n">
        <v>432</v>
      </c>
      <c r="B437" s="25" t="n"/>
      <c r="C437" s="137" t="n"/>
      <c r="D437" s="41" t="n"/>
      <c r="E437" s="41" t="n"/>
      <c r="F437" s="41" t="n"/>
      <c r="G437" s="42" t="n"/>
      <c r="H437" s="20" t="n"/>
      <c r="I437" s="20" t="n"/>
      <c r="J437" s="20" t="n"/>
    </row>
    <row r="438" ht="16.5" customFormat="1" customHeight="1" s="12">
      <c r="A438" s="17" t="n">
        <v>433</v>
      </c>
      <c r="B438" s="25" t="n"/>
      <c r="C438" s="137" t="n"/>
      <c r="D438" s="41" t="n"/>
      <c r="E438" s="41" t="n"/>
      <c r="F438" s="41" t="n"/>
      <c r="G438" s="42" t="n"/>
      <c r="H438" s="20" t="n"/>
      <c r="I438" s="20" t="n"/>
      <c r="J438" s="20" t="n"/>
    </row>
    <row r="439" ht="16.5" customFormat="1" customHeight="1" s="12">
      <c r="A439" s="17" t="n">
        <v>434</v>
      </c>
      <c r="B439" s="25" t="n"/>
      <c r="C439" s="137" t="n"/>
      <c r="D439" s="41" t="n"/>
      <c r="E439" s="41" t="n"/>
      <c r="F439" s="41" t="n"/>
      <c r="G439" s="42" t="n"/>
      <c r="H439" s="20" t="n"/>
      <c r="I439" s="20" t="n"/>
      <c r="J439" s="20" t="n"/>
    </row>
    <row r="440" ht="16.5" customFormat="1" customHeight="1" s="12">
      <c r="A440" s="17" t="n">
        <v>435</v>
      </c>
      <c r="B440" s="25" t="n"/>
      <c r="C440" s="137" t="n"/>
      <c r="D440" s="41" t="n"/>
      <c r="E440" s="41" t="n"/>
      <c r="F440" s="41" t="n"/>
      <c r="G440" s="42" t="n"/>
      <c r="H440" s="20" t="n"/>
      <c r="I440" s="20" t="n"/>
      <c r="J440" s="20" t="n"/>
    </row>
    <row r="441" ht="16.5" customFormat="1" customHeight="1" s="12">
      <c r="A441" s="17" t="n">
        <v>436</v>
      </c>
      <c r="B441" s="25" t="n"/>
      <c r="C441" s="137" t="n"/>
      <c r="D441" s="41" t="n"/>
      <c r="E441" s="41" t="n"/>
      <c r="F441" s="41" t="n"/>
      <c r="G441" s="42" t="n"/>
      <c r="H441" s="20" t="n"/>
      <c r="I441" s="20" t="n"/>
      <c r="J441" s="20" t="n"/>
    </row>
    <row r="442" ht="16.5" customFormat="1" customHeight="1" s="12">
      <c r="A442" s="17" t="n">
        <v>437</v>
      </c>
      <c r="B442" s="25" t="n"/>
      <c r="C442" s="137" t="n"/>
      <c r="D442" s="41" t="n"/>
      <c r="E442" s="41" t="n"/>
      <c r="F442" s="41" t="n"/>
      <c r="G442" s="42" t="n"/>
      <c r="H442" s="20" t="n"/>
      <c r="I442" s="20" t="n"/>
      <c r="J442" s="20" t="n"/>
    </row>
    <row r="443" ht="16.5" customFormat="1" customHeight="1" s="12">
      <c r="A443" s="17" t="n">
        <v>438</v>
      </c>
      <c r="B443" s="25" t="n"/>
      <c r="C443" s="137" t="n"/>
      <c r="D443" s="41" t="n"/>
      <c r="E443" s="41" t="n"/>
      <c r="F443" s="41" t="n"/>
      <c r="G443" s="42" t="n"/>
      <c r="H443" s="20" t="n"/>
      <c r="I443" s="20" t="n"/>
      <c r="J443" s="20" t="n"/>
    </row>
    <row r="444" ht="16.5" customFormat="1" customHeight="1" s="12">
      <c r="A444" s="17" t="n">
        <v>439</v>
      </c>
      <c r="B444" s="25" t="n"/>
      <c r="C444" s="137" t="n"/>
      <c r="D444" s="41" t="n"/>
      <c r="E444" s="41" t="n"/>
      <c r="F444" s="41" t="n"/>
      <c r="G444" s="42" t="n"/>
      <c r="H444" s="20" t="n"/>
      <c r="I444" s="20" t="n"/>
      <c r="J444" s="20" t="n"/>
    </row>
    <row r="445" ht="16.5" customFormat="1" customHeight="1" s="12">
      <c r="A445" s="17" t="n">
        <v>440</v>
      </c>
      <c r="B445" s="25" t="n"/>
      <c r="C445" s="137" t="n"/>
      <c r="D445" s="41" t="n"/>
      <c r="E445" s="41" t="n"/>
      <c r="F445" s="41" t="n"/>
      <c r="G445" s="42" t="n"/>
      <c r="H445" s="20" t="n"/>
      <c r="I445" s="20" t="n"/>
      <c r="J445" s="20" t="n"/>
    </row>
    <row r="446" ht="16.5" customFormat="1" customHeight="1" s="12">
      <c r="A446" s="17" t="n">
        <v>441</v>
      </c>
      <c r="B446" s="25" t="n"/>
      <c r="C446" s="137" t="n"/>
      <c r="D446" s="41" t="n"/>
      <c r="E446" s="41" t="n"/>
      <c r="F446" s="41" t="n"/>
      <c r="G446" s="42" t="n"/>
      <c r="H446" s="20" t="n"/>
      <c r="I446" s="20" t="n"/>
      <c r="J446" s="20" t="n"/>
    </row>
    <row r="447" ht="16.5" customFormat="1" customHeight="1" s="12">
      <c r="A447" s="17" t="n">
        <v>442</v>
      </c>
      <c r="B447" s="25" t="n"/>
      <c r="C447" s="137" t="n"/>
      <c r="D447" s="41" t="n"/>
      <c r="E447" s="41" t="n"/>
      <c r="F447" s="41" t="n"/>
      <c r="G447" s="42" t="n"/>
      <c r="H447" s="20" t="n"/>
      <c r="I447" s="20" t="n"/>
      <c r="J447" s="20" t="n"/>
    </row>
    <row r="448" ht="16.5" customFormat="1" customHeight="1" s="12">
      <c r="A448" s="17" t="n">
        <v>443</v>
      </c>
      <c r="B448" s="25" t="n"/>
      <c r="C448" s="137" t="n"/>
      <c r="D448" s="41" t="n"/>
      <c r="E448" s="41" t="n"/>
      <c r="F448" s="41" t="n"/>
      <c r="G448" s="42" t="n"/>
      <c r="H448" s="20" t="n"/>
      <c r="I448" s="20" t="n"/>
      <c r="J448" s="20" t="n"/>
    </row>
    <row r="449" ht="16.5" customFormat="1" customHeight="1" s="12">
      <c r="A449" s="17" t="n">
        <v>444</v>
      </c>
      <c r="B449" s="25" t="n"/>
      <c r="C449" s="137" t="n"/>
      <c r="D449" s="41" t="n"/>
      <c r="E449" s="41" t="n"/>
      <c r="F449" s="41" t="n"/>
      <c r="G449" s="42" t="n"/>
      <c r="H449" s="20" t="n"/>
      <c r="I449" s="20" t="n"/>
      <c r="J449" s="20" t="n"/>
    </row>
    <row r="450" ht="16.5" customFormat="1" customHeight="1" s="12">
      <c r="A450" s="17" t="n">
        <v>445</v>
      </c>
      <c r="B450" s="25" t="n"/>
      <c r="C450" s="137" t="n"/>
      <c r="D450" s="41" t="n"/>
      <c r="E450" s="41" t="n"/>
      <c r="F450" s="41" t="n"/>
      <c r="G450" s="42" t="n"/>
      <c r="H450" s="20" t="n"/>
      <c r="I450" s="20" t="n"/>
      <c r="J450" s="20" t="n"/>
    </row>
    <row r="451" ht="16.5" customFormat="1" customHeight="1" s="12">
      <c r="A451" s="17" t="n">
        <v>446</v>
      </c>
      <c r="B451" s="25" t="n"/>
      <c r="C451" s="137" t="n"/>
      <c r="D451" s="41" t="n"/>
      <c r="E451" s="41" t="n"/>
      <c r="F451" s="41" t="n"/>
      <c r="G451" s="42" t="n"/>
      <c r="H451" s="20" t="n"/>
      <c r="I451" s="20" t="n"/>
      <c r="J451" s="20" t="n"/>
    </row>
    <row r="452" ht="16.5" customFormat="1" customHeight="1" s="12">
      <c r="A452" s="17" t="n">
        <v>447</v>
      </c>
      <c r="B452" s="25" t="n"/>
      <c r="C452" s="137" t="n"/>
      <c r="D452" s="41" t="n"/>
      <c r="E452" s="41" t="n"/>
      <c r="F452" s="41" t="n"/>
      <c r="G452" s="42" t="n"/>
      <c r="H452" s="20" t="n"/>
      <c r="I452" s="20" t="n"/>
      <c r="J452" s="20" t="n"/>
    </row>
    <row r="453" ht="16.5" customFormat="1" customHeight="1" s="12">
      <c r="A453" s="17" t="n">
        <v>448</v>
      </c>
      <c r="B453" s="25" t="n"/>
      <c r="C453" s="137" t="n"/>
      <c r="D453" s="41" t="n"/>
      <c r="E453" s="41" t="n"/>
      <c r="F453" s="41" t="n"/>
      <c r="G453" s="42" t="n"/>
      <c r="H453" s="20" t="n"/>
      <c r="I453" s="20" t="n"/>
      <c r="J453" s="20" t="n"/>
    </row>
    <row r="454" ht="16.5" customFormat="1" customHeight="1" s="12">
      <c r="A454" s="17" t="n">
        <v>449</v>
      </c>
      <c r="B454" s="25" t="n"/>
      <c r="C454" s="137" t="n"/>
      <c r="D454" s="41" t="n"/>
      <c r="E454" s="41" t="n"/>
      <c r="F454" s="41" t="n"/>
      <c r="G454" s="42" t="n"/>
      <c r="H454" s="20" t="n"/>
      <c r="I454" s="20" t="n"/>
      <c r="J454" s="20" t="n"/>
    </row>
    <row r="455" ht="16.5" customFormat="1" customHeight="1" s="12">
      <c r="A455" s="17" t="n">
        <v>450</v>
      </c>
      <c r="B455" s="25" t="n"/>
      <c r="C455" s="137" t="n"/>
      <c r="D455" s="41" t="n"/>
      <c r="E455" s="41" t="n"/>
      <c r="F455" s="41" t="n"/>
      <c r="G455" s="42" t="n"/>
      <c r="H455" s="20" t="n"/>
      <c r="I455" s="20" t="n"/>
      <c r="J455" s="20" t="n"/>
    </row>
    <row r="456" ht="16.5" customFormat="1" customHeight="1" s="12">
      <c r="A456" s="17" t="n">
        <v>451</v>
      </c>
      <c r="B456" s="25" t="n"/>
      <c r="C456" s="137" t="n"/>
      <c r="D456" s="41" t="n"/>
      <c r="E456" s="41" t="n"/>
      <c r="F456" s="41" t="n"/>
      <c r="G456" s="42" t="n"/>
      <c r="H456" s="20" t="n"/>
      <c r="I456" s="20" t="n"/>
      <c r="J456" s="20" t="n"/>
    </row>
    <row r="457" ht="16.5" customFormat="1" customHeight="1" s="12">
      <c r="A457" s="17" t="n">
        <v>452</v>
      </c>
      <c r="B457" s="25" t="n"/>
      <c r="C457" s="137" t="n"/>
      <c r="D457" s="41" t="n"/>
      <c r="E457" s="41" t="n"/>
      <c r="F457" s="41" t="n"/>
      <c r="G457" s="42" t="n"/>
      <c r="H457" s="20" t="n"/>
      <c r="I457" s="20" t="n"/>
      <c r="J457" s="20" t="n"/>
    </row>
    <row r="458" ht="16.5" customFormat="1" customHeight="1" s="12">
      <c r="A458" s="17" t="n">
        <v>453</v>
      </c>
      <c r="B458" s="25" t="n"/>
      <c r="C458" s="137" t="n"/>
      <c r="D458" s="41" t="n"/>
      <c r="E458" s="41" t="n"/>
      <c r="F458" s="41" t="n"/>
      <c r="G458" s="42" t="n"/>
      <c r="H458" s="20" t="n"/>
      <c r="I458" s="20" t="n"/>
      <c r="J458" s="20" t="n"/>
    </row>
    <row r="459" ht="16.5" customFormat="1" customHeight="1" s="12">
      <c r="A459" s="17" t="n">
        <v>454</v>
      </c>
      <c r="B459" s="25" t="n"/>
      <c r="C459" s="137" t="n"/>
      <c r="D459" s="41" t="n"/>
      <c r="E459" s="41" t="n"/>
      <c r="F459" s="41" t="n"/>
      <c r="G459" s="42" t="n"/>
      <c r="H459" s="20" t="n"/>
      <c r="I459" s="20" t="n"/>
      <c r="J459" s="20" t="n"/>
    </row>
    <row r="460" ht="16.5" customFormat="1" customHeight="1" s="12">
      <c r="A460" s="17" t="n">
        <v>455</v>
      </c>
      <c r="B460" s="25" t="n"/>
      <c r="C460" s="137" t="n"/>
      <c r="D460" s="41" t="n"/>
      <c r="E460" s="41" t="n"/>
      <c r="F460" s="41" t="n"/>
      <c r="G460" s="42" t="n"/>
      <c r="H460" s="20" t="n"/>
      <c r="I460" s="20" t="n"/>
      <c r="J460" s="20" t="n"/>
    </row>
    <row r="461" ht="16.5" customFormat="1" customHeight="1" s="12">
      <c r="A461" s="17" t="n">
        <v>456</v>
      </c>
      <c r="B461" s="25" t="n"/>
      <c r="C461" s="137" t="n"/>
      <c r="D461" s="41" t="n"/>
      <c r="E461" s="41" t="n"/>
      <c r="F461" s="41" t="n"/>
      <c r="G461" s="42" t="n"/>
      <c r="H461" s="20" t="n"/>
      <c r="I461" s="20" t="n"/>
      <c r="J461" s="20" t="n"/>
    </row>
    <row r="462" ht="16.5" customFormat="1" customHeight="1" s="12">
      <c r="A462" s="17" t="n">
        <v>457</v>
      </c>
      <c r="B462" s="25" t="n"/>
      <c r="C462" s="137" t="n"/>
      <c r="D462" s="41" t="n"/>
      <c r="E462" s="41" t="n"/>
      <c r="F462" s="41" t="n"/>
      <c r="G462" s="42" t="n"/>
      <c r="H462" s="20" t="n"/>
      <c r="I462" s="20" t="n"/>
      <c r="J462" s="20" t="n"/>
    </row>
    <row r="463" ht="16.5" customFormat="1" customHeight="1" s="12">
      <c r="A463" s="17" t="n">
        <v>458</v>
      </c>
      <c r="B463" s="25" t="n"/>
      <c r="C463" s="137" t="n"/>
      <c r="D463" s="41" t="n"/>
      <c r="E463" s="41" t="n"/>
      <c r="F463" s="41" t="n"/>
      <c r="G463" s="42" t="n"/>
      <c r="H463" s="20" t="n"/>
      <c r="I463" s="20" t="n"/>
      <c r="J463" s="20" t="n"/>
    </row>
    <row r="464" ht="16.5" customFormat="1" customHeight="1" s="12">
      <c r="A464" s="17" t="n">
        <v>459</v>
      </c>
      <c r="B464" s="25" t="n"/>
      <c r="C464" s="137" t="n"/>
      <c r="D464" s="41" t="n"/>
      <c r="E464" s="41" t="n"/>
      <c r="F464" s="41" t="n"/>
      <c r="G464" s="42" t="n"/>
      <c r="H464" s="20" t="n"/>
      <c r="I464" s="20" t="n"/>
      <c r="J464" s="20" t="n"/>
    </row>
    <row r="465" ht="16.5" customFormat="1" customHeight="1" s="12">
      <c r="A465" s="17" t="n">
        <v>460</v>
      </c>
      <c r="B465" s="25" t="n"/>
      <c r="C465" s="137" t="n"/>
      <c r="D465" s="41" t="n"/>
      <c r="E465" s="41" t="n"/>
      <c r="F465" s="41" t="n"/>
      <c r="G465" s="42" t="n"/>
      <c r="H465" s="20" t="n"/>
      <c r="I465" s="20" t="n"/>
      <c r="J465" s="20" t="n"/>
    </row>
    <row r="466" ht="16.5" customFormat="1" customHeight="1" s="12">
      <c r="A466" s="17" t="n">
        <v>461</v>
      </c>
      <c r="B466" s="25" t="n"/>
      <c r="C466" s="137" t="n"/>
      <c r="D466" s="41" t="n"/>
      <c r="E466" s="41" t="n"/>
      <c r="F466" s="41" t="n"/>
      <c r="G466" s="42" t="n"/>
      <c r="H466" s="20" t="n"/>
      <c r="I466" s="20" t="n"/>
      <c r="J466" s="20" t="n"/>
    </row>
    <row r="467" ht="16.5" customFormat="1" customHeight="1" s="12">
      <c r="A467" s="17" t="n">
        <v>462</v>
      </c>
      <c r="B467" s="25" t="n"/>
      <c r="C467" s="137" t="n"/>
      <c r="D467" s="41" t="n"/>
      <c r="E467" s="41" t="n"/>
      <c r="F467" s="41" t="n"/>
      <c r="G467" s="42" t="n"/>
      <c r="H467" s="20" t="n"/>
      <c r="I467" s="20" t="n"/>
      <c r="J467" s="20" t="n"/>
    </row>
    <row r="468" ht="16.5" customFormat="1" customHeight="1" s="12">
      <c r="A468" s="17" t="n">
        <v>463</v>
      </c>
      <c r="B468" s="25" t="n"/>
      <c r="C468" s="137" t="n"/>
      <c r="D468" s="41" t="n"/>
      <c r="E468" s="41" t="n"/>
      <c r="F468" s="41" t="n"/>
      <c r="G468" s="42" t="n"/>
      <c r="H468" s="20" t="n"/>
      <c r="I468" s="20" t="n"/>
      <c r="J468" s="20" t="n"/>
    </row>
    <row r="469" ht="16.5" customFormat="1" customHeight="1" s="12">
      <c r="A469" s="17" t="n">
        <v>464</v>
      </c>
      <c r="B469" s="25" t="n"/>
      <c r="C469" s="137" t="n"/>
      <c r="D469" s="41" t="n"/>
      <c r="E469" s="41" t="n"/>
      <c r="F469" s="41" t="n"/>
      <c r="G469" s="42" t="n"/>
      <c r="H469" s="20" t="n"/>
      <c r="I469" s="20" t="n"/>
      <c r="J469" s="20" t="n"/>
    </row>
    <row r="470" ht="16.5" customFormat="1" customHeight="1" s="12">
      <c r="A470" s="17" t="n">
        <v>465</v>
      </c>
      <c r="B470" s="25" t="n"/>
      <c r="C470" s="137" t="n"/>
      <c r="D470" s="41" t="n"/>
      <c r="E470" s="41" t="n"/>
      <c r="F470" s="41" t="n"/>
      <c r="G470" s="42" t="n"/>
      <c r="H470" s="20" t="n"/>
      <c r="I470" s="20" t="n"/>
      <c r="J470" s="20" t="n"/>
    </row>
    <row r="471" ht="16.5" customFormat="1" customHeight="1" s="12">
      <c r="A471" s="17" t="n">
        <v>466</v>
      </c>
      <c r="B471" s="25" t="n"/>
      <c r="C471" s="137" t="n"/>
      <c r="D471" s="41" t="n"/>
      <c r="E471" s="41" t="n"/>
      <c r="F471" s="41" t="n"/>
      <c r="G471" s="42" t="n"/>
      <c r="H471" s="20" t="n"/>
      <c r="I471" s="20" t="n"/>
      <c r="J471" s="20" t="n"/>
    </row>
    <row r="472" ht="16.5" customFormat="1" customHeight="1" s="12">
      <c r="A472" s="17" t="n">
        <v>467</v>
      </c>
      <c r="B472" s="25" t="n"/>
      <c r="C472" s="137" t="n"/>
      <c r="D472" s="41" t="n"/>
      <c r="E472" s="41" t="n"/>
      <c r="F472" s="41" t="n"/>
      <c r="G472" s="42" t="n"/>
      <c r="H472" s="20" t="n"/>
      <c r="I472" s="20" t="n"/>
      <c r="J472" s="20" t="n"/>
    </row>
    <row r="473" ht="16.5" customFormat="1" customHeight="1" s="12">
      <c r="A473" s="17" t="n">
        <v>468</v>
      </c>
      <c r="B473" s="25" t="n"/>
      <c r="C473" s="137" t="n"/>
      <c r="D473" s="41" t="n"/>
      <c r="E473" s="41" t="n"/>
      <c r="F473" s="41" t="n"/>
      <c r="G473" s="42" t="n"/>
      <c r="H473" s="20" t="n"/>
      <c r="I473" s="20" t="n"/>
      <c r="J473" s="20" t="n"/>
    </row>
    <row r="474" ht="16.5" customFormat="1" customHeight="1" s="12">
      <c r="A474" s="17" t="n">
        <v>469</v>
      </c>
      <c r="B474" s="25" t="n"/>
      <c r="C474" s="137" t="n"/>
      <c r="D474" s="41" t="n"/>
      <c r="E474" s="41" t="n"/>
      <c r="F474" s="41" t="n"/>
      <c r="G474" s="42" t="n"/>
      <c r="H474" s="20" t="n"/>
      <c r="I474" s="20" t="n"/>
      <c r="J474" s="20" t="n"/>
    </row>
    <row r="475" ht="16.5" customFormat="1" customHeight="1" s="12">
      <c r="A475" s="17" t="n">
        <v>470</v>
      </c>
      <c r="B475" s="25" t="n"/>
      <c r="C475" s="137" t="n"/>
      <c r="D475" s="41" t="n"/>
      <c r="E475" s="41" t="n"/>
      <c r="F475" s="41" t="n"/>
      <c r="G475" s="42" t="n"/>
      <c r="H475" s="20" t="n"/>
      <c r="I475" s="20" t="n"/>
      <c r="J475" s="20" t="n"/>
    </row>
    <row r="476" ht="16.5" customFormat="1" customHeight="1" s="12">
      <c r="A476" s="17" t="n">
        <v>471</v>
      </c>
      <c r="B476" s="25" t="n"/>
      <c r="C476" s="137" t="n"/>
      <c r="D476" s="41" t="n"/>
      <c r="E476" s="41" t="n"/>
      <c r="F476" s="41" t="n"/>
      <c r="G476" s="42" t="n"/>
      <c r="H476" s="20" t="n"/>
      <c r="I476" s="20" t="n"/>
      <c r="J476" s="20" t="n"/>
    </row>
    <row r="477" ht="16.5" customFormat="1" customHeight="1" s="12">
      <c r="A477" s="17" t="n">
        <v>472</v>
      </c>
      <c r="B477" s="25" t="n"/>
      <c r="C477" s="137" t="n"/>
      <c r="D477" s="41" t="n"/>
      <c r="E477" s="41" t="n"/>
      <c r="F477" s="41" t="n"/>
      <c r="G477" s="42" t="n"/>
      <c r="H477" s="20" t="n"/>
      <c r="I477" s="20" t="n"/>
      <c r="J477" s="20" t="n"/>
    </row>
    <row r="478" ht="16.5" customFormat="1" customHeight="1" s="12">
      <c r="A478" s="17" t="n">
        <v>473</v>
      </c>
      <c r="B478" s="25" t="n"/>
      <c r="C478" s="137" t="n"/>
      <c r="D478" s="41" t="n"/>
      <c r="E478" s="41" t="n"/>
      <c r="F478" s="41" t="n"/>
      <c r="G478" s="42" t="n"/>
      <c r="H478" s="20" t="n"/>
      <c r="I478" s="20" t="n"/>
      <c r="J478" s="20" t="n"/>
    </row>
    <row r="479" ht="16.5" customFormat="1" customHeight="1" s="12">
      <c r="A479" s="17" t="n">
        <v>474</v>
      </c>
      <c r="B479" s="25" t="n"/>
      <c r="C479" s="137" t="n"/>
      <c r="D479" s="41" t="n"/>
      <c r="E479" s="41" t="n"/>
      <c r="F479" s="41" t="n"/>
      <c r="G479" s="42" t="n"/>
      <c r="H479" s="20" t="n"/>
      <c r="I479" s="20" t="n"/>
      <c r="J479" s="20" t="n"/>
    </row>
    <row r="480" ht="16.5" customFormat="1" customHeight="1" s="12">
      <c r="A480" s="17" t="n">
        <v>475</v>
      </c>
      <c r="B480" s="25" t="n"/>
      <c r="C480" s="137" t="n"/>
      <c r="D480" s="41" t="n"/>
      <c r="E480" s="41" t="n"/>
      <c r="F480" s="41" t="n"/>
      <c r="G480" s="42" t="n"/>
      <c r="H480" s="20" t="n"/>
      <c r="I480" s="20" t="n"/>
      <c r="J480" s="20" t="n"/>
    </row>
    <row r="481" ht="16.5" customFormat="1" customHeight="1" s="12">
      <c r="A481" s="17" t="n">
        <v>476</v>
      </c>
      <c r="B481" s="25" t="n"/>
      <c r="C481" s="137" t="n"/>
      <c r="D481" s="41" t="n"/>
      <c r="E481" s="41" t="n"/>
      <c r="F481" s="41" t="n"/>
      <c r="G481" s="42" t="n"/>
      <c r="H481" s="20" t="n"/>
      <c r="I481" s="20" t="n"/>
      <c r="J481" s="20" t="n"/>
    </row>
    <row r="482" ht="16.5" customFormat="1" customHeight="1" s="12">
      <c r="A482" s="17" t="n">
        <v>477</v>
      </c>
      <c r="B482" s="25" t="n"/>
      <c r="C482" s="137" t="n"/>
      <c r="D482" s="41" t="n"/>
      <c r="E482" s="41" t="n"/>
      <c r="F482" s="41" t="n"/>
      <c r="G482" s="42" t="n"/>
      <c r="H482" s="20" t="n"/>
      <c r="I482" s="20" t="n"/>
      <c r="J482" s="20" t="n"/>
    </row>
    <row r="483" ht="16.5" customFormat="1" customHeight="1" s="12">
      <c r="A483" s="17" t="n">
        <v>478</v>
      </c>
      <c r="B483" s="25" t="n"/>
      <c r="C483" s="137" t="n"/>
      <c r="D483" s="41" t="n"/>
      <c r="E483" s="41" t="n"/>
      <c r="F483" s="41" t="n"/>
      <c r="G483" s="42" t="n"/>
      <c r="H483" s="20" t="n"/>
      <c r="I483" s="20" t="n"/>
      <c r="J483" s="20" t="n"/>
    </row>
    <row r="484" ht="16.5" customFormat="1" customHeight="1" s="12">
      <c r="A484" s="17" t="n">
        <v>479</v>
      </c>
      <c r="B484" s="25" t="n"/>
      <c r="C484" s="137" t="n"/>
      <c r="D484" s="41" t="n"/>
      <c r="E484" s="41" t="n"/>
      <c r="F484" s="41" t="n"/>
      <c r="G484" s="42" t="n"/>
      <c r="H484" s="20" t="n"/>
      <c r="I484" s="20" t="n"/>
      <c r="J484" s="20" t="n"/>
    </row>
    <row r="485" ht="16.5" customFormat="1" customHeight="1" s="12">
      <c r="A485" s="17" t="n">
        <v>480</v>
      </c>
      <c r="B485" s="25" t="n"/>
      <c r="C485" s="137" t="n"/>
      <c r="D485" s="41" t="n"/>
      <c r="E485" s="41" t="n"/>
      <c r="F485" s="41" t="n"/>
      <c r="G485" s="42" t="n"/>
      <c r="H485" s="20" t="n"/>
      <c r="I485" s="20" t="n"/>
      <c r="J485" s="20" t="n"/>
    </row>
    <row r="486" ht="16.5" customFormat="1" customHeight="1" s="12">
      <c r="A486" s="17" t="n">
        <v>481</v>
      </c>
      <c r="B486" s="25" t="n"/>
      <c r="C486" s="137" t="n"/>
      <c r="D486" s="41" t="n"/>
      <c r="E486" s="41" t="n"/>
      <c r="F486" s="41" t="n"/>
      <c r="G486" s="42" t="n"/>
      <c r="H486" s="20" t="n"/>
      <c r="I486" s="20" t="n"/>
      <c r="J486" s="20" t="n"/>
    </row>
    <row r="487" ht="16.5" customFormat="1" customHeight="1" s="12">
      <c r="A487" s="17" t="n">
        <v>482</v>
      </c>
      <c r="B487" s="25" t="n"/>
      <c r="C487" s="137" t="n"/>
      <c r="D487" s="41" t="n"/>
      <c r="E487" s="41" t="n"/>
      <c r="F487" s="41" t="n"/>
      <c r="G487" s="42" t="n"/>
      <c r="H487" s="20" t="n"/>
      <c r="I487" s="20" t="n"/>
      <c r="J487" s="20" t="n"/>
    </row>
    <row r="488" ht="16.5" customFormat="1" customHeight="1" s="12">
      <c r="A488" s="17" t="n">
        <v>483</v>
      </c>
      <c r="B488" s="25" t="n"/>
      <c r="C488" s="137" t="n"/>
      <c r="D488" s="41" t="n"/>
      <c r="E488" s="41" t="n"/>
      <c r="F488" s="41" t="n"/>
      <c r="G488" s="42" t="n"/>
      <c r="H488" s="20" t="n"/>
      <c r="I488" s="20" t="n"/>
      <c r="J488" s="20" t="n"/>
    </row>
    <row r="489" ht="16.5" customFormat="1" customHeight="1" s="12">
      <c r="A489" s="17" t="n">
        <v>484</v>
      </c>
      <c r="B489" s="25" t="n"/>
      <c r="C489" s="137" t="n"/>
      <c r="D489" s="41" t="n"/>
      <c r="E489" s="41" t="n"/>
      <c r="F489" s="41" t="n"/>
      <c r="G489" s="42" t="n"/>
      <c r="H489" s="20" t="n"/>
      <c r="I489" s="20" t="n"/>
      <c r="J489" s="20" t="n"/>
    </row>
    <row r="490" ht="16.5" customFormat="1" customHeight="1" s="12">
      <c r="A490" s="17" t="n">
        <v>485</v>
      </c>
      <c r="B490" s="25" t="n"/>
      <c r="C490" s="137" t="n"/>
      <c r="D490" s="41" t="n"/>
      <c r="E490" s="41" t="n"/>
      <c r="F490" s="41" t="n"/>
      <c r="G490" s="42" t="n"/>
      <c r="H490" s="20" t="n"/>
      <c r="I490" s="20" t="n"/>
      <c r="J490" s="20" t="n"/>
    </row>
    <row r="491" ht="16.5" customFormat="1" customHeight="1" s="12">
      <c r="A491" s="17" t="n">
        <v>486</v>
      </c>
      <c r="B491" s="25" t="n"/>
      <c r="C491" s="137" t="n"/>
      <c r="D491" s="41" t="n"/>
      <c r="E491" s="41" t="n"/>
      <c r="F491" s="41" t="n"/>
      <c r="G491" s="42" t="n"/>
      <c r="H491" s="20" t="n"/>
      <c r="I491" s="20" t="n"/>
      <c r="J491" s="20" t="n"/>
    </row>
    <row r="492" ht="16.5" customFormat="1" customHeight="1" s="12">
      <c r="A492" s="17" t="n">
        <v>487</v>
      </c>
      <c r="B492" s="25" t="n"/>
      <c r="C492" s="137" t="n"/>
      <c r="D492" s="41" t="n"/>
      <c r="E492" s="41" t="n"/>
      <c r="F492" s="41" t="n"/>
      <c r="G492" s="42" t="n"/>
      <c r="H492" s="20" t="n"/>
      <c r="I492" s="20" t="n"/>
      <c r="J492" s="20" t="n"/>
    </row>
    <row r="493" ht="16.5" customFormat="1" customHeight="1" s="12">
      <c r="A493" s="17" t="n">
        <v>488</v>
      </c>
      <c r="B493" s="25" t="n"/>
      <c r="C493" s="137" t="n"/>
      <c r="D493" s="41" t="n"/>
      <c r="E493" s="41" t="n"/>
      <c r="F493" s="41" t="n"/>
      <c r="G493" s="42" t="n"/>
      <c r="H493" s="20" t="n"/>
      <c r="I493" s="20" t="n"/>
      <c r="J493" s="20" t="n"/>
    </row>
    <row r="494" ht="16.5" customFormat="1" customHeight="1" s="12">
      <c r="A494" s="17" t="n">
        <v>489</v>
      </c>
      <c r="B494" s="25" t="n"/>
      <c r="C494" s="137" t="n"/>
      <c r="D494" s="41" t="n"/>
      <c r="E494" s="41" t="n"/>
      <c r="F494" s="41" t="n"/>
      <c r="G494" s="42" t="n"/>
      <c r="H494" s="20" t="n"/>
      <c r="I494" s="20" t="n"/>
      <c r="J494" s="20" t="n"/>
    </row>
    <row r="495" ht="16.5" customFormat="1" customHeight="1" s="12">
      <c r="A495" s="17" t="n">
        <v>490</v>
      </c>
      <c r="B495" s="25" t="n"/>
      <c r="C495" s="137" t="n"/>
      <c r="D495" s="41" t="n"/>
      <c r="E495" s="41" t="n"/>
      <c r="F495" s="41" t="n"/>
      <c r="G495" s="42" t="n"/>
      <c r="H495" s="20" t="n"/>
      <c r="I495" s="20" t="n"/>
      <c r="J495" s="20" t="n"/>
    </row>
    <row r="496" ht="16.5" customFormat="1" customHeight="1" s="12">
      <c r="A496" s="17" t="n">
        <v>491</v>
      </c>
      <c r="B496" s="25" t="n"/>
      <c r="C496" s="137" t="n"/>
      <c r="D496" s="41" t="n"/>
      <c r="E496" s="41" t="n"/>
      <c r="F496" s="41" t="n"/>
      <c r="G496" s="42" t="n"/>
      <c r="H496" s="20" t="n"/>
      <c r="I496" s="20" t="n"/>
      <c r="J496" s="20" t="n"/>
    </row>
    <row r="497" ht="16.5" customFormat="1" customHeight="1" s="12">
      <c r="A497" s="17" t="n">
        <v>492</v>
      </c>
      <c r="B497" s="25" t="n"/>
      <c r="C497" s="137" t="n"/>
      <c r="D497" s="41" t="n"/>
      <c r="E497" s="41" t="n"/>
      <c r="F497" s="41" t="n"/>
      <c r="G497" s="42" t="n"/>
      <c r="H497" s="20" t="n"/>
      <c r="I497" s="20" t="n"/>
      <c r="J497" s="20" t="n"/>
    </row>
    <row r="498" ht="16.5" customFormat="1" customHeight="1" s="12">
      <c r="A498" s="17" t="n">
        <v>493</v>
      </c>
      <c r="B498" s="25" t="n"/>
      <c r="C498" s="137" t="n"/>
      <c r="D498" s="41" t="n"/>
      <c r="E498" s="41" t="n"/>
      <c r="F498" s="41" t="n"/>
      <c r="G498" s="42" t="n"/>
      <c r="H498" s="20" t="n"/>
      <c r="I498" s="20" t="n"/>
      <c r="J498" s="20" t="n"/>
    </row>
    <row r="499" ht="16.5" customFormat="1" customHeight="1" s="12">
      <c r="A499" s="17" t="n">
        <v>494</v>
      </c>
      <c r="B499" s="25" t="n"/>
      <c r="C499" s="137" t="n"/>
      <c r="D499" s="41" t="n"/>
      <c r="E499" s="41" t="n"/>
      <c r="F499" s="41" t="n"/>
      <c r="G499" s="42" t="n"/>
      <c r="H499" s="20" t="n"/>
      <c r="I499" s="20" t="n"/>
      <c r="J499" s="20" t="n"/>
    </row>
    <row r="500" ht="16.5" customFormat="1" customHeight="1" s="12">
      <c r="A500" s="17" t="n">
        <v>495</v>
      </c>
      <c r="B500" s="25" t="n"/>
      <c r="C500" s="137" t="n"/>
      <c r="D500" s="41" t="n"/>
      <c r="E500" s="41" t="n"/>
      <c r="F500" s="41" t="n"/>
      <c r="G500" s="42" t="n"/>
      <c r="H500" s="20" t="n"/>
      <c r="I500" s="20" t="n"/>
      <c r="J500" s="20" t="n"/>
    </row>
    <row r="501" ht="16.5" customFormat="1" customHeight="1" s="12">
      <c r="A501" s="17" t="n">
        <v>496</v>
      </c>
      <c r="B501" s="25" t="n"/>
      <c r="C501" s="137" t="n"/>
      <c r="D501" s="41" t="n"/>
      <c r="E501" s="41" t="n"/>
      <c r="F501" s="41" t="n"/>
      <c r="G501" s="42" t="n"/>
      <c r="H501" s="20" t="n"/>
      <c r="I501" s="20" t="n"/>
      <c r="J501" s="20" t="n"/>
    </row>
    <row r="502" ht="16.5" customFormat="1" customHeight="1" s="12">
      <c r="A502" s="17" t="n">
        <v>497</v>
      </c>
      <c r="B502" s="25" t="n"/>
      <c r="C502" s="137" t="n"/>
      <c r="D502" s="41" t="n"/>
      <c r="E502" s="41" t="n"/>
      <c r="F502" s="41" t="n"/>
      <c r="G502" s="42" t="n"/>
      <c r="H502" s="20" t="n"/>
      <c r="I502" s="20" t="n"/>
      <c r="J502" s="20" t="n"/>
    </row>
    <row r="503" ht="16.5" customFormat="1" customHeight="1" s="12">
      <c r="A503" s="17" t="n">
        <v>498</v>
      </c>
      <c r="B503" s="25" t="n"/>
      <c r="C503" s="137" t="n"/>
      <c r="D503" s="41" t="n"/>
      <c r="E503" s="41" t="n"/>
      <c r="F503" s="41" t="n"/>
      <c r="G503" s="42" t="n"/>
      <c r="H503" s="20" t="n"/>
      <c r="I503" s="20" t="n"/>
      <c r="J503" s="20" t="n"/>
    </row>
    <row r="504" ht="16.5" customFormat="1" customHeight="1" s="12">
      <c r="A504" s="17" t="n">
        <v>499</v>
      </c>
      <c r="B504" s="25" t="n"/>
      <c r="C504" s="137" t="n"/>
      <c r="D504" s="41" t="n"/>
      <c r="E504" s="41" t="n"/>
      <c r="F504" s="41" t="n"/>
      <c r="G504" s="42" t="n"/>
      <c r="H504" s="20" t="n"/>
      <c r="I504" s="20" t="n"/>
      <c r="J504" s="20" t="n"/>
    </row>
    <row r="505" ht="16.5" customFormat="1" customHeight="1" s="12">
      <c r="A505" s="17" t="n">
        <v>500</v>
      </c>
      <c r="B505" s="25" t="n"/>
      <c r="C505" s="137" t="n"/>
      <c r="D505" s="41" t="n"/>
      <c r="E505" s="41" t="n"/>
      <c r="F505" s="41" t="n"/>
      <c r="G505" s="42" t="n"/>
      <c r="H505" s="20" t="n"/>
      <c r="I505" s="20" t="n"/>
      <c r="J505" s="20" t="n"/>
    </row>
    <row r="506" ht="16.5" customFormat="1" customHeight="1" s="12">
      <c r="A506" s="11" t="n"/>
      <c r="B506" s="11" t="n"/>
      <c r="C506" s="23" t="n"/>
      <c r="D506" s="11" t="n"/>
      <c r="E506" s="11" t="n"/>
      <c r="F506" s="11" t="n"/>
      <c r="G506" s="1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517">
    <mergeCell ref="F408:G408"/>
    <mergeCell ref="F237:G237"/>
    <mergeCell ref="F473:G473"/>
    <mergeCell ref="F116:G116"/>
    <mergeCell ref="F16:G16"/>
    <mergeCell ref="F187:G187"/>
    <mergeCell ref="F485:G485"/>
    <mergeCell ref="F103:G103"/>
    <mergeCell ref="F423:G423"/>
    <mergeCell ref="F174:G174"/>
    <mergeCell ref="F108:G108"/>
    <mergeCell ref="F472:G472"/>
    <mergeCell ref="F339:G339"/>
    <mergeCell ref="F410:G410"/>
    <mergeCell ref="F466:G466"/>
    <mergeCell ref="F168:G168"/>
    <mergeCell ref="F143:G143"/>
    <mergeCell ref="F118:G118"/>
    <mergeCell ref="F403:G403"/>
    <mergeCell ref="F497:G497"/>
    <mergeCell ref="F326:G326"/>
    <mergeCell ref="F70:G70"/>
    <mergeCell ref="F263:G263"/>
    <mergeCell ref="F355:G355"/>
    <mergeCell ref="F134:G134"/>
    <mergeCell ref="F23:G23"/>
    <mergeCell ref="F121:G121"/>
    <mergeCell ref="F357:G357"/>
    <mergeCell ref="F96:G96"/>
    <mergeCell ref="F71:G71"/>
    <mergeCell ref="F332:G332"/>
    <mergeCell ref="F421:G421"/>
    <mergeCell ref="F98:G98"/>
    <mergeCell ref="F396:G396"/>
    <mergeCell ref="F175:G175"/>
    <mergeCell ref="F162:G162"/>
    <mergeCell ref="F398:G398"/>
    <mergeCell ref="F251:G251"/>
    <mergeCell ref="F322:G322"/>
    <mergeCell ref="F189:G189"/>
    <mergeCell ref="F18:G18"/>
    <mergeCell ref="F487:G487"/>
    <mergeCell ref="F238:G238"/>
    <mergeCell ref="F42:G42"/>
    <mergeCell ref="F45:G45"/>
    <mergeCell ref="F474:G474"/>
    <mergeCell ref="F66:G66"/>
    <mergeCell ref="F17:G17"/>
    <mergeCell ref="F126:G126"/>
    <mergeCell ref="F188:G188"/>
    <mergeCell ref="F253:G253"/>
    <mergeCell ref="F109:G109"/>
    <mergeCell ref="F351:G351"/>
    <mergeCell ref="F47:G47"/>
    <mergeCell ref="F411:G411"/>
    <mergeCell ref="F345:G345"/>
    <mergeCell ref="F240:G240"/>
    <mergeCell ref="F190:G190"/>
    <mergeCell ref="F46:G46"/>
    <mergeCell ref="F488:G488"/>
    <mergeCell ref="F317:G317"/>
    <mergeCell ref="F111:G111"/>
    <mergeCell ref="F409:G409"/>
    <mergeCell ref="F61:G61"/>
    <mergeCell ref="F48:G48"/>
    <mergeCell ref="F346:G346"/>
    <mergeCell ref="F477:G477"/>
    <mergeCell ref="F73:G73"/>
    <mergeCell ref="F266:G266"/>
    <mergeCell ref="F371:G371"/>
    <mergeCell ref="F442:G442"/>
    <mergeCell ref="F502:G502"/>
    <mergeCell ref="B6:E6"/>
    <mergeCell ref="F137:G137"/>
    <mergeCell ref="F379:G379"/>
    <mergeCell ref="F208:G208"/>
    <mergeCell ref="F124:G124"/>
    <mergeCell ref="F422:G422"/>
    <mergeCell ref="F493:G493"/>
    <mergeCell ref="F360:G360"/>
    <mergeCell ref="F201:G201"/>
    <mergeCell ref="F335:G335"/>
    <mergeCell ref="F164:G164"/>
    <mergeCell ref="F406:G406"/>
    <mergeCell ref="F139:G139"/>
    <mergeCell ref="F114:G114"/>
    <mergeCell ref="F424:G424"/>
    <mergeCell ref="F399:G399"/>
    <mergeCell ref="F228:G228"/>
    <mergeCell ref="F470:G470"/>
    <mergeCell ref="F203:G203"/>
    <mergeCell ref="F259:G259"/>
    <mergeCell ref="F495:G495"/>
    <mergeCell ref="F261:G261"/>
    <mergeCell ref="F117:G117"/>
    <mergeCell ref="F92:G92"/>
    <mergeCell ref="F353:G353"/>
    <mergeCell ref="F254:G254"/>
    <mergeCell ref="F496:G496"/>
    <mergeCell ref="F490:G490"/>
    <mergeCell ref="F290:G290"/>
    <mergeCell ref="F119:G119"/>
    <mergeCell ref="F417:G417"/>
    <mergeCell ref="F69:G69"/>
    <mergeCell ref="F367:G367"/>
    <mergeCell ref="F427:G427"/>
    <mergeCell ref="F256:G256"/>
    <mergeCell ref="F498:G498"/>
    <mergeCell ref="F112:G112"/>
    <mergeCell ref="F354:G354"/>
    <mergeCell ref="F183:G183"/>
    <mergeCell ref="F348:G348"/>
    <mergeCell ref="F419:G419"/>
    <mergeCell ref="F193:G193"/>
    <mergeCell ref="F127:G127"/>
    <mergeCell ref="F285:G285"/>
    <mergeCell ref="A3:A4"/>
    <mergeCell ref="F51:G51"/>
    <mergeCell ref="F145:G145"/>
    <mergeCell ref="F443:G443"/>
    <mergeCell ref="F272:G272"/>
    <mergeCell ref="I5:I6"/>
    <mergeCell ref="F380:G380"/>
    <mergeCell ref="F209:G209"/>
    <mergeCell ref="F38:G38"/>
    <mergeCell ref="F274:G274"/>
    <mergeCell ref="F445:G445"/>
    <mergeCell ref="F432:G432"/>
    <mergeCell ref="F140:G140"/>
    <mergeCell ref="F382:G382"/>
    <mergeCell ref="F211:G211"/>
    <mergeCell ref="F67:G67"/>
    <mergeCell ref="F338:G338"/>
    <mergeCell ref="F186:G186"/>
    <mergeCell ref="F82:G82"/>
    <mergeCell ref="F440:G440"/>
    <mergeCell ref="F269:G269"/>
    <mergeCell ref="F486:G486"/>
    <mergeCell ref="F206:G206"/>
    <mergeCell ref="F29:G29"/>
    <mergeCell ref="F300:G300"/>
    <mergeCell ref="F344:G344"/>
    <mergeCell ref="F329:G329"/>
    <mergeCell ref="F158:G158"/>
    <mergeCell ref="F133:G133"/>
    <mergeCell ref="F369:G369"/>
    <mergeCell ref="F418:G418"/>
    <mergeCell ref="F356:G356"/>
    <mergeCell ref="F160:G160"/>
    <mergeCell ref="F135:G135"/>
    <mergeCell ref="F433:G433"/>
    <mergeCell ref="F122:G122"/>
    <mergeCell ref="F153:G153"/>
    <mergeCell ref="F420:G420"/>
    <mergeCell ref="F224:G224"/>
    <mergeCell ref="F491:G491"/>
    <mergeCell ref="F72:G72"/>
    <mergeCell ref="F370:G370"/>
    <mergeCell ref="F199:G199"/>
    <mergeCell ref="F435:G435"/>
    <mergeCell ref="F484:G484"/>
    <mergeCell ref="F293:G293"/>
    <mergeCell ref="F88:G88"/>
    <mergeCell ref="F359:G359"/>
    <mergeCell ref="F148:G148"/>
    <mergeCell ref="F446:G446"/>
    <mergeCell ref="F275:G275"/>
    <mergeCell ref="F54:G54"/>
    <mergeCell ref="B3:B4"/>
    <mergeCell ref="F19:G19"/>
    <mergeCell ref="F212:G212"/>
    <mergeCell ref="F146:G146"/>
    <mergeCell ref="F388:G388"/>
    <mergeCell ref="F6:G6"/>
    <mergeCell ref="F448:G448"/>
    <mergeCell ref="F277:G277"/>
    <mergeCell ref="F304:G304"/>
    <mergeCell ref="F375:G375"/>
    <mergeCell ref="F83:G83"/>
    <mergeCell ref="F276:G276"/>
    <mergeCell ref="F214:G214"/>
    <mergeCell ref="F319:G319"/>
    <mergeCell ref="F368:G368"/>
    <mergeCell ref="F306:G306"/>
    <mergeCell ref="F20:G20"/>
    <mergeCell ref="F85:G85"/>
    <mergeCell ref="F383:G383"/>
    <mergeCell ref="F464:G464"/>
    <mergeCell ref="F303:G303"/>
    <mergeCell ref="F401:G401"/>
    <mergeCell ref="F230:G230"/>
    <mergeCell ref="F9:G9"/>
    <mergeCell ref="F167:G167"/>
    <mergeCell ref="F161:G161"/>
    <mergeCell ref="F288:G288"/>
    <mergeCell ref="F459:G459"/>
    <mergeCell ref="F136:G136"/>
    <mergeCell ref="F207:G207"/>
    <mergeCell ref="F225:G225"/>
    <mergeCell ref="F461:G461"/>
    <mergeCell ref="F271:G271"/>
    <mergeCell ref="F436:G436"/>
    <mergeCell ref="F227:G227"/>
    <mergeCell ref="F202:G202"/>
    <mergeCell ref="F283:G283"/>
    <mergeCell ref="F298:G298"/>
    <mergeCell ref="F154:G154"/>
    <mergeCell ref="F325:G325"/>
    <mergeCell ref="F390:G390"/>
    <mergeCell ref="F414:G414"/>
    <mergeCell ref="F291:G291"/>
    <mergeCell ref="F91:G91"/>
    <mergeCell ref="F389:G389"/>
    <mergeCell ref="F327:G327"/>
    <mergeCell ref="F156:G156"/>
    <mergeCell ref="F454:G454"/>
    <mergeCell ref="F180:G180"/>
    <mergeCell ref="H3:H4"/>
    <mergeCell ref="F416:G416"/>
    <mergeCell ref="J3:J4"/>
    <mergeCell ref="F22:G22"/>
    <mergeCell ref="F155:G155"/>
    <mergeCell ref="F264:G264"/>
    <mergeCell ref="F93:G93"/>
    <mergeCell ref="F149:G149"/>
    <mergeCell ref="F220:G220"/>
    <mergeCell ref="F391:G391"/>
    <mergeCell ref="F385:G385"/>
    <mergeCell ref="H5:H6"/>
    <mergeCell ref="J5:J6"/>
    <mergeCell ref="F151:G151"/>
    <mergeCell ref="F222:G222"/>
    <mergeCell ref="C1:E1"/>
    <mergeCell ref="F182:G182"/>
    <mergeCell ref="F11:G11"/>
    <mergeCell ref="F467:G467"/>
    <mergeCell ref="F296:G296"/>
    <mergeCell ref="F246:G246"/>
    <mergeCell ref="F40:G40"/>
    <mergeCell ref="F233:G233"/>
    <mergeCell ref="F469:G469"/>
    <mergeCell ref="F12:G12"/>
    <mergeCell ref="F177:G177"/>
    <mergeCell ref="F444:G444"/>
    <mergeCell ref="F248:G248"/>
    <mergeCell ref="F104:G104"/>
    <mergeCell ref="F297:G297"/>
    <mergeCell ref="F235:G235"/>
    <mergeCell ref="F462:G462"/>
    <mergeCell ref="F340:G340"/>
    <mergeCell ref="F41:G41"/>
    <mergeCell ref="F35:G35"/>
    <mergeCell ref="F302:G302"/>
    <mergeCell ref="F106:G106"/>
    <mergeCell ref="F404:G404"/>
    <mergeCell ref="F243:G243"/>
    <mergeCell ref="F366:G366"/>
    <mergeCell ref="F130:G130"/>
    <mergeCell ref="F480:G480"/>
    <mergeCell ref="F157:G157"/>
    <mergeCell ref="F132:G132"/>
    <mergeCell ref="F328:G328"/>
    <mergeCell ref="F455:G455"/>
    <mergeCell ref="F430:G430"/>
    <mergeCell ref="F234:G234"/>
    <mergeCell ref="F172:G172"/>
    <mergeCell ref="F221:G221"/>
    <mergeCell ref="F196:G196"/>
    <mergeCell ref="F463:G463"/>
    <mergeCell ref="F392:G392"/>
    <mergeCell ref="F25:G25"/>
    <mergeCell ref="F457:G457"/>
    <mergeCell ref="F236:G236"/>
    <mergeCell ref="F394:G394"/>
    <mergeCell ref="F223:G223"/>
    <mergeCell ref="F173:G173"/>
    <mergeCell ref="I3:I4"/>
    <mergeCell ref="F458:G458"/>
    <mergeCell ref="F287:G287"/>
    <mergeCell ref="F247:G247"/>
    <mergeCell ref="F125:G125"/>
    <mergeCell ref="F318:G318"/>
    <mergeCell ref="F185:G185"/>
    <mergeCell ref="F483:G483"/>
    <mergeCell ref="F312:G312"/>
    <mergeCell ref="F13:G13"/>
    <mergeCell ref="F56:G56"/>
    <mergeCell ref="F249:G249"/>
    <mergeCell ref="F105:G105"/>
    <mergeCell ref="F347:G347"/>
    <mergeCell ref="F176:G176"/>
    <mergeCell ref="F43:G43"/>
    <mergeCell ref="F341:G341"/>
    <mergeCell ref="F170:G170"/>
    <mergeCell ref="F412:G412"/>
    <mergeCell ref="F468:G468"/>
    <mergeCell ref="F120:G120"/>
    <mergeCell ref="F313:G313"/>
    <mergeCell ref="F278:G278"/>
    <mergeCell ref="F107:G107"/>
    <mergeCell ref="F349:G349"/>
    <mergeCell ref="F405:G405"/>
    <mergeCell ref="F57:G57"/>
    <mergeCell ref="F171:G171"/>
    <mergeCell ref="F407:G407"/>
    <mergeCell ref="F438:G438"/>
    <mergeCell ref="F267:G267"/>
    <mergeCell ref="F204:G204"/>
    <mergeCell ref="F33:G33"/>
    <mergeCell ref="D3:D4"/>
    <mergeCell ref="F198:G198"/>
    <mergeCell ref="F465:G465"/>
    <mergeCell ref="F489:G489"/>
    <mergeCell ref="F75:G75"/>
    <mergeCell ref="F231:G231"/>
    <mergeCell ref="F262:G262"/>
    <mergeCell ref="F62:G62"/>
    <mergeCell ref="F31:G31"/>
    <mergeCell ref="F273:G273"/>
    <mergeCell ref="F28:G28"/>
    <mergeCell ref="F239:G239"/>
    <mergeCell ref="F39:G39"/>
    <mergeCell ref="F337:G337"/>
    <mergeCell ref="F64:G64"/>
    <mergeCell ref="F257:G257"/>
    <mergeCell ref="F178:G178"/>
    <mergeCell ref="F476:G476"/>
    <mergeCell ref="F128:G128"/>
    <mergeCell ref="F426:G426"/>
    <mergeCell ref="F364:G364"/>
    <mergeCell ref="F413:G413"/>
    <mergeCell ref="F217:G217"/>
    <mergeCell ref="F478:G478"/>
    <mergeCell ref="F192:G192"/>
    <mergeCell ref="F21:G21"/>
    <mergeCell ref="F252:G252"/>
    <mergeCell ref="F428:G428"/>
    <mergeCell ref="F415:G415"/>
    <mergeCell ref="F194:G194"/>
    <mergeCell ref="F50:G50"/>
    <mergeCell ref="F492:G492"/>
    <mergeCell ref="F110:G110"/>
    <mergeCell ref="F181:G181"/>
    <mergeCell ref="F479:G479"/>
    <mergeCell ref="F141:G141"/>
    <mergeCell ref="F439:G439"/>
    <mergeCell ref="F504:G504"/>
    <mergeCell ref="F333:G333"/>
    <mergeCell ref="H1:J1"/>
    <mergeCell ref="F441:G441"/>
    <mergeCell ref="F270:G270"/>
    <mergeCell ref="F362:G362"/>
    <mergeCell ref="F245:G245"/>
    <mergeCell ref="F49:G49"/>
    <mergeCell ref="F14:G14"/>
    <mergeCell ref="F505:G505"/>
    <mergeCell ref="F1:G1"/>
    <mergeCell ref="F499:G499"/>
    <mergeCell ref="F299:G299"/>
    <mergeCell ref="F78:G78"/>
    <mergeCell ref="F205:G205"/>
    <mergeCell ref="F376:G376"/>
    <mergeCell ref="F314:G314"/>
    <mergeCell ref="F265:G265"/>
    <mergeCell ref="F65:G65"/>
    <mergeCell ref="F363:G363"/>
    <mergeCell ref="F55:G55"/>
    <mergeCell ref="F365:G365"/>
    <mergeCell ref="F169:G169"/>
    <mergeCell ref="F129:G129"/>
    <mergeCell ref="F200:G200"/>
    <mergeCell ref="F131:G131"/>
    <mergeCell ref="F429:G429"/>
    <mergeCell ref="F258:G258"/>
    <mergeCell ref="F500:G500"/>
    <mergeCell ref="F58:G58"/>
    <mergeCell ref="F52:G52"/>
    <mergeCell ref="F494:G494"/>
    <mergeCell ref="F294:G294"/>
    <mergeCell ref="F350:G350"/>
    <mergeCell ref="F37:G37"/>
    <mergeCell ref="F481:G481"/>
    <mergeCell ref="F195:G195"/>
    <mergeCell ref="F431:G431"/>
    <mergeCell ref="F260:G260"/>
    <mergeCell ref="F60:G60"/>
    <mergeCell ref="F358:G358"/>
    <mergeCell ref="F352:G352"/>
    <mergeCell ref="F197:G197"/>
    <mergeCell ref="F53:G53"/>
    <mergeCell ref="F289:G289"/>
    <mergeCell ref="F482:G482"/>
    <mergeCell ref="F68:G68"/>
    <mergeCell ref="F3:F4"/>
    <mergeCell ref="F84:G84"/>
    <mergeCell ref="F320:G320"/>
    <mergeCell ref="F447:G447"/>
    <mergeCell ref="F434:G434"/>
    <mergeCell ref="F15:G15"/>
    <mergeCell ref="F86:G86"/>
    <mergeCell ref="F142:G142"/>
    <mergeCell ref="F384:G384"/>
    <mergeCell ref="F213:G213"/>
    <mergeCell ref="F80:G80"/>
    <mergeCell ref="F378:G378"/>
    <mergeCell ref="F449:G449"/>
    <mergeCell ref="F79:G79"/>
    <mergeCell ref="F321:G321"/>
    <mergeCell ref="F315:G315"/>
    <mergeCell ref="F144:G144"/>
    <mergeCell ref="F215:G215"/>
    <mergeCell ref="F386:G386"/>
    <mergeCell ref="F373:G373"/>
    <mergeCell ref="F81:G81"/>
    <mergeCell ref="F460:G460"/>
    <mergeCell ref="F210:G210"/>
    <mergeCell ref="F381:G381"/>
    <mergeCell ref="F226:G226"/>
    <mergeCell ref="F437:G437"/>
    <mergeCell ref="F241:G241"/>
    <mergeCell ref="F284:G284"/>
    <mergeCell ref="F10:G10"/>
    <mergeCell ref="F63:G63"/>
    <mergeCell ref="F501:G501"/>
    <mergeCell ref="F34:G34"/>
    <mergeCell ref="F99:G99"/>
    <mergeCell ref="F292:G292"/>
    <mergeCell ref="F397:G397"/>
    <mergeCell ref="F286:G286"/>
    <mergeCell ref="F74:G74"/>
    <mergeCell ref="F372:G372"/>
    <mergeCell ref="F310:G310"/>
    <mergeCell ref="F503:G503"/>
    <mergeCell ref="F30:G30"/>
    <mergeCell ref="F138:G138"/>
    <mergeCell ref="F5:G5"/>
    <mergeCell ref="F76:G76"/>
    <mergeCell ref="F374:G374"/>
    <mergeCell ref="F94:G94"/>
    <mergeCell ref="F361:G361"/>
    <mergeCell ref="F150:G150"/>
    <mergeCell ref="F475:G475"/>
    <mergeCell ref="F323:G323"/>
    <mergeCell ref="F152:G152"/>
    <mergeCell ref="F450:G450"/>
    <mergeCell ref="F279:G279"/>
    <mergeCell ref="C3:C4"/>
    <mergeCell ref="E3:E4"/>
    <mergeCell ref="F387:G387"/>
    <mergeCell ref="F216:G216"/>
    <mergeCell ref="F343:G343"/>
    <mergeCell ref="F452:G452"/>
    <mergeCell ref="F281:G281"/>
    <mergeCell ref="F87:G87"/>
    <mergeCell ref="F280:G280"/>
    <mergeCell ref="F147:G147"/>
    <mergeCell ref="F218:G218"/>
    <mergeCell ref="F451:G451"/>
    <mergeCell ref="F89:G89"/>
    <mergeCell ref="F309:G309"/>
    <mergeCell ref="F7:G7"/>
    <mergeCell ref="F305:G305"/>
    <mergeCell ref="F242:G242"/>
    <mergeCell ref="F36:G36"/>
    <mergeCell ref="F307:G307"/>
    <mergeCell ref="F334:G334"/>
    <mergeCell ref="F163:G163"/>
    <mergeCell ref="F101:G101"/>
    <mergeCell ref="F8:G8"/>
    <mergeCell ref="F244:G244"/>
    <mergeCell ref="F100:G100"/>
    <mergeCell ref="F342:G342"/>
    <mergeCell ref="F336:G336"/>
    <mergeCell ref="F165:G165"/>
    <mergeCell ref="F311:G311"/>
    <mergeCell ref="F115:G115"/>
    <mergeCell ref="F308:G308"/>
    <mergeCell ref="F102:G102"/>
    <mergeCell ref="F425:G425"/>
    <mergeCell ref="F229:G229"/>
    <mergeCell ref="F400:G400"/>
    <mergeCell ref="F77:G77"/>
    <mergeCell ref="F166:G166"/>
    <mergeCell ref="F402:G402"/>
    <mergeCell ref="F377:G377"/>
    <mergeCell ref="F191:G191"/>
    <mergeCell ref="F255:G255"/>
    <mergeCell ref="F316:G316"/>
    <mergeCell ref="F59:G59"/>
    <mergeCell ref="F301:G301"/>
    <mergeCell ref="F24:G24"/>
    <mergeCell ref="F295:G295"/>
    <mergeCell ref="F95:G95"/>
    <mergeCell ref="F393:G393"/>
    <mergeCell ref="F331:G331"/>
    <mergeCell ref="F282:G282"/>
    <mergeCell ref="F453:G453"/>
    <mergeCell ref="F113:G113"/>
    <mergeCell ref="F232:G232"/>
    <mergeCell ref="F32:G32"/>
    <mergeCell ref="F26:G26"/>
    <mergeCell ref="F330:G330"/>
    <mergeCell ref="F219:G219"/>
    <mergeCell ref="F97:G97"/>
    <mergeCell ref="F268:G268"/>
    <mergeCell ref="F395:G395"/>
    <mergeCell ref="F159:G159"/>
    <mergeCell ref="F324:G324"/>
    <mergeCell ref="F90:G90"/>
    <mergeCell ref="F184:G184"/>
    <mergeCell ref="F27:G27"/>
    <mergeCell ref="F456:G456"/>
    <mergeCell ref="F471:G471"/>
    <mergeCell ref="F123:G123"/>
    <mergeCell ref="F179:G179"/>
    <mergeCell ref="F250:G250"/>
    <mergeCell ref="F44:G44"/>
  </mergeCells>
  <conditionalFormatting sqref="G3:G4">
    <cfRule type="cellIs" priority="1" operator="lessThan" dxfId="1">
      <formula>0</formula>
    </cfRule>
    <cfRule type="cellIs" priority="2" operator="greaterThanOrEqual" dxfId="0">
      <formula>0</formula>
    </cfRule>
  </conditionalFormatting>
  <pageMargins left="0.25" right="0.25" top="0.75" bottom="0.75" header="0.3" footer="0.3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6"/>
  <sheetViews>
    <sheetView topLeftCell="A17" zoomScaleNormal="100" workbookViewId="0">
      <selection activeCell="F62" sqref="F62:G62"/>
    </sheetView>
  </sheetViews>
  <sheetFormatPr baseColWidth="8" defaultColWidth="8.875" defaultRowHeight="17.25"/>
  <cols>
    <col width="15.125" customWidth="1" style="11" min="1" max="2"/>
    <col width="15" customWidth="1" style="23" min="3" max="3"/>
    <col width="12.875" customWidth="1" style="11" min="4" max="4"/>
    <col width="17" customWidth="1" style="11" min="5" max="5"/>
    <col width="12.75" customWidth="1" style="11" min="6" max="6"/>
    <col width="12.875" customWidth="1" style="11" min="7" max="7"/>
    <col width="8.875" customWidth="1" style="12" min="8" max="8"/>
    <col width="12.625" customWidth="1" style="12" min="9" max="9"/>
    <col width="8.875" customWidth="1" style="12" min="10" max="10"/>
    <col width="8.875" customWidth="1" style="13" min="11" max="1024"/>
    <col width="8.875" customWidth="1" min="1025" max="1108"/>
  </cols>
  <sheetData>
    <row r="1" ht="30" customHeight="1">
      <c r="A1" s="14" t="n"/>
      <c r="B1" s="15" t="n"/>
      <c r="C1" s="53" t="inlineStr">
        <is>
          <t>存股統計專用表格</t>
        </is>
      </c>
      <c r="D1" s="54" t="n"/>
      <c r="E1" s="54" t="n"/>
      <c r="F1" s="58" t="inlineStr">
        <is>
          <t>2890.TW</t>
        </is>
      </c>
      <c r="G1" s="42" t="n"/>
      <c r="H1" s="57" t="n"/>
      <c r="I1" s="44" t="n"/>
      <c r="J1" s="42" t="n"/>
    </row>
    <row r="2" ht="21.75" customHeight="1">
      <c r="A2" s="4" t="inlineStr">
        <is>
          <t>實際成本</t>
        </is>
      </c>
      <c r="B2" s="4" t="inlineStr">
        <is>
          <t>帳面成本</t>
        </is>
      </c>
      <c r="C2" s="4" t="inlineStr">
        <is>
          <t>目前市價</t>
        </is>
      </c>
      <c r="D2" s="4" t="inlineStr">
        <is>
          <t>總股數</t>
        </is>
      </c>
      <c r="E2" s="4" t="inlineStr">
        <is>
          <t>總成本</t>
        </is>
      </c>
      <c r="F2" s="4" t="inlineStr">
        <is>
          <t>股利+借券</t>
        </is>
      </c>
      <c r="G2" s="4" t="inlineStr">
        <is>
          <t>報酬率(含息)</t>
        </is>
      </c>
      <c r="H2" s="47" t="n"/>
      <c r="I2" s="47" t="n"/>
      <c r="J2" s="19" t="n"/>
    </row>
    <row r="3" ht="18.75" customHeight="1">
      <c r="A3" s="45">
        <f>(E3-F3)/D3</f>
        <v/>
      </c>
      <c r="B3" s="49">
        <f>E3/D3</f>
        <v/>
      </c>
      <c r="C3" s="128" t="n">
        <v>45.4</v>
      </c>
      <c r="D3" s="56">
        <f>SUM(D7:D505)</f>
        <v/>
      </c>
      <c r="E3" s="59">
        <f>SUM(E7:E505)</f>
        <v/>
      </c>
      <c r="F3" s="59">
        <f>SUM(F6:G505)</f>
        <v/>
      </c>
      <c r="G3" s="7">
        <f>G4/E3</f>
        <v/>
      </c>
      <c r="H3" s="51" t="n"/>
      <c r="I3" s="135" t="n"/>
      <c r="J3" s="52" t="n"/>
    </row>
    <row r="4" ht="18.75" customHeight="1">
      <c r="A4" s="46" t="n"/>
      <c r="B4" s="46" t="n"/>
      <c r="C4" s="129" t="n"/>
      <c r="D4" s="46" t="n"/>
      <c r="E4" s="46" t="n"/>
      <c r="F4" s="46" t="n"/>
      <c r="G4" s="136">
        <f>D3*C3-E3+F3</f>
        <v/>
      </c>
      <c r="H4" s="48" t="n"/>
      <c r="I4" s="48" t="n"/>
      <c r="J4" s="48" t="n"/>
    </row>
    <row r="5">
      <c r="A5" s="16" t="inlineStr">
        <is>
          <t>交易筆數</t>
        </is>
      </c>
      <c r="B5" s="24" t="inlineStr">
        <is>
          <t>購買日期</t>
        </is>
      </c>
      <c r="C5" s="16" t="inlineStr">
        <is>
          <t>購入價格</t>
        </is>
      </c>
      <c r="D5" s="16" t="inlineStr">
        <is>
          <t>股數</t>
        </is>
      </c>
      <c r="E5" s="16" t="inlineStr">
        <is>
          <t>持有成本</t>
        </is>
      </c>
      <c r="F5" s="60" t="inlineStr">
        <is>
          <t>股利</t>
        </is>
      </c>
      <c r="G5" s="42" t="n"/>
      <c r="H5" s="47" t="n"/>
      <c r="I5" s="47" t="n"/>
      <c r="J5" s="47" t="n"/>
    </row>
    <row r="6">
      <c r="A6" s="17" t="n">
        <v>1</v>
      </c>
      <c r="B6" s="43" t="inlineStr">
        <is>
          <t>借券收入</t>
        </is>
      </c>
      <c r="C6" s="44" t="n"/>
      <c r="D6" s="44" t="n"/>
      <c r="E6" s="42" t="n"/>
      <c r="F6" s="50" t="n"/>
      <c r="G6" s="42" t="n"/>
      <c r="H6" s="48" t="n"/>
      <c r="I6" s="48" t="n"/>
      <c r="J6" s="48" t="n"/>
    </row>
    <row r="7">
      <c r="A7" s="17" t="n">
        <v>2</v>
      </c>
      <c r="B7" s="25" t="inlineStr">
        <is>
          <t>2023.08.07</t>
        </is>
      </c>
      <c r="C7" s="138" t="n">
        <v>18.7</v>
      </c>
      <c r="D7" s="41" t="n">
        <v>2000</v>
      </c>
      <c r="E7" s="41" t="n">
        <v>37453</v>
      </c>
      <c r="F7" s="41" t="n"/>
      <c r="G7" s="42" t="n"/>
      <c r="H7" s="20" t="n"/>
      <c r="I7" s="20" t="n"/>
      <c r="J7" s="20" t="n"/>
    </row>
    <row r="8">
      <c r="A8" s="17" t="n">
        <v>3</v>
      </c>
      <c r="B8" s="25" t="inlineStr">
        <is>
          <t>2023.08.09</t>
        </is>
      </c>
      <c r="C8" s="138" t="n">
        <v>18</v>
      </c>
      <c r="D8" s="41" t="n">
        <v>65</v>
      </c>
      <c r="E8" s="41" t="n">
        <v>1171</v>
      </c>
      <c r="F8" s="41" t="n"/>
      <c r="G8" s="42" t="n"/>
      <c r="H8" s="20" t="n"/>
      <c r="I8" s="20" t="n"/>
      <c r="J8" s="20" t="n"/>
    </row>
    <row r="9">
      <c r="A9" s="17" t="n">
        <v>4</v>
      </c>
      <c r="B9" s="25" t="inlineStr">
        <is>
          <t>2023.08.09</t>
        </is>
      </c>
      <c r="C9" s="138" t="n">
        <v>17.93</v>
      </c>
      <c r="D9" s="41" t="n">
        <v>50</v>
      </c>
      <c r="E9" s="41" t="n">
        <v>897</v>
      </c>
      <c r="F9" s="41" t="n"/>
      <c r="G9" s="42" t="n"/>
      <c r="H9" s="20" t="n"/>
      <c r="I9" s="20" t="n"/>
      <c r="J9" s="20" t="n"/>
    </row>
    <row r="10">
      <c r="A10" s="17" t="n">
        <v>5</v>
      </c>
      <c r="B10" s="25" t="inlineStr">
        <is>
          <t>2023.08.18</t>
        </is>
      </c>
      <c r="C10" s="138" t="n">
        <v>17.1</v>
      </c>
      <c r="D10" s="41" t="n">
        <v>1000</v>
      </c>
      <c r="E10" s="18" t="n">
        <v>17124</v>
      </c>
      <c r="F10" s="41" t="n"/>
      <c r="G10" s="42" t="n"/>
      <c r="H10" s="20" t="n"/>
      <c r="I10" s="20" t="n"/>
      <c r="J10" s="20" t="n"/>
    </row>
    <row r="11">
      <c r="A11" s="17" t="n">
        <v>6</v>
      </c>
      <c r="B11" s="25" t="inlineStr">
        <is>
          <t>2023.09.11</t>
        </is>
      </c>
      <c r="C11" s="138" t="n">
        <v>17.26</v>
      </c>
      <c r="D11" s="41" t="n">
        <v>50</v>
      </c>
      <c r="E11" s="41" t="n">
        <v>864</v>
      </c>
      <c r="F11" s="41" t="n"/>
      <c r="G11" s="42" t="n"/>
      <c r="H11" s="20" t="n"/>
      <c r="I11" s="20" t="n"/>
      <c r="J11" s="20" t="n"/>
    </row>
    <row r="12">
      <c r="A12" s="17" t="n">
        <v>7</v>
      </c>
      <c r="B12" s="25" t="inlineStr">
        <is>
          <t>2023.09.13</t>
        </is>
      </c>
      <c r="C12" s="138" t="n">
        <v>0</v>
      </c>
      <c r="D12" s="41" t="n">
        <v>40</v>
      </c>
      <c r="E12" s="41" t="n">
        <v>0</v>
      </c>
      <c r="F12" s="41" t="n">
        <v>1200</v>
      </c>
      <c r="G12" s="42" t="n"/>
      <c r="H12" s="20" t="n"/>
      <c r="I12" s="20" t="n"/>
      <c r="J12" s="20" t="n"/>
    </row>
    <row r="13">
      <c r="A13" s="17" t="n">
        <v>8</v>
      </c>
      <c r="B13" s="25" t="inlineStr">
        <is>
          <t>2023.10.06</t>
        </is>
      </c>
      <c r="C13" s="138" t="n">
        <v>17.62</v>
      </c>
      <c r="D13" s="41" t="n">
        <v>50</v>
      </c>
      <c r="E13" s="41" t="n">
        <v>882</v>
      </c>
      <c r="F13" s="41" t="n"/>
      <c r="G13" s="42" t="n"/>
      <c r="H13" s="20" t="n"/>
      <c r="I13" s="20" t="n"/>
      <c r="J13" s="20" t="n"/>
    </row>
    <row r="14">
      <c r="A14" s="17" t="n">
        <v>9</v>
      </c>
      <c r="B14" s="25" t="inlineStr">
        <is>
          <t>2023.10.25</t>
        </is>
      </c>
      <c r="C14" s="138" t="n">
        <v>18.1</v>
      </c>
      <c r="D14" s="41" t="n">
        <v>100</v>
      </c>
      <c r="E14" s="41" t="n">
        <v>1812</v>
      </c>
      <c r="F14" s="41" t="n"/>
      <c r="G14" s="42" t="n"/>
      <c r="H14" s="20" t="n"/>
      <c r="I14" s="20" t="n"/>
      <c r="J14" s="20" t="n"/>
    </row>
    <row r="15">
      <c r="A15" s="17" t="n">
        <v>10</v>
      </c>
      <c r="B15" s="25" t="inlineStr">
        <is>
          <t>2023.10.31</t>
        </is>
      </c>
      <c r="C15" s="138" t="n">
        <v>17.8</v>
      </c>
      <c r="D15" s="41" t="n">
        <v>30</v>
      </c>
      <c r="E15" s="41" t="n">
        <v>535</v>
      </c>
      <c r="F15" s="41" t="n"/>
      <c r="G15" s="42" t="n"/>
      <c r="H15" s="20" t="n"/>
      <c r="I15" s="20" t="n"/>
      <c r="J15" s="20" t="n"/>
    </row>
    <row r="16">
      <c r="A16" s="17" t="n">
        <v>11</v>
      </c>
      <c r="B16" s="25" t="inlineStr">
        <is>
          <t>2023.11.06</t>
        </is>
      </c>
      <c r="C16" s="138" t="n">
        <v>18.51</v>
      </c>
      <c r="D16" s="41" t="n">
        <v>47</v>
      </c>
      <c r="E16" s="41" t="n">
        <v>871</v>
      </c>
      <c r="F16" s="41" t="n"/>
      <c r="G16" s="42" t="n"/>
      <c r="H16" s="20" t="n"/>
      <c r="I16" s="20" t="n"/>
      <c r="J16" s="20" t="n"/>
    </row>
    <row r="17" ht="16.5" customFormat="1" customHeight="1" s="12">
      <c r="A17" s="17" t="n">
        <v>12</v>
      </c>
      <c r="B17" s="25" t="inlineStr">
        <is>
          <t>2023.12.06</t>
        </is>
      </c>
      <c r="C17" s="138" t="n">
        <v>19.29</v>
      </c>
      <c r="D17" s="41" t="n">
        <v>45</v>
      </c>
      <c r="E17" s="41" t="n">
        <v>869</v>
      </c>
      <c r="F17" s="41" t="n"/>
      <c r="G17" s="42" t="n"/>
      <c r="H17" s="20" t="n"/>
      <c r="I17" s="20" t="n"/>
      <c r="J17" s="20" t="n"/>
    </row>
    <row r="18" ht="16.5" customFormat="1" customHeight="1" s="12">
      <c r="A18" s="17" t="n">
        <v>13</v>
      </c>
      <c r="B18" s="25" t="inlineStr">
        <is>
          <t>2023.12.07</t>
        </is>
      </c>
      <c r="C18" s="138" t="n">
        <v>19.15</v>
      </c>
      <c r="D18" s="41" t="n">
        <v>45</v>
      </c>
      <c r="E18" s="41" t="n">
        <v>862</v>
      </c>
      <c r="F18" s="41" t="n"/>
      <c r="G18" s="42" t="n"/>
      <c r="H18" s="20" t="n"/>
      <c r="I18" s="20" t="n"/>
      <c r="J18" s="20" t="n"/>
    </row>
    <row r="19" ht="16.5" customFormat="1" customHeight="1" s="12">
      <c r="A19" s="17" t="n">
        <v>14</v>
      </c>
      <c r="B19" s="25" t="inlineStr">
        <is>
          <t>2024.01.08</t>
        </is>
      </c>
      <c r="C19" s="138" t="n">
        <v>19.61</v>
      </c>
      <c r="D19" s="41" t="n">
        <v>44</v>
      </c>
      <c r="E19" s="41" t="n">
        <v>864</v>
      </c>
      <c r="F19" s="41" t="n"/>
      <c r="G19" s="42" t="n"/>
      <c r="H19" s="20" t="n"/>
      <c r="I19" s="20" t="n"/>
      <c r="J19" s="20" t="n"/>
    </row>
    <row r="20" ht="16.5" customFormat="1" customHeight="1" s="12">
      <c r="A20" s="17" t="n">
        <v>15</v>
      </c>
      <c r="B20" s="25" t="inlineStr">
        <is>
          <t>2024.02.15</t>
        </is>
      </c>
      <c r="C20" s="138" t="n">
        <v>19.42</v>
      </c>
      <c r="D20" s="41" t="n">
        <v>45</v>
      </c>
      <c r="E20" s="41" t="n">
        <v>875</v>
      </c>
      <c r="F20" s="41" t="n"/>
      <c r="G20" s="42" t="n"/>
      <c r="H20" s="20" t="n"/>
      <c r="I20" s="20" t="n"/>
      <c r="J20" s="20" t="n"/>
    </row>
    <row r="21" ht="16.5" customFormat="1" customHeight="1" s="12">
      <c r="A21" s="17" t="n">
        <v>16</v>
      </c>
      <c r="B21" s="25" t="inlineStr">
        <is>
          <t>2024.03.06</t>
        </is>
      </c>
      <c r="C21" s="138" t="n">
        <v>20.05</v>
      </c>
      <c r="D21" s="41" t="n">
        <v>43</v>
      </c>
      <c r="E21" s="41" t="n">
        <v>863</v>
      </c>
      <c r="F21" s="41" t="n"/>
      <c r="G21" s="42" t="n"/>
      <c r="H21" s="20" t="n"/>
      <c r="I21" s="20" t="n"/>
      <c r="J21" s="20" t="n"/>
    </row>
    <row r="22" ht="16.5" customFormat="1" customHeight="1" s="12">
      <c r="A22" s="17" t="n">
        <v>17</v>
      </c>
      <c r="B22" s="25" t="inlineStr">
        <is>
          <t>2024.04.08</t>
        </is>
      </c>
      <c r="C22" s="138" t="n">
        <v>21.44</v>
      </c>
      <c r="D22" s="41" t="n">
        <v>41</v>
      </c>
      <c r="E22" s="41" t="n">
        <v>880</v>
      </c>
      <c r="F22" s="41" t="n"/>
      <c r="G22" s="42" t="n"/>
      <c r="H22" s="20" t="n"/>
      <c r="I22" s="20" t="n"/>
      <c r="J22" s="20" t="n"/>
    </row>
    <row r="23" ht="16.5" customFormat="1" customHeight="1" s="12">
      <c r="A23" s="17" t="n">
        <v>18</v>
      </c>
      <c r="B23" s="25" t="inlineStr">
        <is>
          <t>2024.05.06</t>
        </is>
      </c>
      <c r="C23" s="138" t="n">
        <v>22.51</v>
      </c>
      <c r="D23" s="41" t="n">
        <v>39</v>
      </c>
      <c r="E23" s="41" t="n">
        <v>879</v>
      </c>
      <c r="F23" s="41" t="n"/>
      <c r="G23" s="42" t="n"/>
      <c r="H23" s="20" t="n"/>
      <c r="I23" s="20" t="n"/>
      <c r="J23" s="20" t="n"/>
    </row>
    <row r="24" ht="16.5" customFormat="1" customHeight="1" s="12">
      <c r="A24" s="17" t="n">
        <v>19</v>
      </c>
      <c r="B24" s="25" t="inlineStr">
        <is>
          <t>2024.06.06</t>
        </is>
      </c>
      <c r="C24" s="138" t="n">
        <v>23.21</v>
      </c>
      <c r="D24" s="41" t="n">
        <v>38</v>
      </c>
      <c r="E24" s="41" t="n">
        <v>883</v>
      </c>
      <c r="F24" s="41" t="n"/>
      <c r="G24" s="42" t="n"/>
      <c r="H24" s="20" t="n"/>
      <c r="I24" s="20" t="n"/>
      <c r="J24" s="20" t="n"/>
    </row>
    <row r="25" ht="16.5" customFormat="1" customHeight="1" s="12">
      <c r="A25" s="17" t="n">
        <v>20</v>
      </c>
      <c r="B25" s="20" t="inlineStr">
        <is>
          <t>2024.07.08</t>
        </is>
      </c>
      <c r="C25" s="139" t="n">
        <v>26.48</v>
      </c>
      <c r="D25" s="20" t="n">
        <v>33</v>
      </c>
      <c r="E25" s="20" t="n">
        <v>875</v>
      </c>
      <c r="F25" s="41" t="n"/>
      <c r="G25" s="42" t="n"/>
      <c r="H25" s="20" t="n"/>
      <c r="I25" s="20" t="n"/>
      <c r="J25" s="20" t="n"/>
    </row>
    <row r="26" ht="16.5" customFormat="1" customHeight="1" s="12">
      <c r="A26" s="17" t="n">
        <v>21</v>
      </c>
      <c r="B26" s="25" t="inlineStr">
        <is>
          <t>2024.08.06</t>
        </is>
      </c>
      <c r="C26" s="138" t="n">
        <v>24.78</v>
      </c>
      <c r="D26" s="41" t="n">
        <v>36</v>
      </c>
      <c r="E26" s="41" t="n">
        <v>893</v>
      </c>
      <c r="F26" s="41" t="n"/>
      <c r="G26" s="42" t="n"/>
      <c r="H26" s="20" t="n"/>
      <c r="I26" s="20" t="n"/>
      <c r="J26" s="20" t="n"/>
    </row>
    <row r="27" ht="16.5" customFormat="1" customHeight="1" s="12">
      <c r="A27" s="17" t="n">
        <v>22</v>
      </c>
      <c r="B27" s="25" t="inlineStr">
        <is>
          <t>2024.09.06</t>
        </is>
      </c>
      <c r="C27" s="138" t="n">
        <v>23.5</v>
      </c>
      <c r="D27" s="41" t="n">
        <v>38</v>
      </c>
      <c r="E27" s="41" t="n">
        <v>894</v>
      </c>
      <c r="F27" s="41" t="n"/>
      <c r="G27" s="42" t="n"/>
      <c r="H27" s="20" t="n"/>
      <c r="I27" s="20" t="n"/>
      <c r="J27" s="20" t="n"/>
    </row>
    <row r="28" ht="16.5" customFormat="1" customHeight="1" s="12">
      <c r="A28" s="17" t="n">
        <v>23</v>
      </c>
      <c r="B28" s="25" t="inlineStr">
        <is>
          <t>2024.09.27</t>
        </is>
      </c>
      <c r="C28" s="138" t="n">
        <v>0</v>
      </c>
      <c r="D28" s="41" t="n">
        <v>96</v>
      </c>
      <c r="E28" s="41" t="n">
        <v>0</v>
      </c>
      <c r="F28" s="41" t="n">
        <v>2880</v>
      </c>
      <c r="G28" s="42" t="n"/>
      <c r="H28" s="20" t="n"/>
      <c r="I28" s="20" t="n"/>
      <c r="J28" s="20" t="n"/>
    </row>
    <row r="29" ht="16.5" customFormat="1" customHeight="1" s="12">
      <c r="A29" s="17" t="n">
        <v>24</v>
      </c>
      <c r="B29" s="25" t="inlineStr">
        <is>
          <t>2024.10.07</t>
        </is>
      </c>
      <c r="C29" s="138" t="n">
        <v>24.08</v>
      </c>
      <c r="D29" s="41" t="n">
        <v>37</v>
      </c>
      <c r="E29" s="41" t="n">
        <v>891</v>
      </c>
      <c r="F29" s="41" t="n"/>
      <c r="G29" s="42" t="n"/>
      <c r="H29" s="20" t="n"/>
      <c r="I29" s="20" t="n"/>
      <c r="J29" s="20" t="n"/>
    </row>
    <row r="30" ht="16.5" customFormat="1" customHeight="1" s="12">
      <c r="A30" s="17" t="n">
        <v>25</v>
      </c>
      <c r="B30" s="25" t="inlineStr">
        <is>
          <t>2024.10.17</t>
        </is>
      </c>
      <c r="C30" s="138" t="n">
        <v>23.65</v>
      </c>
      <c r="D30" s="41" t="n">
        <v>63</v>
      </c>
      <c r="E30" s="41" t="n">
        <v>1491</v>
      </c>
      <c r="F30" s="41" t="n"/>
      <c r="G30" s="42" t="n"/>
      <c r="H30" s="20" t="n"/>
      <c r="I30" s="20" t="n"/>
      <c r="J30" s="20" t="n"/>
    </row>
    <row r="31" ht="16.5" customFormat="1" customHeight="1" s="12">
      <c r="A31" s="17" t="n">
        <v>26</v>
      </c>
      <c r="B31" s="25" t="inlineStr">
        <is>
          <t>2024.10.21</t>
        </is>
      </c>
      <c r="C31" s="138" t="n">
        <v>23.65</v>
      </c>
      <c r="D31" s="41" t="n">
        <v>59</v>
      </c>
      <c r="E31" s="41" t="n">
        <v>1395</v>
      </c>
      <c r="F31" s="41" t="n"/>
      <c r="G31" s="42" t="n"/>
      <c r="H31" s="20" t="n"/>
      <c r="I31" s="20" t="n"/>
      <c r="J31" s="20" t="n"/>
    </row>
    <row r="32" ht="16.5" customFormat="1" customHeight="1" s="12">
      <c r="A32" s="17" t="n">
        <v>27</v>
      </c>
      <c r="B32" s="25" t="inlineStr">
        <is>
          <t>2024.11.06</t>
        </is>
      </c>
      <c r="C32" s="138" t="n">
        <v>22.77</v>
      </c>
      <c r="D32" s="41" t="n">
        <v>39</v>
      </c>
      <c r="E32" s="41" t="n">
        <v>889</v>
      </c>
      <c r="F32" s="41" t="n"/>
      <c r="G32" s="42" t="n"/>
      <c r="H32" s="20" t="n"/>
      <c r="I32" s="20" t="n"/>
      <c r="J32" s="20" t="n"/>
    </row>
    <row r="33" ht="16.5" customFormat="1" customHeight="1" s="12">
      <c r="A33" s="17" t="n">
        <v>28</v>
      </c>
      <c r="B33" s="25" t="inlineStr">
        <is>
          <t>2024.12.06</t>
        </is>
      </c>
      <c r="C33" s="138" t="n">
        <v>24.42</v>
      </c>
      <c r="D33" s="41" t="n">
        <v>36</v>
      </c>
      <c r="E33" s="41" t="n">
        <v>880</v>
      </c>
      <c r="F33" s="41" t="n"/>
      <c r="G33" s="42" t="n"/>
      <c r="H33" s="20" t="n"/>
      <c r="I33" s="20" t="n"/>
      <c r="J33" s="20" t="n"/>
    </row>
    <row r="34" ht="16.5" customFormat="1" customHeight="1" s="12">
      <c r="A34" s="17" t="n">
        <v>29</v>
      </c>
      <c r="B34" s="25" t="inlineStr">
        <is>
          <t>2025.01.06</t>
        </is>
      </c>
      <c r="C34" s="138" t="n">
        <v>23.11</v>
      </c>
      <c r="D34" s="41" t="n">
        <v>38</v>
      </c>
      <c r="E34" s="41" t="n">
        <v>879</v>
      </c>
      <c r="F34" s="41" t="n"/>
      <c r="G34" s="42" t="n"/>
      <c r="H34" s="20" t="n"/>
      <c r="I34" s="20" t="n"/>
      <c r="J34" s="20" t="n"/>
    </row>
    <row r="35" ht="16.5" customFormat="1" customHeight="1" s="12">
      <c r="A35" s="17" t="n">
        <v>30</v>
      </c>
      <c r="B35" s="25" t="inlineStr">
        <is>
          <t>2025.02.06</t>
        </is>
      </c>
      <c r="C35" s="138" t="n">
        <v>22.54</v>
      </c>
      <c r="D35" s="41" t="n">
        <v>39</v>
      </c>
      <c r="E35" s="41" t="n">
        <v>880</v>
      </c>
      <c r="F35" s="41" t="n"/>
      <c r="G35" s="42" t="n"/>
      <c r="H35" s="20" t="n"/>
      <c r="I35" s="20" t="n"/>
      <c r="J35" s="20" t="n"/>
    </row>
    <row r="36" ht="16.5" customFormat="1" customHeight="1" s="12">
      <c r="A36" s="17" t="n">
        <v>31</v>
      </c>
      <c r="B36" s="25" t="inlineStr">
        <is>
          <t>2025.03.06</t>
        </is>
      </c>
      <c r="C36" s="138" t="n">
        <v>22.74</v>
      </c>
      <c r="D36" s="41" t="n">
        <v>39</v>
      </c>
      <c r="E36" s="41" t="n">
        <v>888</v>
      </c>
      <c r="F36" s="41" t="n"/>
      <c r="G36" s="42" t="n"/>
      <c r="H36" s="20" t="n"/>
      <c r="I36" s="20" t="n"/>
      <c r="J36" s="20" t="n"/>
    </row>
    <row r="37" ht="16.5" customFormat="1" customHeight="1" s="12">
      <c r="A37" s="17" t="n">
        <v>32</v>
      </c>
      <c r="B37" s="25" t="inlineStr">
        <is>
          <t>2025.04.07</t>
        </is>
      </c>
      <c r="C37" s="138" t="n">
        <v>20.3</v>
      </c>
      <c r="D37" s="41" t="n">
        <v>44</v>
      </c>
      <c r="E37" s="41" t="n">
        <v>894</v>
      </c>
      <c r="F37" s="41" t="n"/>
      <c r="G37" s="42" t="n"/>
      <c r="H37" s="20" t="n"/>
      <c r="I37" s="20" t="n"/>
      <c r="J37" s="20" t="n"/>
    </row>
    <row r="38" ht="16.5" customFormat="1" customHeight="1" s="12">
      <c r="A38" s="17" t="n">
        <v>33</v>
      </c>
      <c r="B38" s="25" t="inlineStr">
        <is>
          <t>2025.05.06</t>
        </is>
      </c>
      <c r="C38" s="138" t="n">
        <v>21.88</v>
      </c>
      <c r="D38" s="41" t="n">
        <v>41</v>
      </c>
      <c r="E38" s="41" t="n">
        <v>898</v>
      </c>
      <c r="F38" s="41" t="n"/>
      <c r="G38" s="42" t="n"/>
      <c r="H38" s="20" t="n"/>
      <c r="I38" s="20" t="n"/>
      <c r="J38" s="20" t="n"/>
    </row>
    <row r="39" ht="16.5" customFormat="1" customHeight="1" s="12">
      <c r="A39" s="17" t="n">
        <v>34</v>
      </c>
      <c r="B39" s="25" t="inlineStr">
        <is>
          <t>2025.06.06</t>
        </is>
      </c>
      <c r="C39" s="138" t="n">
        <v>23</v>
      </c>
      <c r="D39" s="41" t="n">
        <v>39</v>
      </c>
      <c r="E39" s="41" t="n">
        <v>898</v>
      </c>
      <c r="F39" s="41" t="n"/>
      <c r="G39" s="42" t="n"/>
      <c r="H39" s="20" t="n"/>
      <c r="I39" s="20" t="n"/>
      <c r="J39" s="20" t="n"/>
    </row>
    <row r="40" ht="16.5" customFormat="1" customHeight="1" s="12">
      <c r="A40" s="17" t="n">
        <v>35</v>
      </c>
      <c r="B40" s="25" t="inlineStr">
        <is>
          <t>2025.07.07</t>
        </is>
      </c>
      <c r="C40" s="138" t="n">
        <v>24.53</v>
      </c>
      <c r="D40" s="41" t="n">
        <v>36</v>
      </c>
      <c r="E40" s="41" t="n">
        <v>884</v>
      </c>
      <c r="F40" s="41" t="n"/>
      <c r="G40" s="42" t="n"/>
      <c r="H40" s="20" t="n"/>
      <c r="I40" s="20" t="n"/>
      <c r="J40" s="20" t="n"/>
    </row>
    <row r="41" ht="16.5" customFormat="1" customHeight="1" s="12">
      <c r="A41" s="17" t="n">
        <v>36</v>
      </c>
      <c r="B41" s="25" t="inlineStr">
        <is>
          <t>2025.08.06</t>
        </is>
      </c>
      <c r="C41" s="138" t="n">
        <v>26.21</v>
      </c>
      <c r="D41" s="41" t="n">
        <v>34</v>
      </c>
      <c r="E41" s="41" t="n">
        <v>892</v>
      </c>
      <c r="F41" s="41" t="n"/>
      <c r="G41" s="42" t="n"/>
      <c r="H41" s="20" t="n"/>
      <c r="I41" s="20" t="n"/>
      <c r="J41" s="20" t="n"/>
    </row>
    <row r="42" ht="16.5" customFormat="1" customHeight="1" s="12">
      <c r="A42" s="17" t="n">
        <v>37</v>
      </c>
      <c r="B42" s="25" t="inlineStr">
        <is>
          <t>2025.09.08</t>
        </is>
      </c>
      <c r="C42" s="138" t="n">
        <v>24.64</v>
      </c>
      <c r="D42" s="41" t="n">
        <v>36</v>
      </c>
      <c r="E42" s="41" t="n">
        <v>888</v>
      </c>
      <c r="F42" s="41" t="n"/>
      <c r="G42" s="42" t="n"/>
      <c r="H42" s="20" t="n"/>
      <c r="I42" s="20" t="n"/>
      <c r="J42" s="20" t="n"/>
    </row>
    <row r="43" ht="16.5" customFormat="1" customHeight="1" s="12">
      <c r="A43" s="17" t="n">
        <v>38</v>
      </c>
      <c r="B43" s="25" t="inlineStr">
        <is>
          <t>2025.09.22</t>
        </is>
      </c>
      <c r="C43" s="138" t="n">
        <v>0</v>
      </c>
      <c r="D43" s="41" t="n">
        <v>153</v>
      </c>
      <c r="E43" s="41" t="n">
        <v>0</v>
      </c>
      <c r="F43" s="41" t="n">
        <v>4112</v>
      </c>
      <c r="G43" s="42" t="n"/>
      <c r="H43" s="20" t="n"/>
      <c r="I43" s="20" t="n"/>
      <c r="J43" s="20" t="n"/>
    </row>
    <row r="44" ht="16.5" customFormat="1" customHeight="1" s="12">
      <c r="A44" s="17" t="n">
        <v>39</v>
      </c>
      <c r="B44" s="25" t="inlineStr">
        <is>
          <t>2025.09.26</t>
        </is>
      </c>
      <c r="C44" s="138" t="n">
        <v>24.46</v>
      </c>
      <c r="D44" s="41" t="n">
        <v>167</v>
      </c>
      <c r="E44" s="41" t="n">
        <v>4085</v>
      </c>
      <c r="F44" s="41" t="n"/>
      <c r="G44" s="42" t="n"/>
      <c r="H44" s="20" t="n"/>
      <c r="I44" s="20" t="n"/>
      <c r="J44" s="20" t="n"/>
    </row>
    <row r="45" ht="16.5" customFormat="1" customHeight="1" s="12">
      <c r="A45" s="17" t="n">
        <v>40</v>
      </c>
      <c r="B45" s="25" t="inlineStr">
        <is>
          <t>2025.10.07</t>
        </is>
      </c>
      <c r="C45" s="138" t="n">
        <v>25.62</v>
      </c>
      <c r="D45" s="41" t="n">
        <v>34</v>
      </c>
      <c r="E45" s="41" t="n">
        <v>872</v>
      </c>
      <c r="F45" s="41" t="n"/>
      <c r="G45" s="42" t="n"/>
      <c r="H45" s="20" t="n"/>
      <c r="I45" s="20" t="n"/>
      <c r="J45" s="20" t="n"/>
    </row>
    <row r="46" ht="16.5" customFormat="1" customHeight="1" s="12">
      <c r="A46" s="17" t="n">
        <v>41</v>
      </c>
      <c r="B46" s="25" t="inlineStr">
        <is>
          <t>2025.11.06</t>
        </is>
      </c>
      <c r="C46" s="138" t="n">
        <v>26.45</v>
      </c>
      <c r="D46" s="41" t="n">
        <v>33</v>
      </c>
      <c r="E46" s="41" t="n">
        <v>874</v>
      </c>
      <c r="F46" s="41" t="n"/>
      <c r="G46" s="42" t="n"/>
      <c r="H46" s="20" t="n"/>
      <c r="I46" s="20" t="n"/>
      <c r="J46" s="20" t="n"/>
    </row>
    <row r="47" ht="16.5" customFormat="1" customHeight="1" s="12">
      <c r="A47" s="17" t="n">
        <v>42</v>
      </c>
      <c r="B47" s="25" t="inlineStr">
        <is>
          <t>2025.12.08</t>
        </is>
      </c>
      <c r="C47" s="138" t="n">
        <v>27.41</v>
      </c>
      <c r="D47" s="41" t="n">
        <v>32</v>
      </c>
      <c r="E47" s="41" t="n">
        <v>878</v>
      </c>
      <c r="F47" s="41" t="n"/>
      <c r="G47" s="42" t="n"/>
      <c r="H47" s="20" t="n"/>
      <c r="I47" s="20" t="n"/>
      <c r="J47" s="20" t="n"/>
    </row>
    <row r="48" ht="16.5" customFormat="1" customHeight="1" s="12">
      <c r="A48" s="17" t="n">
        <v>43</v>
      </c>
      <c r="B48" s="25" t="inlineStr">
        <is>
          <t>2026.01.06</t>
        </is>
      </c>
      <c r="C48" s="138" t="n">
        <v>28.97</v>
      </c>
      <c r="D48" s="41" t="n">
        <v>31</v>
      </c>
      <c r="E48" s="41" t="n">
        <v>899</v>
      </c>
      <c r="F48" s="41" t="n"/>
      <c r="G48" s="42" t="n"/>
      <c r="H48" s="20" t="n"/>
      <c r="I48" s="20" t="n"/>
      <c r="J48" s="20" t="n"/>
    </row>
    <row r="49" ht="16.5" customFormat="1" customHeight="1" s="12">
      <c r="A49" s="17" t="n">
        <v>44</v>
      </c>
      <c r="B49" s="25" t="inlineStr">
        <is>
          <t>2026.02.06</t>
        </is>
      </c>
      <c r="C49" s="138" t="n">
        <v>29.37</v>
      </c>
      <c r="D49" s="41" t="n">
        <v>30</v>
      </c>
      <c r="E49" s="41" t="n">
        <v>882</v>
      </c>
      <c r="F49" s="41" t="n"/>
      <c r="G49" s="42" t="n"/>
      <c r="H49" s="20" t="n"/>
      <c r="I49" s="20" t="n"/>
      <c r="J49" s="20" t="n"/>
    </row>
    <row r="50" ht="16.5" customFormat="1" customHeight="1" s="12">
      <c r="A50" s="17" t="n">
        <v>45</v>
      </c>
      <c r="B50" s="25" t="inlineStr">
        <is>
          <t>2026.03.06</t>
        </is>
      </c>
      <c r="C50" s="138" t="n">
        <v>31.64</v>
      </c>
      <c r="D50" s="41" t="n">
        <v>28</v>
      </c>
      <c r="E50" s="41" t="n">
        <v>887</v>
      </c>
      <c r="F50" s="41" t="n"/>
      <c r="G50" s="42" t="n"/>
      <c r="H50" s="20" t="n"/>
      <c r="I50" s="20" t="n"/>
      <c r="J50" s="20" t="n"/>
    </row>
    <row r="51" ht="16.5" customFormat="1" customHeight="1" s="12">
      <c r="A51" s="17" t="n">
        <v>46</v>
      </c>
      <c r="B51" s="25" t="inlineStr">
        <is>
          <t>2026.04.07</t>
        </is>
      </c>
      <c r="C51" s="138" t="n">
        <v>32.07</v>
      </c>
      <c r="D51" s="41" t="n">
        <v>28</v>
      </c>
      <c r="E51" s="41" t="n">
        <v>899</v>
      </c>
      <c r="F51" s="41" t="n"/>
      <c r="G51" s="42" t="n"/>
      <c r="H51" s="20" t="n"/>
      <c r="I51" s="20" t="n"/>
      <c r="J51" s="20" t="n"/>
    </row>
    <row r="52" ht="16.5" customFormat="1" customHeight="1" s="12">
      <c r="A52" s="17" t="n">
        <v>47</v>
      </c>
      <c r="B52" s="25" t="inlineStr">
        <is>
          <t>2026.05.06</t>
        </is>
      </c>
      <c r="C52" s="138" t="n">
        <v>30.97</v>
      </c>
      <c r="D52" s="41" t="n">
        <v>29</v>
      </c>
      <c r="E52" s="41" t="n">
        <v>899</v>
      </c>
      <c r="F52" s="41" t="n"/>
      <c r="G52" s="42" t="n"/>
      <c r="H52" s="20" t="n"/>
      <c r="I52" s="20" t="n"/>
      <c r="J52" s="20" t="n"/>
    </row>
    <row r="53" ht="16.5" customFormat="1" customHeight="1" s="12">
      <c r="A53" s="17" t="n">
        <v>48</v>
      </c>
      <c r="B53" s="25" t="inlineStr">
        <is>
          <t>2026.06.08</t>
        </is>
      </c>
      <c r="C53" s="138" t="n">
        <v>31.64</v>
      </c>
      <c r="D53" s="41" t="n">
        <v>28</v>
      </c>
      <c r="E53" s="41" t="n">
        <v>887</v>
      </c>
      <c r="F53" s="41" t="n"/>
      <c r="G53" s="42" t="n"/>
      <c r="H53" s="20" t="n"/>
      <c r="I53" s="20" t="n"/>
      <c r="J53" s="20" t="n"/>
    </row>
    <row r="54" ht="16.5" customFormat="1" customHeight="1" s="12">
      <c r="A54" s="17" t="n">
        <v>49</v>
      </c>
      <c r="B54" s="25" t="inlineStr">
        <is>
          <t>2026.07.06</t>
        </is>
      </c>
      <c r="C54" s="138" t="n">
        <v>40.82</v>
      </c>
      <c r="D54" s="41" t="n">
        <v>22</v>
      </c>
      <c r="E54" s="41" t="n">
        <v>899</v>
      </c>
      <c r="F54" s="41" t="n"/>
      <c r="G54" s="42" t="n"/>
      <c r="H54" s="20" t="n"/>
      <c r="I54" s="20" t="n"/>
      <c r="J54" s="20" t="n"/>
    </row>
    <row r="55" ht="16.5" customFormat="1" customHeight="1" s="12">
      <c r="A55" s="17" t="n">
        <v>50</v>
      </c>
      <c r="B55" s="25" t="inlineStr">
        <is>
          <t>2026.08.06</t>
        </is>
      </c>
      <c r="C55" s="138" t="n">
        <v>39.27</v>
      </c>
      <c r="D55" s="41" t="n">
        <v>22</v>
      </c>
      <c r="E55" s="41" t="n">
        <v>865</v>
      </c>
      <c r="F55" s="41" t="n"/>
      <c r="G55" s="42" t="n"/>
      <c r="H55" s="20" t="n"/>
      <c r="I55" s="20" t="n"/>
      <c r="J55" s="20" t="n"/>
    </row>
    <row r="56" ht="16.5" customFormat="1" customHeight="1" s="12">
      <c r="A56" s="17" t="n">
        <v>51</v>
      </c>
      <c r="B56" s="25" t="inlineStr">
        <is>
          <t>2026.08.24</t>
        </is>
      </c>
      <c r="C56" s="138" t="n">
        <v>0</v>
      </c>
      <c r="D56" s="41" t="n">
        <v>103</v>
      </c>
      <c r="E56" s="41" t="n">
        <v>0</v>
      </c>
      <c r="F56" s="41" t="n">
        <v>5687</v>
      </c>
      <c r="G56" s="42" t="n"/>
      <c r="H56" s="20" t="n"/>
      <c r="I56" s="20" t="n"/>
      <c r="J56" s="20" t="n"/>
    </row>
    <row r="57" ht="16.5" customFormat="1" customHeight="1" s="12">
      <c r="A57" s="17" t="n">
        <v>52</v>
      </c>
      <c r="B57" s="25" t="inlineStr">
        <is>
          <t>2026.08.31</t>
        </is>
      </c>
      <c r="C57" s="138" t="n">
        <v>40.62</v>
      </c>
      <c r="D57" s="41" t="n">
        <v>137</v>
      </c>
      <c r="E57" s="41" t="n">
        <v>5566</v>
      </c>
      <c r="F57" s="41" t="n"/>
      <c r="G57" s="42" t="n"/>
      <c r="H57" s="20" t="n"/>
      <c r="I57" s="20" t="n"/>
      <c r="J57" s="20" t="n"/>
    </row>
    <row r="58" ht="16.5" customFormat="1" customHeight="1" s="12">
      <c r="A58" s="17" t="n">
        <v>53</v>
      </c>
      <c r="B58" s="25" t="inlineStr">
        <is>
          <t>2026.09.07</t>
        </is>
      </c>
      <c r="C58" s="138" t="n">
        <v>42.38</v>
      </c>
      <c r="D58" s="41" t="n">
        <v>21</v>
      </c>
      <c r="E58" s="41" t="n">
        <v>891</v>
      </c>
      <c r="F58" s="41" t="n"/>
      <c r="G58" s="42" t="n"/>
      <c r="H58" s="20" t="n"/>
      <c r="I58" s="20" t="n"/>
      <c r="J58" s="20" t="n"/>
    </row>
    <row r="59" ht="16.5" customFormat="1" customHeight="1" s="12">
      <c r="A59" s="17" t="n">
        <v>54</v>
      </c>
      <c r="B59" s="25" t="inlineStr">
        <is>
          <t>2026.10.06</t>
        </is>
      </c>
      <c r="C59" s="138" t="n">
        <v>45</v>
      </c>
      <c r="D59" s="41" t="n">
        <v>19</v>
      </c>
      <c r="E59" s="41" t="n">
        <v>856</v>
      </c>
      <c r="F59" s="41" t="n"/>
      <c r="G59" s="42" t="n"/>
      <c r="H59" s="20" t="n"/>
      <c r="I59" s="20" t="n"/>
      <c r="J59" s="20" t="n"/>
    </row>
    <row r="60" ht="16.5" customFormat="1" customHeight="1" s="12">
      <c r="A60" s="17" t="n">
        <v>55</v>
      </c>
      <c r="B60" s="25" t="n"/>
      <c r="C60" s="138" t="n"/>
      <c r="D60" s="41" t="n"/>
      <c r="E60" s="41" t="n"/>
      <c r="F60" s="41" t="n"/>
      <c r="G60" s="42" t="n"/>
      <c r="H60" s="20" t="n"/>
      <c r="I60" s="20" t="n"/>
      <c r="J60" s="20" t="n"/>
    </row>
    <row r="61" ht="16.5" customFormat="1" customHeight="1" s="12">
      <c r="A61" s="17" t="n">
        <v>56</v>
      </c>
      <c r="B61" s="25" t="n"/>
      <c r="C61" s="138" t="n"/>
      <c r="D61" s="41" t="n"/>
      <c r="E61" s="41" t="n"/>
      <c r="F61" s="41" t="n"/>
      <c r="G61" s="42" t="n"/>
      <c r="H61" s="20" t="n"/>
      <c r="I61" s="20" t="n"/>
      <c r="J61" s="20" t="n"/>
    </row>
    <row r="62" ht="16.5" customFormat="1" customHeight="1" s="12">
      <c r="A62" s="17" t="n">
        <v>57</v>
      </c>
      <c r="B62" s="25" t="n"/>
      <c r="C62" s="138" t="n"/>
      <c r="D62" s="41" t="n"/>
      <c r="E62" s="41" t="n"/>
      <c r="F62" s="41" t="n"/>
      <c r="G62" s="42" t="n"/>
      <c r="H62" s="20" t="n"/>
      <c r="I62" s="20" t="n"/>
      <c r="J62" s="20" t="n"/>
    </row>
    <row r="63" ht="16.5" customFormat="1" customHeight="1" s="12">
      <c r="A63" s="17" t="n">
        <v>58</v>
      </c>
      <c r="B63" s="25" t="n"/>
      <c r="C63" s="138" t="n"/>
      <c r="D63" s="41" t="n"/>
      <c r="E63" s="41" t="n"/>
      <c r="F63" s="41" t="n"/>
      <c r="G63" s="42" t="n"/>
      <c r="H63" s="20" t="n"/>
      <c r="I63" s="20" t="n"/>
      <c r="J63" s="20" t="n"/>
    </row>
    <row r="64" ht="16.5" customFormat="1" customHeight="1" s="12">
      <c r="A64" s="17" t="n">
        <v>59</v>
      </c>
      <c r="B64" s="25" t="n"/>
      <c r="C64" s="138" t="n"/>
      <c r="D64" s="41" t="n"/>
      <c r="E64" s="41" t="n"/>
      <c r="F64" s="41" t="n"/>
      <c r="G64" s="42" t="n"/>
      <c r="H64" s="20" t="n"/>
      <c r="I64" s="20" t="n"/>
      <c r="J64" s="20" t="n"/>
    </row>
    <row r="65" ht="16.5" customFormat="1" customHeight="1" s="12">
      <c r="A65" s="17" t="n">
        <v>60</v>
      </c>
      <c r="B65" s="25" t="n"/>
      <c r="C65" s="138" t="n"/>
      <c r="D65" s="41" t="n"/>
      <c r="E65" s="41" t="n"/>
      <c r="F65" s="41" t="n"/>
      <c r="G65" s="42" t="n"/>
      <c r="H65" s="20" t="n"/>
      <c r="I65" s="20" t="n"/>
      <c r="J65" s="20" t="n"/>
    </row>
    <row r="66" ht="16.5" customFormat="1" customHeight="1" s="12">
      <c r="A66" s="17" t="n">
        <v>61</v>
      </c>
      <c r="B66" s="25" t="n"/>
      <c r="C66" s="138" t="n"/>
      <c r="D66" s="41" t="n"/>
      <c r="E66" s="41" t="n"/>
      <c r="F66" s="41" t="n"/>
      <c r="G66" s="42" t="n"/>
      <c r="H66" s="20" t="n"/>
      <c r="I66" s="20" t="n"/>
      <c r="J66" s="20" t="n"/>
    </row>
    <row r="67" ht="16.5" customFormat="1" customHeight="1" s="12">
      <c r="A67" s="17" t="n">
        <v>62</v>
      </c>
      <c r="B67" s="25" t="n"/>
      <c r="C67" s="138" t="n"/>
      <c r="D67" s="41" t="n"/>
      <c r="E67" s="41" t="n"/>
      <c r="F67" s="41" t="n"/>
      <c r="G67" s="42" t="n"/>
      <c r="H67" s="20" t="n"/>
      <c r="I67" s="20" t="n"/>
      <c r="J67" s="20" t="n"/>
    </row>
    <row r="68" ht="16.5" customFormat="1" customHeight="1" s="12">
      <c r="A68" s="17" t="n">
        <v>63</v>
      </c>
      <c r="B68" s="25" t="n"/>
      <c r="C68" s="138" t="n"/>
      <c r="D68" s="41" t="n"/>
      <c r="E68" s="41" t="n"/>
      <c r="F68" s="41" t="n"/>
      <c r="G68" s="42" t="n"/>
      <c r="H68" s="20" t="n"/>
      <c r="I68" s="20" t="n"/>
      <c r="J68" s="20" t="n"/>
    </row>
    <row r="69" ht="16.5" customFormat="1" customHeight="1" s="12">
      <c r="A69" s="17" t="n">
        <v>64</v>
      </c>
      <c r="B69" s="25" t="n"/>
      <c r="C69" s="138" t="n"/>
      <c r="D69" s="41" t="n"/>
      <c r="E69" s="41" t="n"/>
      <c r="F69" s="41" t="n"/>
      <c r="G69" s="42" t="n"/>
      <c r="H69" s="20" t="n"/>
      <c r="I69" s="20" t="n"/>
      <c r="J69" s="20" t="n"/>
    </row>
    <row r="70" ht="16.5" customFormat="1" customHeight="1" s="12">
      <c r="A70" s="17" t="n">
        <v>65</v>
      </c>
      <c r="B70" s="25" t="n"/>
      <c r="C70" s="138" t="n"/>
      <c r="D70" s="41" t="n"/>
      <c r="E70" s="41" t="n"/>
      <c r="F70" s="41" t="n"/>
      <c r="G70" s="42" t="n"/>
      <c r="H70" s="20" t="n"/>
      <c r="I70" s="20" t="n"/>
      <c r="J70" s="20" t="n"/>
    </row>
    <row r="71" ht="16.5" customFormat="1" customHeight="1" s="12">
      <c r="A71" s="17" t="n">
        <v>66</v>
      </c>
      <c r="B71" s="25" t="n"/>
      <c r="C71" s="138" t="n"/>
      <c r="D71" s="41" t="n"/>
      <c r="E71" s="41" t="n"/>
      <c r="F71" s="41" t="n"/>
      <c r="G71" s="42" t="n"/>
      <c r="H71" s="20" t="n"/>
      <c r="I71" s="20" t="n"/>
      <c r="J71" s="20" t="n"/>
    </row>
    <row r="72" ht="16.5" customFormat="1" customHeight="1" s="12">
      <c r="A72" s="17" t="n">
        <v>67</v>
      </c>
      <c r="B72" s="25" t="n"/>
      <c r="C72" s="138" t="n"/>
      <c r="D72" s="41" t="n"/>
      <c r="E72" s="41" t="n"/>
      <c r="F72" s="41" t="n"/>
      <c r="G72" s="42" t="n"/>
      <c r="H72" s="20" t="n"/>
      <c r="I72" s="20" t="n"/>
      <c r="J72" s="20" t="n"/>
    </row>
    <row r="73" ht="16.5" customFormat="1" customHeight="1" s="12">
      <c r="A73" s="17" t="n">
        <v>68</v>
      </c>
      <c r="B73" s="25" t="n"/>
      <c r="C73" s="138" t="n"/>
      <c r="D73" s="41" t="n"/>
      <c r="E73" s="41" t="n"/>
      <c r="F73" s="41" t="n"/>
      <c r="G73" s="42" t="n"/>
      <c r="H73" s="20" t="n"/>
      <c r="I73" s="20" t="n"/>
      <c r="J73" s="20" t="n"/>
    </row>
    <row r="74" ht="16.5" customFormat="1" customHeight="1" s="12">
      <c r="A74" s="17" t="n">
        <v>69</v>
      </c>
      <c r="B74" s="25" t="n"/>
      <c r="C74" s="138" t="n"/>
      <c r="D74" s="41" t="n"/>
      <c r="E74" s="41" t="n"/>
      <c r="F74" s="41" t="n"/>
      <c r="G74" s="42" t="n"/>
      <c r="H74" s="20" t="n"/>
      <c r="I74" s="20" t="n"/>
      <c r="J74" s="20" t="n"/>
    </row>
    <row r="75" ht="16.5" customFormat="1" customHeight="1" s="12">
      <c r="A75" s="17" t="n">
        <v>70</v>
      </c>
      <c r="B75" s="25" t="n"/>
      <c r="C75" s="138" t="n"/>
      <c r="D75" s="41" t="n"/>
      <c r="E75" s="41" t="n"/>
      <c r="F75" s="41" t="n"/>
      <c r="G75" s="42" t="n"/>
      <c r="H75" s="20" t="n"/>
      <c r="I75" s="20" t="n"/>
      <c r="J75" s="20" t="n"/>
    </row>
    <row r="76" ht="16.5" customFormat="1" customHeight="1" s="12">
      <c r="A76" s="17" t="n">
        <v>71</v>
      </c>
      <c r="B76" s="25" t="n"/>
      <c r="C76" s="138" t="n"/>
      <c r="D76" s="41" t="n"/>
      <c r="E76" s="41" t="n"/>
      <c r="F76" s="41" t="n"/>
      <c r="G76" s="42" t="n"/>
      <c r="H76" s="20" t="n"/>
      <c r="I76" s="20" t="n"/>
      <c r="J76" s="20" t="n"/>
    </row>
    <row r="77" ht="16.5" customFormat="1" customHeight="1" s="12">
      <c r="A77" s="17" t="n">
        <v>72</v>
      </c>
      <c r="B77" s="25" t="n"/>
      <c r="C77" s="138" t="n"/>
      <c r="D77" s="41" t="n"/>
      <c r="E77" s="41" t="n"/>
      <c r="F77" s="41" t="n"/>
      <c r="G77" s="42" t="n"/>
      <c r="H77" s="20" t="n"/>
      <c r="I77" s="20" t="n"/>
      <c r="J77" s="20" t="n"/>
    </row>
    <row r="78" ht="16.5" customFormat="1" customHeight="1" s="12">
      <c r="A78" s="17" t="n">
        <v>73</v>
      </c>
      <c r="B78" s="25" t="n"/>
      <c r="C78" s="138" t="n"/>
      <c r="D78" s="41" t="n"/>
      <c r="E78" s="41" t="n"/>
      <c r="F78" s="41" t="n"/>
      <c r="G78" s="42" t="n"/>
      <c r="H78" s="20" t="n"/>
      <c r="I78" s="20" t="n"/>
      <c r="J78" s="20" t="n"/>
    </row>
    <row r="79" ht="16.5" customFormat="1" customHeight="1" s="12">
      <c r="A79" s="17" t="n">
        <v>74</v>
      </c>
      <c r="B79" s="25" t="n"/>
      <c r="C79" s="138" t="n"/>
      <c r="D79" s="41" t="n"/>
      <c r="E79" s="41" t="n"/>
      <c r="F79" s="41" t="n"/>
      <c r="G79" s="42" t="n"/>
      <c r="H79" s="20" t="n"/>
      <c r="I79" s="20" t="n"/>
      <c r="J79" s="20" t="n"/>
    </row>
    <row r="80" ht="16.5" customFormat="1" customHeight="1" s="12">
      <c r="A80" s="17" t="n">
        <v>75</v>
      </c>
      <c r="B80" s="25" t="n"/>
      <c r="C80" s="138" t="n"/>
      <c r="D80" s="41" t="n"/>
      <c r="E80" s="41" t="n"/>
      <c r="F80" s="41" t="n"/>
      <c r="G80" s="42" t="n"/>
      <c r="H80" s="20" t="n"/>
      <c r="I80" s="20" t="n"/>
      <c r="J80" s="20" t="n"/>
    </row>
    <row r="81" ht="16.5" customFormat="1" customHeight="1" s="12">
      <c r="A81" s="17" t="n">
        <v>76</v>
      </c>
      <c r="B81" s="25" t="n"/>
      <c r="C81" s="138" t="n"/>
      <c r="D81" s="41" t="n"/>
      <c r="E81" s="41" t="n"/>
      <c r="F81" s="41" t="n"/>
      <c r="G81" s="42" t="n"/>
      <c r="H81" s="20" t="n"/>
      <c r="I81" s="20" t="n"/>
      <c r="J81" s="20" t="n"/>
    </row>
    <row r="82" ht="16.5" customFormat="1" customHeight="1" s="12">
      <c r="A82" s="17" t="n">
        <v>77</v>
      </c>
      <c r="B82" s="25" t="n"/>
      <c r="C82" s="138" t="n"/>
      <c r="D82" s="41" t="n"/>
      <c r="E82" s="41" t="n"/>
      <c r="F82" s="41" t="n"/>
      <c r="G82" s="42" t="n"/>
      <c r="H82" s="20" t="n"/>
      <c r="I82" s="20" t="n"/>
      <c r="J82" s="20" t="n"/>
    </row>
    <row r="83" ht="16.5" customFormat="1" customHeight="1" s="12">
      <c r="A83" s="17" t="n">
        <v>78</v>
      </c>
      <c r="B83" s="25" t="n"/>
      <c r="C83" s="138" t="n"/>
      <c r="D83" s="41" t="n"/>
      <c r="E83" s="41" t="n"/>
      <c r="F83" s="41" t="n"/>
      <c r="G83" s="42" t="n"/>
      <c r="H83" s="20" t="n"/>
      <c r="I83" s="20" t="n"/>
      <c r="J83" s="20" t="n"/>
    </row>
    <row r="84" ht="16.5" customFormat="1" customHeight="1" s="12">
      <c r="A84" s="17" t="n">
        <v>79</v>
      </c>
      <c r="B84" s="25" t="n"/>
      <c r="C84" s="138" t="n"/>
      <c r="D84" s="41" t="n"/>
      <c r="E84" s="41" t="n"/>
      <c r="F84" s="41" t="n"/>
      <c r="G84" s="42" t="n"/>
      <c r="H84" s="20" t="n"/>
      <c r="I84" s="20" t="n"/>
      <c r="J84" s="20" t="n"/>
    </row>
    <row r="85" ht="16.5" customFormat="1" customHeight="1" s="12">
      <c r="A85" s="17" t="n">
        <v>80</v>
      </c>
      <c r="B85" s="25" t="n"/>
      <c r="C85" s="138" t="n"/>
      <c r="D85" s="41" t="n"/>
      <c r="E85" s="41" t="n"/>
      <c r="F85" s="41" t="n"/>
      <c r="G85" s="42" t="n"/>
      <c r="H85" s="20" t="n"/>
      <c r="I85" s="20" t="n"/>
      <c r="J85" s="20" t="n"/>
    </row>
    <row r="86" ht="16.5" customFormat="1" customHeight="1" s="12">
      <c r="A86" s="17" t="n">
        <v>81</v>
      </c>
      <c r="B86" s="25" t="n"/>
      <c r="C86" s="138" t="n"/>
      <c r="D86" s="41" t="n"/>
      <c r="E86" s="41" t="n"/>
      <c r="F86" s="41" t="n"/>
      <c r="G86" s="42" t="n"/>
      <c r="H86" s="20" t="n"/>
      <c r="I86" s="20" t="n"/>
      <c r="J86" s="20" t="n"/>
    </row>
    <row r="87" ht="16.5" customFormat="1" customHeight="1" s="12">
      <c r="A87" s="17" t="n">
        <v>82</v>
      </c>
      <c r="B87" s="25" t="n"/>
      <c r="C87" s="138" t="n"/>
      <c r="D87" s="41" t="n"/>
      <c r="E87" s="41" t="n"/>
      <c r="F87" s="41" t="n"/>
      <c r="G87" s="42" t="n"/>
      <c r="H87" s="20" t="n"/>
      <c r="I87" s="20" t="n"/>
      <c r="J87" s="20" t="n"/>
    </row>
    <row r="88" ht="16.5" customFormat="1" customHeight="1" s="12">
      <c r="A88" s="17" t="n">
        <v>83</v>
      </c>
      <c r="B88" s="25" t="n"/>
      <c r="C88" s="138" t="n"/>
      <c r="D88" s="41" t="n"/>
      <c r="E88" s="41" t="n"/>
      <c r="F88" s="41" t="n"/>
      <c r="G88" s="42" t="n"/>
      <c r="H88" s="20" t="n"/>
      <c r="I88" s="20" t="n"/>
      <c r="J88" s="20" t="n"/>
    </row>
    <row r="89" ht="16.5" customFormat="1" customHeight="1" s="12">
      <c r="A89" s="17" t="n">
        <v>84</v>
      </c>
      <c r="B89" s="25" t="n"/>
      <c r="C89" s="138" t="n"/>
      <c r="D89" s="41" t="n"/>
      <c r="E89" s="41" t="n"/>
      <c r="F89" s="41" t="n"/>
      <c r="G89" s="42" t="n"/>
      <c r="H89" s="20" t="n"/>
      <c r="I89" s="20" t="n"/>
      <c r="J89" s="20" t="n"/>
    </row>
    <row r="90" ht="16.5" customFormat="1" customHeight="1" s="12">
      <c r="A90" s="17" t="n">
        <v>85</v>
      </c>
      <c r="B90" s="25" t="n"/>
      <c r="C90" s="138" t="n"/>
      <c r="D90" s="41" t="n"/>
      <c r="E90" s="41" t="n"/>
      <c r="F90" s="41" t="n"/>
      <c r="G90" s="42" t="n"/>
      <c r="H90" s="20" t="n"/>
      <c r="I90" s="20" t="n"/>
      <c r="J90" s="20" t="n"/>
    </row>
    <row r="91" ht="16.5" customFormat="1" customHeight="1" s="12">
      <c r="A91" s="17" t="n">
        <v>86</v>
      </c>
      <c r="B91" s="25" t="n"/>
      <c r="C91" s="138" t="n"/>
      <c r="D91" s="41" t="n"/>
      <c r="E91" s="41" t="n"/>
      <c r="F91" s="41" t="n"/>
      <c r="G91" s="42" t="n"/>
      <c r="H91" s="20" t="n"/>
      <c r="I91" s="20" t="n"/>
      <c r="J91" s="20" t="n"/>
    </row>
    <row r="92" ht="16.5" customFormat="1" customHeight="1" s="12">
      <c r="A92" s="17" t="n">
        <v>87</v>
      </c>
      <c r="B92" s="25" t="n"/>
      <c r="C92" s="138" t="n"/>
      <c r="D92" s="41" t="n"/>
      <c r="E92" s="41" t="n"/>
      <c r="F92" s="41" t="n"/>
      <c r="G92" s="42" t="n"/>
      <c r="H92" s="20" t="n"/>
      <c r="I92" s="20" t="n"/>
      <c r="J92" s="20" t="n"/>
    </row>
    <row r="93" ht="16.5" customFormat="1" customHeight="1" s="12">
      <c r="A93" s="17" t="n">
        <v>88</v>
      </c>
      <c r="B93" s="25" t="n"/>
      <c r="C93" s="138" t="n"/>
      <c r="D93" s="41" t="n"/>
      <c r="E93" s="41" t="n"/>
      <c r="F93" s="41" t="n"/>
      <c r="G93" s="42" t="n"/>
      <c r="H93" s="20" t="n"/>
      <c r="I93" s="20" t="n"/>
      <c r="J93" s="20" t="n"/>
    </row>
    <row r="94" ht="16.5" customFormat="1" customHeight="1" s="12">
      <c r="A94" s="17" t="n">
        <v>89</v>
      </c>
      <c r="B94" s="25" t="n"/>
      <c r="C94" s="138" t="n"/>
      <c r="D94" s="41" t="n"/>
      <c r="E94" s="41" t="n"/>
      <c r="F94" s="41" t="n"/>
      <c r="G94" s="42" t="n"/>
      <c r="H94" s="20" t="n"/>
      <c r="I94" s="20" t="n"/>
      <c r="J94" s="20" t="n"/>
    </row>
    <row r="95" ht="16.5" customFormat="1" customHeight="1" s="12">
      <c r="A95" s="17" t="n">
        <v>90</v>
      </c>
      <c r="B95" s="25" t="n"/>
      <c r="C95" s="138" t="n"/>
      <c r="D95" s="41" t="n"/>
      <c r="E95" s="41" t="n"/>
      <c r="F95" s="41" t="n"/>
      <c r="G95" s="42" t="n"/>
      <c r="H95" s="20" t="n"/>
      <c r="I95" s="20" t="n"/>
      <c r="J95" s="20" t="n"/>
    </row>
    <row r="96" ht="16.5" customFormat="1" customHeight="1" s="12">
      <c r="A96" s="17" t="n">
        <v>91</v>
      </c>
      <c r="B96" s="25" t="n"/>
      <c r="C96" s="138" t="n"/>
      <c r="D96" s="41" t="n"/>
      <c r="E96" s="41" t="n"/>
      <c r="F96" s="41" t="n"/>
      <c r="G96" s="42" t="n"/>
      <c r="H96" s="20" t="n"/>
      <c r="I96" s="20" t="n"/>
      <c r="J96" s="20" t="n"/>
    </row>
    <row r="97" ht="16.5" customFormat="1" customHeight="1" s="12">
      <c r="A97" s="17" t="n">
        <v>92</v>
      </c>
      <c r="B97" s="25" t="n"/>
      <c r="C97" s="138" t="n"/>
      <c r="D97" s="41" t="n"/>
      <c r="E97" s="41" t="n"/>
      <c r="F97" s="41" t="n"/>
      <c r="G97" s="42" t="n"/>
      <c r="H97" s="20" t="n"/>
      <c r="I97" s="20" t="n"/>
      <c r="J97" s="20" t="n"/>
    </row>
    <row r="98" ht="16.5" customFormat="1" customHeight="1" s="12">
      <c r="A98" s="17" t="n">
        <v>93</v>
      </c>
      <c r="B98" s="25" t="n"/>
      <c r="C98" s="138" t="n"/>
      <c r="D98" s="41" t="n"/>
      <c r="E98" s="41" t="n"/>
      <c r="F98" s="41" t="n"/>
      <c r="G98" s="42" t="n"/>
      <c r="H98" s="20" t="n"/>
      <c r="I98" s="20" t="n"/>
      <c r="J98" s="20" t="n"/>
    </row>
    <row r="99" ht="16.5" customFormat="1" customHeight="1" s="12">
      <c r="A99" s="17" t="n">
        <v>94</v>
      </c>
      <c r="B99" s="25" t="n"/>
      <c r="C99" s="138" t="n"/>
      <c r="D99" s="41" t="n"/>
      <c r="E99" s="41" t="n"/>
      <c r="F99" s="41" t="n"/>
      <c r="G99" s="42" t="n"/>
      <c r="H99" s="20" t="n"/>
      <c r="I99" s="20" t="n"/>
      <c r="J99" s="20" t="n"/>
    </row>
    <row r="100" ht="16.5" customFormat="1" customHeight="1" s="12">
      <c r="A100" s="17" t="n">
        <v>95</v>
      </c>
      <c r="B100" s="25" t="n"/>
      <c r="C100" s="138" t="n"/>
      <c r="D100" s="41" t="n"/>
      <c r="E100" s="41" t="n"/>
      <c r="F100" s="41" t="n"/>
      <c r="G100" s="42" t="n"/>
      <c r="H100" s="20" t="n"/>
      <c r="I100" s="20" t="n"/>
      <c r="J100" s="20" t="n"/>
    </row>
    <row r="101" ht="16.5" customFormat="1" customHeight="1" s="12">
      <c r="A101" s="17" t="n">
        <v>96</v>
      </c>
      <c r="B101" s="25" t="n"/>
      <c r="C101" s="138" t="n"/>
      <c r="D101" s="41" t="n"/>
      <c r="E101" s="41" t="n"/>
      <c r="F101" s="41" t="n"/>
      <c r="G101" s="42" t="n"/>
      <c r="H101" s="20" t="n"/>
      <c r="I101" s="20" t="n"/>
      <c r="J101" s="20" t="n"/>
    </row>
    <row r="102" ht="16.5" customFormat="1" customHeight="1" s="12">
      <c r="A102" s="17" t="n">
        <v>97</v>
      </c>
      <c r="B102" s="25" t="n"/>
      <c r="C102" s="138" t="n"/>
      <c r="D102" s="41" t="n"/>
      <c r="E102" s="41" t="n"/>
      <c r="F102" s="41" t="n"/>
      <c r="G102" s="42" t="n"/>
      <c r="H102" s="20" t="n"/>
      <c r="I102" s="20" t="n"/>
      <c r="J102" s="20" t="n"/>
    </row>
    <row r="103" ht="16.5" customFormat="1" customHeight="1" s="12">
      <c r="A103" s="17" t="n">
        <v>98</v>
      </c>
      <c r="B103" s="25" t="n"/>
      <c r="C103" s="138" t="n"/>
      <c r="D103" s="41" t="n"/>
      <c r="E103" s="41" t="n"/>
      <c r="F103" s="41" t="n"/>
      <c r="G103" s="42" t="n"/>
      <c r="H103" s="20" t="n"/>
      <c r="I103" s="20" t="n"/>
      <c r="J103" s="20" t="n"/>
    </row>
    <row r="104" ht="16.5" customFormat="1" customHeight="1" s="12">
      <c r="A104" s="17" t="n">
        <v>99</v>
      </c>
      <c r="B104" s="25" t="n"/>
      <c r="C104" s="138" t="n"/>
      <c r="D104" s="41" t="n"/>
      <c r="E104" s="41" t="n"/>
      <c r="F104" s="41" t="n"/>
      <c r="G104" s="42" t="n"/>
      <c r="H104" s="20" t="n"/>
      <c r="I104" s="20" t="n"/>
      <c r="J104" s="20" t="n"/>
    </row>
    <row r="105" ht="16.5" customFormat="1" customHeight="1" s="12">
      <c r="A105" s="17" t="n">
        <v>100</v>
      </c>
      <c r="B105" s="25" t="n"/>
      <c r="C105" s="138" t="n"/>
      <c r="D105" s="41" t="n"/>
      <c r="E105" s="41" t="n"/>
      <c r="F105" s="41" t="n"/>
      <c r="G105" s="42" t="n"/>
      <c r="H105" s="20" t="n"/>
      <c r="I105" s="20" t="n"/>
      <c r="J105" s="20" t="n"/>
    </row>
    <row r="106" ht="16.5" customFormat="1" customHeight="1" s="12">
      <c r="A106" s="17" t="n">
        <v>101</v>
      </c>
      <c r="B106" s="25" t="n"/>
      <c r="C106" s="138" t="n"/>
      <c r="D106" s="41" t="n"/>
      <c r="E106" s="41" t="n"/>
      <c r="F106" s="41" t="n"/>
      <c r="G106" s="42" t="n"/>
      <c r="H106" s="20" t="n"/>
      <c r="I106" s="20" t="n"/>
      <c r="J106" s="20" t="n"/>
    </row>
    <row r="107" ht="16.5" customFormat="1" customHeight="1" s="12">
      <c r="A107" s="17" t="n">
        <v>102</v>
      </c>
      <c r="B107" s="25" t="n"/>
      <c r="C107" s="138" t="n"/>
      <c r="D107" s="41" t="n"/>
      <c r="E107" s="41" t="n"/>
      <c r="F107" s="41" t="n"/>
      <c r="G107" s="42" t="n"/>
      <c r="H107" s="20" t="n"/>
      <c r="I107" s="20" t="n"/>
      <c r="J107" s="20" t="n"/>
    </row>
    <row r="108" ht="16.5" customFormat="1" customHeight="1" s="12">
      <c r="A108" s="17" t="n">
        <v>103</v>
      </c>
      <c r="B108" s="25" t="n"/>
      <c r="C108" s="138" t="n"/>
      <c r="D108" s="41" t="n"/>
      <c r="E108" s="41" t="n"/>
      <c r="F108" s="41" t="n"/>
      <c r="G108" s="42" t="n"/>
      <c r="H108" s="20" t="n"/>
      <c r="I108" s="20" t="n"/>
      <c r="J108" s="20" t="n"/>
    </row>
    <row r="109" ht="16.5" customFormat="1" customHeight="1" s="12">
      <c r="A109" s="17" t="n">
        <v>104</v>
      </c>
      <c r="B109" s="25" t="n"/>
      <c r="C109" s="138" t="n"/>
      <c r="D109" s="41" t="n"/>
      <c r="E109" s="41" t="n"/>
      <c r="F109" s="41" t="n"/>
      <c r="G109" s="42" t="n"/>
      <c r="H109" s="20" t="n"/>
      <c r="I109" s="20" t="n"/>
      <c r="J109" s="20" t="n"/>
    </row>
    <row r="110" ht="16.5" customFormat="1" customHeight="1" s="12">
      <c r="A110" s="17" t="n">
        <v>105</v>
      </c>
      <c r="B110" s="25" t="n"/>
      <c r="C110" s="138" t="n"/>
      <c r="D110" s="41" t="n"/>
      <c r="E110" s="41" t="n"/>
      <c r="F110" s="41" t="n"/>
      <c r="G110" s="42" t="n"/>
      <c r="H110" s="20" t="n"/>
      <c r="I110" s="20" t="n"/>
      <c r="J110" s="20" t="n"/>
    </row>
    <row r="111" ht="16.5" customFormat="1" customHeight="1" s="12">
      <c r="A111" s="17" t="n">
        <v>106</v>
      </c>
      <c r="B111" s="25" t="n"/>
      <c r="C111" s="138" t="n"/>
      <c r="D111" s="41" t="n"/>
      <c r="E111" s="41" t="n"/>
      <c r="F111" s="41" t="n"/>
      <c r="G111" s="42" t="n"/>
      <c r="H111" s="20" t="n"/>
      <c r="I111" s="20" t="n"/>
      <c r="J111" s="20" t="n"/>
    </row>
    <row r="112" ht="16.5" customFormat="1" customHeight="1" s="12">
      <c r="A112" s="17" t="n">
        <v>107</v>
      </c>
      <c r="B112" s="25" t="n"/>
      <c r="C112" s="138" t="n"/>
      <c r="D112" s="41" t="n"/>
      <c r="E112" s="41" t="n"/>
      <c r="F112" s="41" t="n"/>
      <c r="G112" s="42" t="n"/>
      <c r="H112" s="20" t="n"/>
      <c r="I112" s="20" t="n"/>
      <c r="J112" s="20" t="n"/>
    </row>
    <row r="113" ht="16.5" customFormat="1" customHeight="1" s="12">
      <c r="A113" s="17" t="n">
        <v>108</v>
      </c>
      <c r="B113" s="25" t="n"/>
      <c r="C113" s="138" t="n"/>
      <c r="D113" s="41" t="n"/>
      <c r="E113" s="41" t="n"/>
      <c r="F113" s="41" t="n"/>
      <c r="G113" s="42" t="n"/>
      <c r="H113" s="20" t="n"/>
      <c r="I113" s="20" t="n"/>
      <c r="J113" s="20" t="n"/>
    </row>
    <row r="114" ht="16.5" customFormat="1" customHeight="1" s="12">
      <c r="A114" s="17" t="n">
        <v>109</v>
      </c>
      <c r="B114" s="25" t="n"/>
      <c r="C114" s="138" t="n"/>
      <c r="D114" s="41" t="n"/>
      <c r="E114" s="41" t="n"/>
      <c r="F114" s="41" t="n"/>
      <c r="G114" s="42" t="n"/>
      <c r="H114" s="20" t="n"/>
      <c r="I114" s="20" t="n"/>
      <c r="J114" s="20" t="n"/>
    </row>
    <row r="115" ht="16.5" customFormat="1" customHeight="1" s="12">
      <c r="A115" s="17" t="n">
        <v>110</v>
      </c>
      <c r="B115" s="25" t="n"/>
      <c r="C115" s="138" t="n"/>
      <c r="D115" s="41" t="n"/>
      <c r="E115" s="41" t="n"/>
      <c r="F115" s="41" t="n"/>
      <c r="G115" s="42" t="n"/>
      <c r="H115" s="20" t="n"/>
      <c r="I115" s="20" t="n"/>
      <c r="J115" s="20" t="n"/>
    </row>
    <row r="116" ht="16.5" customFormat="1" customHeight="1" s="12">
      <c r="A116" s="17" t="n">
        <v>111</v>
      </c>
      <c r="B116" s="25" t="n"/>
      <c r="C116" s="138" t="n"/>
      <c r="D116" s="41" t="n"/>
      <c r="E116" s="41" t="n"/>
      <c r="F116" s="41" t="n"/>
      <c r="G116" s="42" t="n"/>
      <c r="H116" s="20" t="n"/>
      <c r="I116" s="20" t="n"/>
      <c r="J116" s="20" t="n"/>
    </row>
    <row r="117" ht="16.5" customFormat="1" customHeight="1" s="12">
      <c r="A117" s="17" t="n">
        <v>112</v>
      </c>
      <c r="B117" s="25" t="n"/>
      <c r="C117" s="138" t="n"/>
      <c r="D117" s="41" t="n"/>
      <c r="E117" s="41" t="n"/>
      <c r="F117" s="41" t="n"/>
      <c r="G117" s="42" t="n"/>
      <c r="H117" s="20" t="n"/>
      <c r="I117" s="20" t="n"/>
      <c r="J117" s="20" t="n"/>
    </row>
    <row r="118" ht="16.5" customFormat="1" customHeight="1" s="12">
      <c r="A118" s="17" t="n">
        <v>113</v>
      </c>
      <c r="B118" s="25" t="n"/>
      <c r="C118" s="138" t="n"/>
      <c r="D118" s="41" t="n"/>
      <c r="E118" s="41" t="n"/>
      <c r="F118" s="41" t="n"/>
      <c r="G118" s="42" t="n"/>
      <c r="H118" s="20" t="n"/>
      <c r="I118" s="20" t="n"/>
      <c r="J118" s="20" t="n"/>
    </row>
    <row r="119" ht="16.5" customFormat="1" customHeight="1" s="12">
      <c r="A119" s="17" t="n">
        <v>114</v>
      </c>
      <c r="B119" s="25" t="n"/>
      <c r="C119" s="138" t="n"/>
      <c r="D119" s="41" t="n"/>
      <c r="E119" s="41" t="n"/>
      <c r="F119" s="41" t="n"/>
      <c r="G119" s="42" t="n"/>
      <c r="H119" s="20" t="n"/>
      <c r="I119" s="20" t="n"/>
      <c r="J119" s="20" t="n"/>
    </row>
    <row r="120" ht="16.5" customFormat="1" customHeight="1" s="12">
      <c r="A120" s="17" t="n">
        <v>115</v>
      </c>
      <c r="B120" s="25" t="n"/>
      <c r="C120" s="138" t="n"/>
      <c r="D120" s="41" t="n"/>
      <c r="E120" s="41" t="n"/>
      <c r="F120" s="41" t="n"/>
      <c r="G120" s="42" t="n"/>
      <c r="H120" s="20" t="n"/>
      <c r="I120" s="20" t="n"/>
      <c r="J120" s="20" t="n"/>
    </row>
    <row r="121" ht="16.5" customFormat="1" customHeight="1" s="12">
      <c r="A121" s="17" t="n">
        <v>116</v>
      </c>
      <c r="B121" s="25" t="n"/>
      <c r="C121" s="138" t="n"/>
      <c r="D121" s="41" t="n"/>
      <c r="E121" s="41" t="n"/>
      <c r="F121" s="41" t="n"/>
      <c r="G121" s="42" t="n"/>
      <c r="H121" s="20" t="n"/>
      <c r="I121" s="20" t="n"/>
      <c r="J121" s="20" t="n"/>
    </row>
    <row r="122" ht="16.5" customFormat="1" customHeight="1" s="12">
      <c r="A122" s="17" t="n">
        <v>117</v>
      </c>
      <c r="B122" s="25" t="n"/>
      <c r="C122" s="138" t="n"/>
      <c r="D122" s="41" t="n"/>
      <c r="E122" s="41" t="n"/>
      <c r="F122" s="41" t="n"/>
      <c r="G122" s="42" t="n"/>
      <c r="H122" s="20" t="n"/>
      <c r="I122" s="20" t="n"/>
      <c r="J122" s="20" t="n"/>
    </row>
    <row r="123" ht="16.5" customFormat="1" customHeight="1" s="12">
      <c r="A123" s="17" t="n">
        <v>118</v>
      </c>
      <c r="B123" s="25" t="n"/>
      <c r="C123" s="138" t="n"/>
      <c r="D123" s="41" t="n"/>
      <c r="E123" s="41" t="n"/>
      <c r="F123" s="41" t="n"/>
      <c r="G123" s="42" t="n"/>
      <c r="H123" s="20" t="n"/>
      <c r="I123" s="20" t="n"/>
      <c r="J123" s="20" t="n"/>
    </row>
    <row r="124" ht="16.5" customFormat="1" customHeight="1" s="12">
      <c r="A124" s="17" t="n">
        <v>119</v>
      </c>
      <c r="B124" s="25" t="n"/>
      <c r="C124" s="138" t="n"/>
      <c r="D124" s="41" t="n"/>
      <c r="E124" s="41" t="n"/>
      <c r="F124" s="41" t="n"/>
      <c r="G124" s="42" t="n"/>
      <c r="H124" s="20" t="n"/>
      <c r="I124" s="20" t="n"/>
      <c r="J124" s="20" t="n"/>
    </row>
    <row r="125" ht="16.5" customFormat="1" customHeight="1" s="12">
      <c r="A125" s="17" t="n">
        <v>120</v>
      </c>
      <c r="B125" s="25" t="n"/>
      <c r="C125" s="138" t="n"/>
      <c r="D125" s="41" t="n"/>
      <c r="E125" s="41" t="n"/>
      <c r="F125" s="41" t="n"/>
      <c r="G125" s="42" t="n"/>
      <c r="H125" s="20" t="n"/>
      <c r="I125" s="20" t="n"/>
      <c r="J125" s="20" t="n"/>
    </row>
    <row r="126" ht="16.5" customFormat="1" customHeight="1" s="12">
      <c r="A126" s="17" t="n">
        <v>121</v>
      </c>
      <c r="B126" s="25" t="n"/>
      <c r="C126" s="138" t="n"/>
      <c r="D126" s="41" t="n"/>
      <c r="E126" s="41" t="n"/>
      <c r="F126" s="41" t="n"/>
      <c r="G126" s="42" t="n"/>
      <c r="H126" s="20" t="n"/>
      <c r="I126" s="20" t="n"/>
      <c r="J126" s="20" t="n"/>
    </row>
    <row r="127" ht="16.5" customFormat="1" customHeight="1" s="12">
      <c r="A127" s="17" t="n">
        <v>122</v>
      </c>
      <c r="B127" s="25" t="n"/>
      <c r="C127" s="138" t="n"/>
      <c r="D127" s="41" t="n"/>
      <c r="E127" s="41" t="n"/>
      <c r="F127" s="41" t="n"/>
      <c r="G127" s="42" t="n"/>
      <c r="H127" s="20" t="n"/>
      <c r="I127" s="20" t="n"/>
      <c r="J127" s="20" t="n"/>
    </row>
    <row r="128" ht="16.5" customFormat="1" customHeight="1" s="12">
      <c r="A128" s="17" t="n">
        <v>123</v>
      </c>
      <c r="B128" s="25" t="n"/>
      <c r="C128" s="138" t="n"/>
      <c r="D128" s="41" t="n"/>
      <c r="E128" s="41" t="n"/>
      <c r="F128" s="41" t="n"/>
      <c r="G128" s="42" t="n"/>
      <c r="H128" s="20" t="n"/>
      <c r="I128" s="20" t="n"/>
      <c r="J128" s="20" t="n"/>
    </row>
    <row r="129" ht="16.5" customFormat="1" customHeight="1" s="12">
      <c r="A129" s="17" t="n">
        <v>124</v>
      </c>
      <c r="B129" s="25" t="n"/>
      <c r="C129" s="138" t="n"/>
      <c r="D129" s="41" t="n"/>
      <c r="E129" s="41" t="n"/>
      <c r="F129" s="41" t="n"/>
      <c r="G129" s="42" t="n"/>
      <c r="H129" s="20" t="n"/>
      <c r="I129" s="20" t="n"/>
      <c r="J129" s="20" t="n"/>
    </row>
    <row r="130" ht="16.5" customFormat="1" customHeight="1" s="12">
      <c r="A130" s="17" t="n">
        <v>125</v>
      </c>
      <c r="B130" s="25" t="n"/>
      <c r="C130" s="138" t="n"/>
      <c r="D130" s="41" t="n"/>
      <c r="E130" s="41" t="n"/>
      <c r="F130" s="41" t="n"/>
      <c r="G130" s="42" t="n"/>
      <c r="H130" s="20" t="n"/>
      <c r="I130" s="20" t="n"/>
      <c r="J130" s="20" t="n"/>
    </row>
    <row r="131" ht="16.5" customFormat="1" customHeight="1" s="12">
      <c r="A131" s="17" t="n">
        <v>126</v>
      </c>
      <c r="B131" s="25" t="n"/>
      <c r="C131" s="138" t="n"/>
      <c r="D131" s="41" t="n"/>
      <c r="E131" s="41" t="n"/>
      <c r="F131" s="41" t="n"/>
      <c r="G131" s="42" t="n"/>
      <c r="H131" s="20" t="n"/>
      <c r="I131" s="20" t="n"/>
      <c r="J131" s="20" t="n"/>
    </row>
    <row r="132" ht="16.5" customFormat="1" customHeight="1" s="12">
      <c r="A132" s="17" t="n">
        <v>127</v>
      </c>
      <c r="B132" s="25" t="n"/>
      <c r="C132" s="138" t="n"/>
      <c r="D132" s="41" t="n"/>
      <c r="E132" s="41" t="n"/>
      <c r="F132" s="41" t="n"/>
      <c r="G132" s="42" t="n"/>
      <c r="H132" s="20" t="n"/>
      <c r="I132" s="20" t="n"/>
      <c r="J132" s="20" t="n"/>
    </row>
    <row r="133" ht="16.5" customFormat="1" customHeight="1" s="12">
      <c r="A133" s="17" t="n">
        <v>128</v>
      </c>
      <c r="B133" s="25" t="n"/>
      <c r="C133" s="138" t="n"/>
      <c r="D133" s="41" t="n"/>
      <c r="E133" s="41" t="n"/>
      <c r="F133" s="41" t="n"/>
      <c r="G133" s="42" t="n"/>
      <c r="H133" s="20" t="n"/>
      <c r="I133" s="20" t="n"/>
      <c r="J133" s="20" t="n"/>
    </row>
    <row r="134" ht="16.5" customFormat="1" customHeight="1" s="12">
      <c r="A134" s="17" t="n">
        <v>129</v>
      </c>
      <c r="B134" s="25" t="n"/>
      <c r="C134" s="138" t="n"/>
      <c r="D134" s="41" t="n"/>
      <c r="E134" s="41" t="n"/>
      <c r="F134" s="41" t="n"/>
      <c r="G134" s="42" t="n"/>
      <c r="H134" s="20" t="n"/>
      <c r="I134" s="20" t="n"/>
      <c r="J134" s="20" t="n"/>
    </row>
    <row r="135" ht="16.5" customFormat="1" customHeight="1" s="12">
      <c r="A135" s="17" t="n">
        <v>130</v>
      </c>
      <c r="B135" s="25" t="n"/>
      <c r="C135" s="138" t="n"/>
      <c r="D135" s="41" t="n"/>
      <c r="E135" s="41" t="n"/>
      <c r="F135" s="41" t="n"/>
      <c r="G135" s="42" t="n"/>
      <c r="H135" s="20" t="n"/>
      <c r="I135" s="20" t="n"/>
      <c r="J135" s="20" t="n"/>
    </row>
    <row r="136" ht="16.5" customFormat="1" customHeight="1" s="12">
      <c r="A136" s="17" t="n">
        <v>131</v>
      </c>
      <c r="B136" s="25" t="n"/>
      <c r="C136" s="138" t="n"/>
      <c r="D136" s="41" t="n"/>
      <c r="E136" s="41" t="n"/>
      <c r="F136" s="41" t="n"/>
      <c r="G136" s="42" t="n"/>
      <c r="H136" s="20" t="n"/>
      <c r="I136" s="20" t="n"/>
      <c r="J136" s="20" t="n"/>
    </row>
    <row r="137" ht="16.5" customFormat="1" customHeight="1" s="12">
      <c r="A137" s="17" t="n">
        <v>132</v>
      </c>
      <c r="B137" s="25" t="n"/>
      <c r="C137" s="138" t="n"/>
      <c r="D137" s="41" t="n"/>
      <c r="E137" s="41" t="n"/>
      <c r="F137" s="41" t="n"/>
      <c r="G137" s="42" t="n"/>
      <c r="H137" s="20" t="n"/>
      <c r="I137" s="20" t="n"/>
      <c r="J137" s="20" t="n"/>
    </row>
    <row r="138" ht="16.5" customFormat="1" customHeight="1" s="12">
      <c r="A138" s="17" t="n">
        <v>133</v>
      </c>
      <c r="B138" s="25" t="n"/>
      <c r="C138" s="138" t="n"/>
      <c r="D138" s="41" t="n"/>
      <c r="E138" s="41" t="n"/>
      <c r="F138" s="41" t="n"/>
      <c r="G138" s="42" t="n"/>
      <c r="H138" s="20" t="n"/>
      <c r="I138" s="20" t="n"/>
      <c r="J138" s="20" t="n"/>
    </row>
    <row r="139" ht="16.5" customFormat="1" customHeight="1" s="12">
      <c r="A139" s="17" t="n">
        <v>134</v>
      </c>
      <c r="B139" s="25" t="n"/>
      <c r="C139" s="138" t="n"/>
      <c r="D139" s="41" t="n"/>
      <c r="E139" s="41" t="n"/>
      <c r="F139" s="41" t="n"/>
      <c r="G139" s="42" t="n"/>
      <c r="H139" s="20" t="n"/>
      <c r="I139" s="20" t="n"/>
      <c r="J139" s="20" t="n"/>
    </row>
    <row r="140" ht="16.5" customFormat="1" customHeight="1" s="12">
      <c r="A140" s="17" t="n">
        <v>135</v>
      </c>
      <c r="B140" s="25" t="n"/>
      <c r="C140" s="138" t="n"/>
      <c r="D140" s="41" t="n"/>
      <c r="E140" s="41" t="n"/>
      <c r="F140" s="41" t="n"/>
      <c r="G140" s="42" t="n"/>
      <c r="H140" s="20" t="n"/>
      <c r="I140" s="20" t="n"/>
      <c r="J140" s="20" t="n"/>
    </row>
    <row r="141" ht="16.5" customFormat="1" customHeight="1" s="12">
      <c r="A141" s="17" t="n">
        <v>136</v>
      </c>
      <c r="B141" s="25" t="n"/>
      <c r="C141" s="138" t="n"/>
      <c r="D141" s="41" t="n"/>
      <c r="E141" s="41" t="n"/>
      <c r="F141" s="41" t="n"/>
      <c r="G141" s="42" t="n"/>
      <c r="H141" s="20" t="n"/>
      <c r="I141" s="20" t="n"/>
      <c r="J141" s="20" t="n"/>
    </row>
    <row r="142" ht="16.5" customFormat="1" customHeight="1" s="12">
      <c r="A142" s="17" t="n">
        <v>137</v>
      </c>
      <c r="B142" s="25" t="n"/>
      <c r="C142" s="138" t="n"/>
      <c r="D142" s="41" t="n"/>
      <c r="E142" s="41" t="n"/>
      <c r="F142" s="41" t="n"/>
      <c r="G142" s="42" t="n"/>
      <c r="H142" s="20" t="n"/>
      <c r="I142" s="20" t="n"/>
      <c r="J142" s="20" t="n"/>
    </row>
    <row r="143" ht="16.5" customFormat="1" customHeight="1" s="12">
      <c r="A143" s="17" t="n">
        <v>138</v>
      </c>
      <c r="B143" s="25" t="n"/>
      <c r="C143" s="138" t="n"/>
      <c r="D143" s="41" t="n"/>
      <c r="E143" s="41" t="n"/>
      <c r="F143" s="41" t="n"/>
      <c r="G143" s="42" t="n"/>
      <c r="H143" s="20" t="n"/>
      <c r="I143" s="20" t="n"/>
      <c r="J143" s="20" t="n"/>
    </row>
    <row r="144" ht="16.5" customFormat="1" customHeight="1" s="12">
      <c r="A144" s="17" t="n">
        <v>139</v>
      </c>
      <c r="B144" s="25" t="n"/>
      <c r="C144" s="138" t="n"/>
      <c r="D144" s="41" t="n"/>
      <c r="E144" s="41" t="n"/>
      <c r="F144" s="41" t="n"/>
      <c r="G144" s="42" t="n"/>
      <c r="H144" s="20" t="n"/>
      <c r="I144" s="20" t="n"/>
      <c r="J144" s="20" t="n"/>
    </row>
    <row r="145" ht="16.5" customFormat="1" customHeight="1" s="12">
      <c r="A145" s="17" t="n">
        <v>140</v>
      </c>
      <c r="B145" s="25" t="n"/>
      <c r="C145" s="138" t="n"/>
      <c r="D145" s="41" t="n"/>
      <c r="E145" s="41" t="n"/>
      <c r="F145" s="41" t="n"/>
      <c r="G145" s="42" t="n"/>
      <c r="H145" s="20" t="n"/>
      <c r="I145" s="20" t="n"/>
      <c r="J145" s="20" t="n"/>
    </row>
    <row r="146" ht="16.5" customFormat="1" customHeight="1" s="12">
      <c r="A146" s="17" t="n">
        <v>141</v>
      </c>
      <c r="B146" s="25" t="n"/>
      <c r="C146" s="138" t="n"/>
      <c r="D146" s="41" t="n"/>
      <c r="E146" s="41" t="n"/>
      <c r="F146" s="41" t="n"/>
      <c r="G146" s="42" t="n"/>
      <c r="H146" s="20" t="n"/>
      <c r="I146" s="20" t="n"/>
      <c r="J146" s="20" t="n"/>
    </row>
    <row r="147" ht="16.5" customFormat="1" customHeight="1" s="12">
      <c r="A147" s="17" t="n">
        <v>142</v>
      </c>
      <c r="B147" s="25" t="n"/>
      <c r="C147" s="138" t="n"/>
      <c r="D147" s="41" t="n"/>
      <c r="E147" s="41" t="n"/>
      <c r="F147" s="41" t="n"/>
      <c r="G147" s="42" t="n"/>
      <c r="H147" s="20" t="n"/>
      <c r="I147" s="20" t="n"/>
      <c r="J147" s="20" t="n"/>
    </row>
    <row r="148" ht="16.5" customFormat="1" customHeight="1" s="12">
      <c r="A148" s="17" t="n">
        <v>143</v>
      </c>
      <c r="B148" s="25" t="n"/>
      <c r="C148" s="138" t="n"/>
      <c r="D148" s="41" t="n"/>
      <c r="E148" s="41" t="n"/>
      <c r="F148" s="41" t="n"/>
      <c r="G148" s="42" t="n"/>
      <c r="H148" s="20" t="n"/>
      <c r="I148" s="20" t="n"/>
      <c r="J148" s="20" t="n"/>
    </row>
    <row r="149" ht="16.5" customFormat="1" customHeight="1" s="12">
      <c r="A149" s="17" t="n">
        <v>144</v>
      </c>
      <c r="B149" s="25" t="n"/>
      <c r="C149" s="138" t="n"/>
      <c r="D149" s="41" t="n"/>
      <c r="E149" s="41" t="n"/>
      <c r="F149" s="41" t="n"/>
      <c r="G149" s="42" t="n"/>
      <c r="H149" s="20" t="n"/>
      <c r="I149" s="20" t="n"/>
      <c r="J149" s="20" t="n"/>
    </row>
    <row r="150" ht="16.5" customFormat="1" customHeight="1" s="12">
      <c r="A150" s="17" t="n">
        <v>145</v>
      </c>
      <c r="B150" s="25" t="n"/>
      <c r="C150" s="138" t="n"/>
      <c r="D150" s="41" t="n"/>
      <c r="E150" s="41" t="n"/>
      <c r="F150" s="41" t="n"/>
      <c r="G150" s="42" t="n"/>
      <c r="H150" s="20" t="n"/>
      <c r="I150" s="20" t="n"/>
      <c r="J150" s="20" t="n"/>
    </row>
    <row r="151" ht="16.5" customFormat="1" customHeight="1" s="12">
      <c r="A151" s="17" t="n">
        <v>146</v>
      </c>
      <c r="B151" s="25" t="n"/>
      <c r="C151" s="138" t="n"/>
      <c r="D151" s="41" t="n"/>
      <c r="E151" s="41" t="n"/>
      <c r="F151" s="41" t="n"/>
      <c r="G151" s="42" t="n"/>
      <c r="H151" s="20" t="n"/>
      <c r="I151" s="20" t="n"/>
      <c r="J151" s="20" t="n"/>
    </row>
    <row r="152" ht="16.5" customFormat="1" customHeight="1" s="12">
      <c r="A152" s="17" t="n">
        <v>147</v>
      </c>
      <c r="B152" s="25" t="n"/>
      <c r="C152" s="138" t="n"/>
      <c r="D152" s="41" t="n"/>
      <c r="E152" s="41" t="n"/>
      <c r="F152" s="41" t="n"/>
      <c r="G152" s="42" t="n"/>
      <c r="H152" s="20" t="n"/>
      <c r="I152" s="20" t="n"/>
      <c r="J152" s="20" t="n"/>
    </row>
    <row r="153" ht="16.5" customFormat="1" customHeight="1" s="12">
      <c r="A153" s="17" t="n">
        <v>148</v>
      </c>
      <c r="B153" s="25" t="n"/>
      <c r="C153" s="138" t="n"/>
      <c r="D153" s="41" t="n"/>
      <c r="E153" s="41" t="n"/>
      <c r="F153" s="41" t="n"/>
      <c r="G153" s="42" t="n"/>
      <c r="H153" s="20" t="n"/>
      <c r="I153" s="20" t="n"/>
      <c r="J153" s="20" t="n"/>
    </row>
    <row r="154" ht="16.5" customFormat="1" customHeight="1" s="12">
      <c r="A154" s="17" t="n">
        <v>149</v>
      </c>
      <c r="B154" s="25" t="n"/>
      <c r="C154" s="138" t="n"/>
      <c r="D154" s="41" t="n"/>
      <c r="E154" s="41" t="n"/>
      <c r="F154" s="41" t="n"/>
      <c r="G154" s="42" t="n"/>
      <c r="H154" s="20" t="n"/>
      <c r="I154" s="20" t="n"/>
      <c r="J154" s="20" t="n"/>
    </row>
    <row r="155" ht="16.5" customFormat="1" customHeight="1" s="12">
      <c r="A155" s="17" t="n">
        <v>150</v>
      </c>
      <c r="B155" s="25" t="n"/>
      <c r="C155" s="138" t="n"/>
      <c r="D155" s="41" t="n"/>
      <c r="E155" s="41" t="n"/>
      <c r="F155" s="41" t="n"/>
      <c r="G155" s="42" t="n"/>
      <c r="H155" s="20" t="n"/>
      <c r="I155" s="20" t="n"/>
      <c r="J155" s="20" t="n"/>
    </row>
    <row r="156" ht="16.5" customFormat="1" customHeight="1" s="12">
      <c r="A156" s="17" t="n">
        <v>151</v>
      </c>
      <c r="B156" s="25" t="n"/>
      <c r="C156" s="138" t="n"/>
      <c r="D156" s="41" t="n"/>
      <c r="E156" s="41" t="n"/>
      <c r="F156" s="41" t="n"/>
      <c r="G156" s="42" t="n"/>
      <c r="H156" s="20" t="n"/>
      <c r="I156" s="20" t="n"/>
      <c r="J156" s="20" t="n"/>
    </row>
    <row r="157" ht="16.5" customFormat="1" customHeight="1" s="12">
      <c r="A157" s="17" t="n">
        <v>152</v>
      </c>
      <c r="B157" s="25" t="n"/>
      <c r="C157" s="138" t="n"/>
      <c r="D157" s="41" t="n"/>
      <c r="E157" s="41" t="n"/>
      <c r="F157" s="41" t="n"/>
      <c r="G157" s="42" t="n"/>
      <c r="H157" s="20" t="n"/>
      <c r="I157" s="20" t="n"/>
      <c r="J157" s="20" t="n"/>
    </row>
    <row r="158" ht="16.5" customFormat="1" customHeight="1" s="12">
      <c r="A158" s="17" t="n">
        <v>153</v>
      </c>
      <c r="B158" s="25" t="n"/>
      <c r="C158" s="138" t="n"/>
      <c r="D158" s="41" t="n"/>
      <c r="E158" s="41" t="n"/>
      <c r="F158" s="41" t="n"/>
      <c r="G158" s="42" t="n"/>
      <c r="H158" s="20" t="n"/>
      <c r="I158" s="20" t="n"/>
      <c r="J158" s="20" t="n"/>
    </row>
    <row r="159" ht="16.5" customFormat="1" customHeight="1" s="12">
      <c r="A159" s="17" t="n">
        <v>154</v>
      </c>
      <c r="B159" s="25" t="n"/>
      <c r="C159" s="138" t="n"/>
      <c r="D159" s="41" t="n"/>
      <c r="E159" s="41" t="n"/>
      <c r="F159" s="41" t="n"/>
      <c r="G159" s="42" t="n"/>
      <c r="H159" s="20" t="n"/>
      <c r="I159" s="20" t="n"/>
      <c r="J159" s="20" t="n"/>
    </row>
    <row r="160" ht="16.5" customFormat="1" customHeight="1" s="12">
      <c r="A160" s="17" t="n">
        <v>155</v>
      </c>
      <c r="B160" s="25" t="n"/>
      <c r="C160" s="138" t="n"/>
      <c r="D160" s="41" t="n"/>
      <c r="E160" s="41" t="n"/>
      <c r="F160" s="41" t="n"/>
      <c r="G160" s="42" t="n"/>
      <c r="H160" s="20" t="n"/>
      <c r="I160" s="20" t="n"/>
      <c r="J160" s="20" t="n"/>
    </row>
    <row r="161" ht="16.5" customFormat="1" customHeight="1" s="12">
      <c r="A161" s="17" t="n">
        <v>156</v>
      </c>
      <c r="B161" s="25" t="n"/>
      <c r="C161" s="138" t="n"/>
      <c r="D161" s="41" t="n"/>
      <c r="E161" s="41" t="n"/>
      <c r="F161" s="41" t="n"/>
      <c r="G161" s="42" t="n"/>
      <c r="H161" s="20" t="n"/>
      <c r="I161" s="20" t="n"/>
      <c r="J161" s="20" t="n"/>
    </row>
    <row r="162" ht="16.5" customFormat="1" customHeight="1" s="12">
      <c r="A162" s="17" t="n">
        <v>157</v>
      </c>
      <c r="B162" s="25" t="n"/>
      <c r="C162" s="138" t="n"/>
      <c r="D162" s="41" t="n"/>
      <c r="E162" s="41" t="n"/>
      <c r="F162" s="41" t="n"/>
      <c r="G162" s="42" t="n"/>
      <c r="H162" s="20" t="n"/>
      <c r="I162" s="20" t="n"/>
      <c r="J162" s="20" t="n"/>
    </row>
    <row r="163" ht="16.5" customFormat="1" customHeight="1" s="12">
      <c r="A163" s="17" t="n">
        <v>158</v>
      </c>
      <c r="B163" s="25" t="n"/>
      <c r="C163" s="138" t="n"/>
      <c r="D163" s="41" t="n"/>
      <c r="E163" s="41" t="n"/>
      <c r="F163" s="41" t="n"/>
      <c r="G163" s="42" t="n"/>
      <c r="H163" s="20" t="n"/>
      <c r="I163" s="20" t="n"/>
      <c r="J163" s="20" t="n"/>
    </row>
    <row r="164" ht="16.5" customFormat="1" customHeight="1" s="12">
      <c r="A164" s="17" t="n">
        <v>159</v>
      </c>
      <c r="B164" s="25" t="n"/>
      <c r="C164" s="138" t="n"/>
      <c r="D164" s="41" t="n"/>
      <c r="E164" s="41" t="n"/>
      <c r="F164" s="41" t="n"/>
      <c r="G164" s="42" t="n"/>
      <c r="H164" s="20" t="n"/>
      <c r="I164" s="20" t="n"/>
      <c r="J164" s="20" t="n"/>
    </row>
    <row r="165" ht="16.5" customFormat="1" customHeight="1" s="12">
      <c r="A165" s="17" t="n">
        <v>160</v>
      </c>
      <c r="B165" s="25" t="n"/>
      <c r="C165" s="138" t="n"/>
      <c r="D165" s="41" t="n"/>
      <c r="E165" s="41" t="n"/>
      <c r="F165" s="41" t="n"/>
      <c r="G165" s="42" t="n"/>
      <c r="H165" s="20" t="n"/>
      <c r="I165" s="20" t="n"/>
      <c r="J165" s="20" t="n"/>
    </row>
    <row r="166" ht="16.5" customFormat="1" customHeight="1" s="12">
      <c r="A166" s="17" t="n">
        <v>161</v>
      </c>
      <c r="B166" s="25" t="n"/>
      <c r="C166" s="138" t="n"/>
      <c r="D166" s="41" t="n"/>
      <c r="E166" s="41" t="n"/>
      <c r="F166" s="41" t="n"/>
      <c r="G166" s="42" t="n"/>
      <c r="H166" s="20" t="n"/>
      <c r="I166" s="20" t="n"/>
      <c r="J166" s="20" t="n"/>
    </row>
    <row r="167" ht="16.5" customFormat="1" customHeight="1" s="12">
      <c r="A167" s="17" t="n">
        <v>162</v>
      </c>
      <c r="B167" s="25" t="n"/>
      <c r="C167" s="138" t="n"/>
      <c r="D167" s="41" t="n"/>
      <c r="E167" s="41" t="n"/>
      <c r="F167" s="41" t="n"/>
      <c r="G167" s="42" t="n"/>
      <c r="H167" s="20" t="n"/>
      <c r="I167" s="20" t="n"/>
      <c r="J167" s="20" t="n"/>
    </row>
    <row r="168" ht="16.5" customFormat="1" customHeight="1" s="12">
      <c r="A168" s="17" t="n">
        <v>163</v>
      </c>
      <c r="B168" s="25" t="n"/>
      <c r="C168" s="138" t="n"/>
      <c r="D168" s="41" t="n"/>
      <c r="E168" s="41" t="n"/>
      <c r="F168" s="41" t="n"/>
      <c r="G168" s="42" t="n"/>
      <c r="H168" s="20" t="n"/>
      <c r="I168" s="20" t="n"/>
      <c r="J168" s="20" t="n"/>
    </row>
    <row r="169" ht="16.5" customFormat="1" customHeight="1" s="12">
      <c r="A169" s="17" t="n">
        <v>164</v>
      </c>
      <c r="B169" s="25" t="n"/>
      <c r="C169" s="138" t="n"/>
      <c r="D169" s="41" t="n"/>
      <c r="E169" s="41" t="n"/>
      <c r="F169" s="41" t="n"/>
      <c r="G169" s="42" t="n"/>
      <c r="H169" s="20" t="n"/>
      <c r="I169" s="20" t="n"/>
      <c r="J169" s="20" t="n"/>
    </row>
    <row r="170" ht="16.5" customFormat="1" customHeight="1" s="12">
      <c r="A170" s="17" t="n">
        <v>165</v>
      </c>
      <c r="B170" s="25" t="n"/>
      <c r="C170" s="138" t="n"/>
      <c r="D170" s="41" t="n"/>
      <c r="E170" s="41" t="n"/>
      <c r="F170" s="41" t="n"/>
      <c r="G170" s="42" t="n"/>
      <c r="H170" s="20" t="n"/>
      <c r="I170" s="20" t="n"/>
      <c r="J170" s="20" t="n"/>
    </row>
    <row r="171" ht="16.5" customFormat="1" customHeight="1" s="12">
      <c r="A171" s="17" t="n">
        <v>166</v>
      </c>
      <c r="B171" s="25" t="n"/>
      <c r="C171" s="138" t="n"/>
      <c r="D171" s="41" t="n"/>
      <c r="E171" s="41" t="n"/>
      <c r="F171" s="41" t="n"/>
      <c r="G171" s="42" t="n"/>
      <c r="H171" s="20" t="n"/>
      <c r="I171" s="20" t="n"/>
      <c r="J171" s="20" t="n"/>
    </row>
    <row r="172" ht="16.5" customFormat="1" customHeight="1" s="12">
      <c r="A172" s="17" t="n">
        <v>167</v>
      </c>
      <c r="B172" s="25" t="n"/>
      <c r="C172" s="138" t="n"/>
      <c r="D172" s="41" t="n"/>
      <c r="E172" s="41" t="n"/>
      <c r="F172" s="41" t="n"/>
      <c r="G172" s="42" t="n"/>
      <c r="H172" s="20" t="n"/>
      <c r="I172" s="20" t="n"/>
      <c r="J172" s="20" t="n"/>
    </row>
    <row r="173" ht="16.5" customFormat="1" customHeight="1" s="12">
      <c r="A173" s="17" t="n">
        <v>168</v>
      </c>
      <c r="B173" s="25" t="n"/>
      <c r="C173" s="138" t="n"/>
      <c r="D173" s="41" t="n"/>
      <c r="E173" s="41" t="n"/>
      <c r="F173" s="41" t="n"/>
      <c r="G173" s="42" t="n"/>
      <c r="H173" s="20" t="n"/>
      <c r="I173" s="20" t="n"/>
      <c r="J173" s="20" t="n"/>
    </row>
    <row r="174" ht="16.5" customFormat="1" customHeight="1" s="12">
      <c r="A174" s="17" t="n">
        <v>169</v>
      </c>
      <c r="B174" s="25" t="n"/>
      <c r="C174" s="138" t="n"/>
      <c r="D174" s="41" t="n"/>
      <c r="E174" s="41" t="n"/>
      <c r="F174" s="41" t="n"/>
      <c r="G174" s="42" t="n"/>
      <c r="H174" s="20" t="n"/>
      <c r="I174" s="20" t="n"/>
      <c r="J174" s="20" t="n"/>
    </row>
    <row r="175" ht="16.5" customFormat="1" customHeight="1" s="12">
      <c r="A175" s="17" t="n">
        <v>170</v>
      </c>
      <c r="B175" s="25" t="n"/>
      <c r="C175" s="138" t="n"/>
      <c r="D175" s="41" t="n"/>
      <c r="E175" s="41" t="n"/>
      <c r="F175" s="41" t="n"/>
      <c r="G175" s="42" t="n"/>
      <c r="H175" s="20" t="n"/>
      <c r="I175" s="20" t="n"/>
      <c r="J175" s="20" t="n"/>
    </row>
    <row r="176" ht="16.5" customFormat="1" customHeight="1" s="12">
      <c r="A176" s="17" t="n">
        <v>171</v>
      </c>
      <c r="B176" s="25" t="n"/>
      <c r="C176" s="138" t="n"/>
      <c r="D176" s="41" t="n"/>
      <c r="E176" s="41" t="n"/>
      <c r="F176" s="41" t="n"/>
      <c r="G176" s="42" t="n"/>
      <c r="H176" s="20" t="n"/>
      <c r="I176" s="20" t="n"/>
      <c r="J176" s="20" t="n"/>
    </row>
    <row r="177" ht="16.5" customFormat="1" customHeight="1" s="12">
      <c r="A177" s="17" t="n">
        <v>172</v>
      </c>
      <c r="B177" s="25" t="n"/>
      <c r="C177" s="138" t="n"/>
      <c r="D177" s="41" t="n"/>
      <c r="E177" s="41" t="n"/>
      <c r="F177" s="41" t="n"/>
      <c r="G177" s="42" t="n"/>
      <c r="H177" s="20" t="n"/>
      <c r="I177" s="20" t="n"/>
      <c r="J177" s="20" t="n"/>
    </row>
    <row r="178" ht="16.5" customFormat="1" customHeight="1" s="12">
      <c r="A178" s="17" t="n">
        <v>173</v>
      </c>
      <c r="B178" s="25" t="n"/>
      <c r="C178" s="138" t="n"/>
      <c r="D178" s="41" t="n"/>
      <c r="E178" s="41" t="n"/>
      <c r="F178" s="41" t="n"/>
      <c r="G178" s="42" t="n"/>
      <c r="H178" s="20" t="n"/>
      <c r="I178" s="20" t="n"/>
      <c r="J178" s="20" t="n"/>
    </row>
    <row r="179" ht="16.5" customFormat="1" customHeight="1" s="12">
      <c r="A179" s="17" t="n">
        <v>174</v>
      </c>
      <c r="B179" s="25" t="n"/>
      <c r="C179" s="138" t="n"/>
      <c r="D179" s="41" t="n"/>
      <c r="E179" s="41" t="n"/>
      <c r="F179" s="41" t="n"/>
      <c r="G179" s="42" t="n"/>
      <c r="H179" s="20" t="n"/>
      <c r="I179" s="20" t="n"/>
      <c r="J179" s="20" t="n"/>
    </row>
    <row r="180" ht="16.5" customFormat="1" customHeight="1" s="12">
      <c r="A180" s="17" t="n">
        <v>175</v>
      </c>
      <c r="B180" s="25" t="n"/>
      <c r="C180" s="138" t="n"/>
      <c r="D180" s="41" t="n"/>
      <c r="E180" s="41" t="n"/>
      <c r="F180" s="41" t="n"/>
      <c r="G180" s="42" t="n"/>
      <c r="H180" s="20" t="n"/>
      <c r="I180" s="20" t="n"/>
      <c r="J180" s="20" t="n"/>
    </row>
    <row r="181" ht="16.5" customFormat="1" customHeight="1" s="12">
      <c r="A181" s="17" t="n">
        <v>176</v>
      </c>
      <c r="B181" s="25" t="n"/>
      <c r="C181" s="138" t="n"/>
      <c r="D181" s="41" t="n"/>
      <c r="E181" s="41" t="n"/>
      <c r="F181" s="41" t="n"/>
      <c r="G181" s="42" t="n"/>
      <c r="H181" s="20" t="n"/>
      <c r="I181" s="20" t="n"/>
      <c r="J181" s="20" t="n"/>
    </row>
    <row r="182" ht="16.5" customFormat="1" customHeight="1" s="12">
      <c r="A182" s="17" t="n">
        <v>177</v>
      </c>
      <c r="B182" s="25" t="n"/>
      <c r="C182" s="138" t="n"/>
      <c r="D182" s="41" t="n"/>
      <c r="E182" s="41" t="n"/>
      <c r="F182" s="41" t="n"/>
      <c r="G182" s="42" t="n"/>
      <c r="H182" s="20" t="n"/>
      <c r="I182" s="20" t="n"/>
      <c r="J182" s="20" t="n"/>
    </row>
    <row r="183" ht="16.5" customFormat="1" customHeight="1" s="12">
      <c r="A183" s="17" t="n">
        <v>178</v>
      </c>
      <c r="B183" s="25" t="n"/>
      <c r="C183" s="138" t="n"/>
      <c r="D183" s="41" t="n"/>
      <c r="E183" s="41" t="n"/>
      <c r="F183" s="41" t="n"/>
      <c r="G183" s="42" t="n"/>
      <c r="H183" s="20" t="n"/>
      <c r="I183" s="20" t="n"/>
      <c r="J183" s="20" t="n"/>
    </row>
    <row r="184" ht="16.5" customFormat="1" customHeight="1" s="12">
      <c r="A184" s="17" t="n">
        <v>179</v>
      </c>
      <c r="B184" s="25" t="n"/>
      <c r="C184" s="138" t="n"/>
      <c r="D184" s="41" t="n"/>
      <c r="E184" s="41" t="n"/>
      <c r="F184" s="41" t="n"/>
      <c r="G184" s="42" t="n"/>
      <c r="H184" s="20" t="n"/>
      <c r="I184" s="20" t="n"/>
      <c r="J184" s="20" t="n"/>
    </row>
    <row r="185" ht="16.5" customFormat="1" customHeight="1" s="12">
      <c r="A185" s="17" t="n">
        <v>180</v>
      </c>
      <c r="B185" s="25" t="n"/>
      <c r="C185" s="138" t="n"/>
      <c r="D185" s="41" t="n"/>
      <c r="E185" s="41" t="n"/>
      <c r="F185" s="41" t="n"/>
      <c r="G185" s="42" t="n"/>
      <c r="H185" s="20" t="n"/>
      <c r="I185" s="20" t="n"/>
      <c r="J185" s="20" t="n"/>
    </row>
    <row r="186" ht="16.5" customFormat="1" customHeight="1" s="12">
      <c r="A186" s="17" t="n">
        <v>181</v>
      </c>
      <c r="B186" s="25" t="n"/>
      <c r="C186" s="138" t="n"/>
      <c r="D186" s="41" t="n"/>
      <c r="E186" s="41" t="n"/>
      <c r="F186" s="41" t="n"/>
      <c r="G186" s="42" t="n"/>
      <c r="H186" s="20" t="n"/>
      <c r="I186" s="20" t="n"/>
      <c r="J186" s="20" t="n"/>
    </row>
    <row r="187" ht="16.5" customFormat="1" customHeight="1" s="12">
      <c r="A187" s="17" t="n">
        <v>182</v>
      </c>
      <c r="B187" s="25" t="n"/>
      <c r="C187" s="138" t="n"/>
      <c r="D187" s="41" t="n"/>
      <c r="E187" s="41" t="n"/>
      <c r="F187" s="41" t="n"/>
      <c r="G187" s="42" t="n"/>
      <c r="H187" s="20" t="n"/>
      <c r="I187" s="20" t="n"/>
      <c r="J187" s="20" t="n"/>
    </row>
    <row r="188" ht="16.5" customFormat="1" customHeight="1" s="12">
      <c r="A188" s="17" t="n">
        <v>183</v>
      </c>
      <c r="B188" s="25" t="n"/>
      <c r="C188" s="138" t="n"/>
      <c r="D188" s="41" t="n"/>
      <c r="E188" s="41" t="n"/>
      <c r="F188" s="41" t="n"/>
      <c r="G188" s="42" t="n"/>
      <c r="H188" s="20" t="n"/>
      <c r="I188" s="20" t="n"/>
      <c r="J188" s="20" t="n"/>
    </row>
    <row r="189" ht="16.5" customFormat="1" customHeight="1" s="12">
      <c r="A189" s="17" t="n">
        <v>184</v>
      </c>
      <c r="B189" s="25" t="n"/>
      <c r="C189" s="138" t="n"/>
      <c r="D189" s="41" t="n"/>
      <c r="E189" s="41" t="n"/>
      <c r="F189" s="41" t="n"/>
      <c r="G189" s="42" t="n"/>
      <c r="H189" s="20" t="n"/>
      <c r="I189" s="20" t="n"/>
      <c r="J189" s="20" t="n"/>
    </row>
    <row r="190" ht="16.5" customFormat="1" customHeight="1" s="12">
      <c r="A190" s="17" t="n">
        <v>185</v>
      </c>
      <c r="B190" s="25" t="n"/>
      <c r="C190" s="138" t="n"/>
      <c r="D190" s="41" t="n"/>
      <c r="E190" s="41" t="n"/>
      <c r="F190" s="41" t="n"/>
      <c r="G190" s="42" t="n"/>
      <c r="H190" s="20" t="n"/>
      <c r="I190" s="20" t="n"/>
      <c r="J190" s="20" t="n"/>
    </row>
    <row r="191" ht="16.5" customFormat="1" customHeight="1" s="12">
      <c r="A191" s="17" t="n">
        <v>186</v>
      </c>
      <c r="B191" s="25" t="n"/>
      <c r="C191" s="138" t="n"/>
      <c r="D191" s="41" t="n"/>
      <c r="E191" s="41" t="n"/>
      <c r="F191" s="41" t="n"/>
      <c r="G191" s="42" t="n"/>
      <c r="H191" s="20" t="n"/>
      <c r="I191" s="20" t="n"/>
      <c r="J191" s="20" t="n"/>
    </row>
    <row r="192" ht="16.5" customFormat="1" customHeight="1" s="12">
      <c r="A192" s="17" t="n">
        <v>187</v>
      </c>
      <c r="B192" s="25" t="n"/>
      <c r="C192" s="138" t="n"/>
      <c r="D192" s="41" t="n"/>
      <c r="E192" s="41" t="n"/>
      <c r="F192" s="41" t="n"/>
      <c r="G192" s="42" t="n"/>
      <c r="H192" s="20" t="n"/>
      <c r="I192" s="20" t="n"/>
      <c r="J192" s="20" t="n"/>
    </row>
    <row r="193" ht="16.5" customFormat="1" customHeight="1" s="12">
      <c r="A193" s="17" t="n">
        <v>188</v>
      </c>
      <c r="B193" s="25" t="n"/>
      <c r="C193" s="138" t="n"/>
      <c r="D193" s="41" t="n"/>
      <c r="E193" s="41" t="n"/>
      <c r="F193" s="41" t="n"/>
      <c r="G193" s="42" t="n"/>
      <c r="H193" s="20" t="n"/>
      <c r="I193" s="20" t="n"/>
      <c r="J193" s="20" t="n"/>
    </row>
    <row r="194" ht="16.5" customFormat="1" customHeight="1" s="12">
      <c r="A194" s="17" t="n">
        <v>189</v>
      </c>
      <c r="B194" s="25" t="n"/>
      <c r="C194" s="138" t="n"/>
      <c r="D194" s="41" t="n"/>
      <c r="E194" s="41" t="n"/>
      <c r="F194" s="41" t="n"/>
      <c r="G194" s="42" t="n"/>
      <c r="H194" s="20" t="n"/>
      <c r="I194" s="20" t="n"/>
      <c r="J194" s="20" t="n"/>
    </row>
    <row r="195" ht="16.5" customFormat="1" customHeight="1" s="12">
      <c r="A195" s="17" t="n">
        <v>190</v>
      </c>
      <c r="B195" s="25" t="n"/>
      <c r="C195" s="138" t="n"/>
      <c r="D195" s="41" t="n"/>
      <c r="E195" s="41" t="n"/>
      <c r="F195" s="41" t="n"/>
      <c r="G195" s="42" t="n"/>
      <c r="H195" s="20" t="n"/>
      <c r="I195" s="20" t="n"/>
      <c r="J195" s="20" t="n"/>
    </row>
    <row r="196" ht="16.5" customFormat="1" customHeight="1" s="12">
      <c r="A196" s="17" t="n">
        <v>191</v>
      </c>
      <c r="B196" s="25" t="n"/>
      <c r="C196" s="138" t="n"/>
      <c r="D196" s="41" t="n"/>
      <c r="E196" s="41" t="n"/>
      <c r="F196" s="41" t="n"/>
      <c r="G196" s="42" t="n"/>
      <c r="H196" s="20" t="n"/>
      <c r="I196" s="20" t="n"/>
      <c r="J196" s="20" t="n"/>
    </row>
    <row r="197" ht="16.5" customFormat="1" customHeight="1" s="12">
      <c r="A197" s="17" t="n">
        <v>192</v>
      </c>
      <c r="B197" s="25" t="n"/>
      <c r="C197" s="138" t="n"/>
      <c r="D197" s="41" t="n"/>
      <c r="E197" s="41" t="n"/>
      <c r="F197" s="41" t="n"/>
      <c r="G197" s="42" t="n"/>
      <c r="H197" s="20" t="n"/>
      <c r="I197" s="20" t="n"/>
      <c r="J197" s="20" t="n"/>
    </row>
    <row r="198" ht="16.5" customFormat="1" customHeight="1" s="12">
      <c r="A198" s="17" t="n">
        <v>193</v>
      </c>
      <c r="B198" s="25" t="n"/>
      <c r="C198" s="138" t="n"/>
      <c r="D198" s="41" t="n"/>
      <c r="E198" s="41" t="n"/>
      <c r="F198" s="41" t="n"/>
      <c r="G198" s="42" t="n"/>
      <c r="H198" s="20" t="n"/>
      <c r="I198" s="20" t="n"/>
      <c r="J198" s="20" t="n"/>
    </row>
    <row r="199" ht="16.5" customFormat="1" customHeight="1" s="12">
      <c r="A199" s="17" t="n">
        <v>194</v>
      </c>
      <c r="B199" s="25" t="n"/>
      <c r="C199" s="138" t="n"/>
      <c r="D199" s="41" t="n"/>
      <c r="E199" s="41" t="n"/>
      <c r="F199" s="41" t="n"/>
      <c r="G199" s="42" t="n"/>
      <c r="H199" s="20" t="n"/>
      <c r="I199" s="20" t="n"/>
      <c r="J199" s="20" t="n"/>
    </row>
    <row r="200" ht="16.5" customFormat="1" customHeight="1" s="12">
      <c r="A200" s="17" t="n">
        <v>195</v>
      </c>
      <c r="B200" s="25" t="n"/>
      <c r="C200" s="138" t="n"/>
      <c r="D200" s="41" t="n"/>
      <c r="E200" s="41" t="n"/>
      <c r="F200" s="41" t="n"/>
      <c r="G200" s="42" t="n"/>
      <c r="H200" s="20" t="n"/>
      <c r="I200" s="20" t="n"/>
      <c r="J200" s="20" t="n"/>
    </row>
    <row r="201" ht="16.5" customFormat="1" customHeight="1" s="12">
      <c r="A201" s="17" t="n">
        <v>196</v>
      </c>
      <c r="B201" s="25" t="n"/>
      <c r="C201" s="138" t="n"/>
      <c r="D201" s="41" t="n"/>
      <c r="E201" s="41" t="n"/>
      <c r="F201" s="41" t="n"/>
      <c r="G201" s="42" t="n"/>
      <c r="H201" s="20" t="n"/>
      <c r="I201" s="20" t="n"/>
      <c r="J201" s="20" t="n"/>
    </row>
    <row r="202" ht="16.5" customFormat="1" customHeight="1" s="12">
      <c r="A202" s="17" t="n">
        <v>197</v>
      </c>
      <c r="B202" s="25" t="n"/>
      <c r="C202" s="138" t="n"/>
      <c r="D202" s="41" t="n"/>
      <c r="E202" s="41" t="n"/>
      <c r="F202" s="41" t="n"/>
      <c r="G202" s="42" t="n"/>
      <c r="H202" s="20" t="n"/>
      <c r="I202" s="20" t="n"/>
      <c r="J202" s="20" t="n"/>
    </row>
    <row r="203" ht="16.5" customFormat="1" customHeight="1" s="12">
      <c r="A203" s="17" t="n">
        <v>198</v>
      </c>
      <c r="B203" s="25" t="n"/>
      <c r="C203" s="138" t="n"/>
      <c r="D203" s="41" t="n"/>
      <c r="E203" s="41" t="n"/>
      <c r="F203" s="41" t="n"/>
      <c r="G203" s="42" t="n"/>
      <c r="H203" s="20" t="n"/>
      <c r="I203" s="20" t="n"/>
      <c r="J203" s="20" t="n"/>
    </row>
    <row r="204" ht="16.5" customFormat="1" customHeight="1" s="12">
      <c r="A204" s="17" t="n">
        <v>199</v>
      </c>
      <c r="B204" s="25" t="n"/>
      <c r="C204" s="138" t="n"/>
      <c r="D204" s="41" t="n"/>
      <c r="E204" s="41" t="n"/>
      <c r="F204" s="41" t="n"/>
      <c r="G204" s="42" t="n"/>
      <c r="H204" s="20" t="n"/>
      <c r="I204" s="20" t="n"/>
      <c r="J204" s="20" t="n"/>
    </row>
    <row r="205" ht="16.5" customFormat="1" customHeight="1" s="12">
      <c r="A205" s="17" t="n">
        <v>200</v>
      </c>
      <c r="B205" s="25" t="n"/>
      <c r="C205" s="138" t="n"/>
      <c r="D205" s="41" t="n"/>
      <c r="E205" s="41" t="n"/>
      <c r="F205" s="41" t="n"/>
      <c r="G205" s="42" t="n"/>
      <c r="H205" s="20" t="n"/>
      <c r="I205" s="20" t="n"/>
      <c r="J205" s="20" t="n"/>
    </row>
    <row r="206" ht="16.5" customFormat="1" customHeight="1" s="12">
      <c r="A206" s="17" t="n">
        <v>201</v>
      </c>
      <c r="B206" s="25" t="n"/>
      <c r="C206" s="138" t="n"/>
      <c r="D206" s="41" t="n"/>
      <c r="E206" s="41" t="n"/>
      <c r="F206" s="41" t="n"/>
      <c r="G206" s="42" t="n"/>
      <c r="H206" s="20" t="n"/>
      <c r="I206" s="20" t="n"/>
      <c r="J206" s="20" t="n"/>
    </row>
    <row r="207" ht="16.5" customFormat="1" customHeight="1" s="12">
      <c r="A207" s="17" t="n">
        <v>202</v>
      </c>
      <c r="B207" s="25" t="n"/>
      <c r="C207" s="138" t="n"/>
      <c r="D207" s="41" t="n"/>
      <c r="E207" s="41" t="n"/>
      <c r="F207" s="41" t="n"/>
      <c r="G207" s="42" t="n"/>
      <c r="H207" s="20" t="n"/>
      <c r="I207" s="20" t="n"/>
      <c r="J207" s="20" t="n"/>
    </row>
    <row r="208" ht="16.5" customFormat="1" customHeight="1" s="12">
      <c r="A208" s="17" t="n">
        <v>203</v>
      </c>
      <c r="B208" s="25" t="n"/>
      <c r="C208" s="138" t="n"/>
      <c r="D208" s="41" t="n"/>
      <c r="E208" s="41" t="n"/>
      <c r="F208" s="41" t="n"/>
      <c r="G208" s="42" t="n"/>
      <c r="H208" s="20" t="n"/>
      <c r="I208" s="20" t="n"/>
      <c r="J208" s="20" t="n"/>
    </row>
    <row r="209" ht="16.5" customFormat="1" customHeight="1" s="12">
      <c r="A209" s="17" t="n">
        <v>204</v>
      </c>
      <c r="B209" s="25" t="n"/>
      <c r="C209" s="138" t="n"/>
      <c r="D209" s="41" t="n"/>
      <c r="E209" s="41" t="n"/>
      <c r="F209" s="41" t="n"/>
      <c r="G209" s="42" t="n"/>
      <c r="H209" s="20" t="n"/>
      <c r="I209" s="20" t="n"/>
      <c r="J209" s="20" t="n"/>
    </row>
    <row r="210" ht="16.5" customFormat="1" customHeight="1" s="12">
      <c r="A210" s="17" t="n">
        <v>205</v>
      </c>
      <c r="B210" s="25" t="n"/>
      <c r="C210" s="138" t="n"/>
      <c r="D210" s="41" t="n"/>
      <c r="E210" s="41" t="n"/>
      <c r="F210" s="41" t="n"/>
      <c r="G210" s="42" t="n"/>
      <c r="H210" s="20" t="n"/>
      <c r="I210" s="20" t="n"/>
      <c r="J210" s="20" t="n"/>
    </row>
    <row r="211" ht="16.5" customFormat="1" customHeight="1" s="12">
      <c r="A211" s="17" t="n">
        <v>206</v>
      </c>
      <c r="B211" s="25" t="n"/>
      <c r="C211" s="138" t="n"/>
      <c r="D211" s="41" t="n"/>
      <c r="E211" s="41" t="n"/>
      <c r="F211" s="41" t="n"/>
      <c r="G211" s="42" t="n"/>
      <c r="H211" s="20" t="n"/>
      <c r="I211" s="20" t="n"/>
      <c r="J211" s="20" t="n"/>
    </row>
    <row r="212" ht="16.5" customFormat="1" customHeight="1" s="12">
      <c r="A212" s="17" t="n">
        <v>207</v>
      </c>
      <c r="B212" s="25" t="n"/>
      <c r="C212" s="138" t="n"/>
      <c r="D212" s="41" t="n"/>
      <c r="E212" s="41" t="n"/>
      <c r="F212" s="41" t="n"/>
      <c r="G212" s="42" t="n"/>
      <c r="H212" s="20" t="n"/>
      <c r="I212" s="20" t="n"/>
      <c r="J212" s="20" t="n"/>
    </row>
    <row r="213" ht="16.5" customFormat="1" customHeight="1" s="12">
      <c r="A213" s="17" t="n">
        <v>208</v>
      </c>
      <c r="B213" s="25" t="n"/>
      <c r="C213" s="138" t="n"/>
      <c r="D213" s="41" t="n"/>
      <c r="E213" s="41" t="n"/>
      <c r="F213" s="41" t="n"/>
      <c r="G213" s="42" t="n"/>
      <c r="H213" s="20" t="n"/>
      <c r="I213" s="20" t="n"/>
      <c r="J213" s="20" t="n"/>
    </row>
    <row r="214" ht="16.5" customFormat="1" customHeight="1" s="12">
      <c r="A214" s="17" t="n">
        <v>209</v>
      </c>
      <c r="B214" s="25" t="n"/>
      <c r="C214" s="138" t="n"/>
      <c r="D214" s="41" t="n"/>
      <c r="E214" s="41" t="n"/>
      <c r="F214" s="41" t="n"/>
      <c r="G214" s="42" t="n"/>
      <c r="H214" s="20" t="n"/>
      <c r="I214" s="20" t="n"/>
      <c r="J214" s="20" t="n"/>
    </row>
    <row r="215" ht="16.5" customFormat="1" customHeight="1" s="12">
      <c r="A215" s="17" t="n">
        <v>210</v>
      </c>
      <c r="B215" s="25" t="n"/>
      <c r="C215" s="138" t="n"/>
      <c r="D215" s="41" t="n"/>
      <c r="E215" s="41" t="n"/>
      <c r="F215" s="41" t="n"/>
      <c r="G215" s="42" t="n"/>
      <c r="H215" s="20" t="n"/>
      <c r="I215" s="20" t="n"/>
      <c r="J215" s="20" t="n"/>
    </row>
    <row r="216" ht="16.5" customFormat="1" customHeight="1" s="12">
      <c r="A216" s="17" t="n">
        <v>211</v>
      </c>
      <c r="B216" s="25" t="n"/>
      <c r="C216" s="138" t="n"/>
      <c r="D216" s="41" t="n"/>
      <c r="E216" s="41" t="n"/>
      <c r="F216" s="41" t="n"/>
      <c r="G216" s="42" t="n"/>
      <c r="H216" s="20" t="n"/>
      <c r="I216" s="20" t="n"/>
      <c r="J216" s="20" t="n"/>
    </row>
    <row r="217" ht="16.5" customFormat="1" customHeight="1" s="12">
      <c r="A217" s="17" t="n">
        <v>212</v>
      </c>
      <c r="B217" s="25" t="n"/>
      <c r="C217" s="138" t="n"/>
      <c r="D217" s="41" t="n"/>
      <c r="E217" s="41" t="n"/>
      <c r="F217" s="41" t="n"/>
      <c r="G217" s="42" t="n"/>
      <c r="H217" s="20" t="n"/>
      <c r="I217" s="20" t="n"/>
      <c r="J217" s="20" t="n"/>
    </row>
    <row r="218" ht="16.5" customFormat="1" customHeight="1" s="12">
      <c r="A218" s="17" t="n">
        <v>213</v>
      </c>
      <c r="B218" s="25" t="n"/>
      <c r="C218" s="138" t="n"/>
      <c r="D218" s="41" t="n"/>
      <c r="E218" s="41" t="n"/>
      <c r="F218" s="41" t="n"/>
      <c r="G218" s="42" t="n"/>
      <c r="H218" s="20" t="n"/>
      <c r="I218" s="20" t="n"/>
      <c r="J218" s="20" t="n"/>
    </row>
    <row r="219" ht="16.5" customFormat="1" customHeight="1" s="12">
      <c r="A219" s="17" t="n">
        <v>214</v>
      </c>
      <c r="B219" s="25" t="n"/>
      <c r="C219" s="138" t="n"/>
      <c r="D219" s="41" t="n"/>
      <c r="E219" s="41" t="n"/>
      <c r="F219" s="41" t="n"/>
      <c r="G219" s="42" t="n"/>
      <c r="H219" s="20" t="n"/>
      <c r="I219" s="20" t="n"/>
      <c r="J219" s="20" t="n"/>
    </row>
    <row r="220" ht="16.5" customFormat="1" customHeight="1" s="12">
      <c r="A220" s="17" t="n">
        <v>215</v>
      </c>
      <c r="B220" s="25" t="n"/>
      <c r="C220" s="138" t="n"/>
      <c r="D220" s="41" t="n"/>
      <c r="E220" s="41" t="n"/>
      <c r="F220" s="41" t="n"/>
      <c r="G220" s="42" t="n"/>
      <c r="H220" s="20" t="n"/>
      <c r="I220" s="20" t="n"/>
      <c r="J220" s="20" t="n"/>
    </row>
    <row r="221" ht="16.5" customFormat="1" customHeight="1" s="12">
      <c r="A221" s="17" t="n">
        <v>216</v>
      </c>
      <c r="B221" s="25" t="n"/>
      <c r="C221" s="138" t="n"/>
      <c r="D221" s="41" t="n"/>
      <c r="E221" s="41" t="n"/>
      <c r="F221" s="41" t="n"/>
      <c r="G221" s="42" t="n"/>
      <c r="H221" s="20" t="n"/>
      <c r="I221" s="20" t="n"/>
      <c r="J221" s="20" t="n"/>
    </row>
    <row r="222" ht="16.5" customFormat="1" customHeight="1" s="12">
      <c r="A222" s="17" t="n">
        <v>217</v>
      </c>
      <c r="B222" s="25" t="n"/>
      <c r="C222" s="138" t="n"/>
      <c r="D222" s="41" t="n"/>
      <c r="E222" s="41" t="n"/>
      <c r="F222" s="41" t="n"/>
      <c r="G222" s="42" t="n"/>
      <c r="H222" s="20" t="n"/>
      <c r="I222" s="20" t="n"/>
      <c r="J222" s="20" t="n"/>
    </row>
    <row r="223" ht="16.5" customFormat="1" customHeight="1" s="12">
      <c r="A223" s="17" t="n">
        <v>218</v>
      </c>
      <c r="B223" s="25" t="n"/>
      <c r="C223" s="138" t="n"/>
      <c r="D223" s="41" t="n"/>
      <c r="E223" s="41" t="n"/>
      <c r="F223" s="41" t="n"/>
      <c r="G223" s="42" t="n"/>
      <c r="H223" s="20" t="n"/>
      <c r="I223" s="20" t="n"/>
      <c r="J223" s="20" t="n"/>
    </row>
    <row r="224" ht="16.5" customFormat="1" customHeight="1" s="12">
      <c r="A224" s="17" t="n">
        <v>219</v>
      </c>
      <c r="B224" s="25" t="n"/>
      <c r="C224" s="138" t="n"/>
      <c r="D224" s="41" t="n"/>
      <c r="E224" s="41" t="n"/>
      <c r="F224" s="41" t="n"/>
      <c r="G224" s="42" t="n"/>
      <c r="H224" s="20" t="n"/>
      <c r="I224" s="20" t="n"/>
      <c r="J224" s="20" t="n"/>
    </row>
    <row r="225" ht="16.5" customFormat="1" customHeight="1" s="12">
      <c r="A225" s="17" t="n">
        <v>220</v>
      </c>
      <c r="B225" s="25" t="n"/>
      <c r="C225" s="138" t="n"/>
      <c r="D225" s="41" t="n"/>
      <c r="E225" s="41" t="n"/>
      <c r="F225" s="41" t="n"/>
      <c r="G225" s="42" t="n"/>
      <c r="H225" s="20" t="n"/>
      <c r="I225" s="20" t="n"/>
      <c r="J225" s="20" t="n"/>
    </row>
    <row r="226" ht="16.5" customFormat="1" customHeight="1" s="12">
      <c r="A226" s="17" t="n">
        <v>221</v>
      </c>
      <c r="B226" s="25" t="n"/>
      <c r="C226" s="138" t="n"/>
      <c r="D226" s="41" t="n"/>
      <c r="E226" s="41" t="n"/>
      <c r="F226" s="41" t="n"/>
      <c r="G226" s="42" t="n"/>
      <c r="H226" s="20" t="n"/>
      <c r="I226" s="20" t="n"/>
      <c r="J226" s="20" t="n"/>
    </row>
    <row r="227" ht="16.5" customFormat="1" customHeight="1" s="12">
      <c r="A227" s="17" t="n">
        <v>222</v>
      </c>
      <c r="B227" s="25" t="n"/>
      <c r="C227" s="138" t="n"/>
      <c r="D227" s="41" t="n"/>
      <c r="E227" s="41" t="n"/>
      <c r="F227" s="41" t="n"/>
      <c r="G227" s="42" t="n"/>
      <c r="H227" s="20" t="n"/>
      <c r="I227" s="20" t="n"/>
      <c r="J227" s="20" t="n"/>
    </row>
    <row r="228" ht="16.5" customFormat="1" customHeight="1" s="12">
      <c r="A228" s="17" t="n">
        <v>223</v>
      </c>
      <c r="B228" s="25" t="n"/>
      <c r="C228" s="138" t="n"/>
      <c r="D228" s="41" t="n"/>
      <c r="E228" s="41" t="n"/>
      <c r="F228" s="41" t="n"/>
      <c r="G228" s="42" t="n"/>
      <c r="H228" s="20" t="n"/>
      <c r="I228" s="20" t="n"/>
      <c r="J228" s="20" t="n"/>
    </row>
    <row r="229" ht="16.5" customFormat="1" customHeight="1" s="12">
      <c r="A229" s="17" t="n">
        <v>224</v>
      </c>
      <c r="B229" s="25" t="n"/>
      <c r="C229" s="138" t="n"/>
      <c r="D229" s="41" t="n"/>
      <c r="E229" s="41" t="n"/>
      <c r="F229" s="41" t="n"/>
      <c r="G229" s="42" t="n"/>
      <c r="H229" s="20" t="n"/>
      <c r="I229" s="20" t="n"/>
      <c r="J229" s="20" t="n"/>
    </row>
    <row r="230" ht="16.5" customFormat="1" customHeight="1" s="12">
      <c r="A230" s="17" t="n">
        <v>225</v>
      </c>
      <c r="B230" s="25" t="n"/>
      <c r="C230" s="138" t="n"/>
      <c r="D230" s="41" t="n"/>
      <c r="E230" s="41" t="n"/>
      <c r="F230" s="41" t="n"/>
      <c r="G230" s="42" t="n"/>
      <c r="H230" s="20" t="n"/>
      <c r="I230" s="20" t="n"/>
      <c r="J230" s="20" t="n"/>
    </row>
    <row r="231" ht="16.5" customFormat="1" customHeight="1" s="12">
      <c r="A231" s="17" t="n">
        <v>226</v>
      </c>
      <c r="B231" s="25" t="n"/>
      <c r="C231" s="138" t="n"/>
      <c r="D231" s="41" t="n"/>
      <c r="E231" s="41" t="n"/>
      <c r="F231" s="41" t="n"/>
      <c r="G231" s="42" t="n"/>
      <c r="H231" s="20" t="n"/>
      <c r="I231" s="20" t="n"/>
      <c r="J231" s="20" t="n"/>
    </row>
    <row r="232" ht="16.5" customFormat="1" customHeight="1" s="12">
      <c r="A232" s="17" t="n">
        <v>227</v>
      </c>
      <c r="B232" s="25" t="n"/>
      <c r="C232" s="138" t="n"/>
      <c r="D232" s="41" t="n"/>
      <c r="E232" s="41" t="n"/>
      <c r="F232" s="41" t="n"/>
      <c r="G232" s="42" t="n"/>
      <c r="H232" s="20" t="n"/>
      <c r="I232" s="20" t="n"/>
      <c r="J232" s="20" t="n"/>
    </row>
    <row r="233" ht="16.5" customFormat="1" customHeight="1" s="12">
      <c r="A233" s="17" t="n">
        <v>228</v>
      </c>
      <c r="B233" s="25" t="n"/>
      <c r="C233" s="138" t="n"/>
      <c r="D233" s="41" t="n"/>
      <c r="E233" s="41" t="n"/>
      <c r="F233" s="41" t="n"/>
      <c r="G233" s="42" t="n"/>
      <c r="H233" s="20" t="n"/>
      <c r="I233" s="20" t="n"/>
      <c r="J233" s="20" t="n"/>
    </row>
    <row r="234" ht="16.5" customFormat="1" customHeight="1" s="12">
      <c r="A234" s="17" t="n">
        <v>229</v>
      </c>
      <c r="B234" s="25" t="n"/>
      <c r="C234" s="138" t="n"/>
      <c r="D234" s="41" t="n"/>
      <c r="E234" s="41" t="n"/>
      <c r="F234" s="41" t="n"/>
      <c r="G234" s="42" t="n"/>
      <c r="H234" s="20" t="n"/>
      <c r="I234" s="20" t="n"/>
      <c r="J234" s="20" t="n"/>
    </row>
    <row r="235" ht="16.5" customFormat="1" customHeight="1" s="12">
      <c r="A235" s="17" t="n">
        <v>230</v>
      </c>
      <c r="B235" s="25" t="n"/>
      <c r="C235" s="138" t="n"/>
      <c r="D235" s="41" t="n"/>
      <c r="E235" s="41" t="n"/>
      <c r="F235" s="41" t="n"/>
      <c r="G235" s="42" t="n"/>
      <c r="H235" s="20" t="n"/>
      <c r="I235" s="20" t="n"/>
      <c r="J235" s="20" t="n"/>
    </row>
    <row r="236" ht="16.5" customFormat="1" customHeight="1" s="12">
      <c r="A236" s="17" t="n">
        <v>231</v>
      </c>
      <c r="B236" s="25" t="n"/>
      <c r="C236" s="138" t="n"/>
      <c r="D236" s="41" t="n"/>
      <c r="E236" s="41" t="n"/>
      <c r="F236" s="41" t="n"/>
      <c r="G236" s="42" t="n"/>
      <c r="H236" s="20" t="n"/>
      <c r="I236" s="20" t="n"/>
      <c r="J236" s="20" t="n"/>
    </row>
    <row r="237" ht="16.5" customFormat="1" customHeight="1" s="12">
      <c r="A237" s="17" t="n">
        <v>232</v>
      </c>
      <c r="B237" s="25" t="n"/>
      <c r="C237" s="138" t="n"/>
      <c r="D237" s="41" t="n"/>
      <c r="E237" s="41" t="n"/>
      <c r="F237" s="41" t="n"/>
      <c r="G237" s="42" t="n"/>
      <c r="H237" s="20" t="n"/>
      <c r="I237" s="20" t="n"/>
      <c r="J237" s="20" t="n"/>
    </row>
    <row r="238" ht="16.5" customFormat="1" customHeight="1" s="12">
      <c r="A238" s="17" t="n">
        <v>233</v>
      </c>
      <c r="B238" s="25" t="n"/>
      <c r="C238" s="138" t="n"/>
      <c r="D238" s="41" t="n"/>
      <c r="E238" s="41" t="n"/>
      <c r="F238" s="41" t="n"/>
      <c r="G238" s="42" t="n"/>
      <c r="H238" s="20" t="n"/>
      <c r="I238" s="20" t="n"/>
      <c r="J238" s="20" t="n"/>
    </row>
    <row r="239" ht="16.5" customFormat="1" customHeight="1" s="12">
      <c r="A239" s="17" t="n">
        <v>234</v>
      </c>
      <c r="B239" s="25" t="n"/>
      <c r="C239" s="138" t="n"/>
      <c r="D239" s="41" t="n"/>
      <c r="E239" s="41" t="n"/>
      <c r="F239" s="41" t="n"/>
      <c r="G239" s="42" t="n"/>
      <c r="H239" s="20" t="n"/>
      <c r="I239" s="20" t="n"/>
      <c r="J239" s="20" t="n"/>
    </row>
    <row r="240" ht="16.5" customFormat="1" customHeight="1" s="12">
      <c r="A240" s="17" t="n">
        <v>235</v>
      </c>
      <c r="B240" s="25" t="n"/>
      <c r="C240" s="138" t="n"/>
      <c r="D240" s="41" t="n"/>
      <c r="E240" s="41" t="n"/>
      <c r="F240" s="41" t="n"/>
      <c r="G240" s="42" t="n"/>
      <c r="H240" s="20" t="n"/>
      <c r="I240" s="20" t="n"/>
      <c r="J240" s="20" t="n"/>
    </row>
    <row r="241" ht="16.5" customFormat="1" customHeight="1" s="12">
      <c r="A241" s="17" t="n">
        <v>236</v>
      </c>
      <c r="B241" s="25" t="n"/>
      <c r="C241" s="138" t="n"/>
      <c r="D241" s="41" t="n"/>
      <c r="E241" s="41" t="n"/>
      <c r="F241" s="41" t="n"/>
      <c r="G241" s="42" t="n"/>
      <c r="H241" s="20" t="n"/>
      <c r="I241" s="20" t="n"/>
      <c r="J241" s="20" t="n"/>
    </row>
    <row r="242" ht="16.5" customFormat="1" customHeight="1" s="12">
      <c r="A242" s="17" t="n">
        <v>237</v>
      </c>
      <c r="B242" s="25" t="n"/>
      <c r="C242" s="138" t="n"/>
      <c r="D242" s="41" t="n"/>
      <c r="E242" s="41" t="n"/>
      <c r="F242" s="41" t="n"/>
      <c r="G242" s="42" t="n"/>
      <c r="H242" s="20" t="n"/>
      <c r="I242" s="20" t="n"/>
      <c r="J242" s="20" t="n"/>
    </row>
    <row r="243" ht="16.5" customFormat="1" customHeight="1" s="12">
      <c r="A243" s="17" t="n">
        <v>238</v>
      </c>
      <c r="B243" s="25" t="n"/>
      <c r="C243" s="138" t="n"/>
      <c r="D243" s="41" t="n"/>
      <c r="E243" s="41" t="n"/>
      <c r="F243" s="41" t="n"/>
      <c r="G243" s="42" t="n"/>
      <c r="H243" s="20" t="n"/>
      <c r="I243" s="20" t="n"/>
      <c r="J243" s="20" t="n"/>
    </row>
    <row r="244" ht="16.5" customFormat="1" customHeight="1" s="12">
      <c r="A244" s="17" t="n">
        <v>239</v>
      </c>
      <c r="B244" s="25" t="n"/>
      <c r="C244" s="138" t="n"/>
      <c r="D244" s="41" t="n"/>
      <c r="E244" s="41" t="n"/>
      <c r="F244" s="41" t="n"/>
      <c r="G244" s="42" t="n"/>
      <c r="H244" s="20" t="n"/>
      <c r="I244" s="20" t="n"/>
      <c r="J244" s="20" t="n"/>
    </row>
    <row r="245" ht="16.5" customFormat="1" customHeight="1" s="12">
      <c r="A245" s="17" t="n">
        <v>240</v>
      </c>
      <c r="B245" s="25" t="n"/>
      <c r="C245" s="138" t="n"/>
      <c r="D245" s="41" t="n"/>
      <c r="E245" s="41" t="n"/>
      <c r="F245" s="41" t="n"/>
      <c r="G245" s="42" t="n"/>
      <c r="H245" s="20" t="n"/>
      <c r="I245" s="20" t="n"/>
      <c r="J245" s="20" t="n"/>
    </row>
    <row r="246" ht="16.5" customFormat="1" customHeight="1" s="12">
      <c r="A246" s="17" t="n">
        <v>241</v>
      </c>
      <c r="B246" s="25" t="n"/>
      <c r="C246" s="138" t="n"/>
      <c r="D246" s="41" t="n"/>
      <c r="E246" s="41" t="n"/>
      <c r="F246" s="41" t="n"/>
      <c r="G246" s="42" t="n"/>
      <c r="H246" s="20" t="n"/>
      <c r="I246" s="20" t="n"/>
      <c r="J246" s="20" t="n"/>
    </row>
    <row r="247" ht="16.5" customFormat="1" customHeight="1" s="12">
      <c r="A247" s="17" t="n">
        <v>242</v>
      </c>
      <c r="B247" s="25" t="n"/>
      <c r="C247" s="138" t="n"/>
      <c r="D247" s="41" t="n"/>
      <c r="E247" s="41" t="n"/>
      <c r="F247" s="41" t="n"/>
      <c r="G247" s="42" t="n"/>
      <c r="H247" s="20" t="n"/>
      <c r="I247" s="20" t="n"/>
      <c r="J247" s="20" t="n"/>
    </row>
    <row r="248" ht="16.5" customFormat="1" customHeight="1" s="12">
      <c r="A248" s="17" t="n">
        <v>243</v>
      </c>
      <c r="B248" s="25" t="n"/>
      <c r="C248" s="138" t="n"/>
      <c r="D248" s="41" t="n"/>
      <c r="E248" s="41" t="n"/>
      <c r="F248" s="41" t="n"/>
      <c r="G248" s="42" t="n"/>
      <c r="H248" s="20" t="n"/>
      <c r="I248" s="20" t="n"/>
      <c r="J248" s="20" t="n"/>
    </row>
    <row r="249" ht="16.5" customFormat="1" customHeight="1" s="12">
      <c r="A249" s="17" t="n">
        <v>244</v>
      </c>
      <c r="B249" s="25" t="n"/>
      <c r="C249" s="138" t="n"/>
      <c r="D249" s="41" t="n"/>
      <c r="E249" s="41" t="n"/>
      <c r="F249" s="41" t="n"/>
      <c r="G249" s="42" t="n"/>
      <c r="H249" s="20" t="n"/>
      <c r="I249" s="20" t="n"/>
      <c r="J249" s="20" t="n"/>
    </row>
    <row r="250" ht="16.5" customFormat="1" customHeight="1" s="12">
      <c r="A250" s="17" t="n">
        <v>245</v>
      </c>
      <c r="B250" s="25" t="n"/>
      <c r="C250" s="138" t="n"/>
      <c r="D250" s="41" t="n"/>
      <c r="E250" s="41" t="n"/>
      <c r="F250" s="41" t="n"/>
      <c r="G250" s="42" t="n"/>
      <c r="H250" s="20" t="n"/>
      <c r="I250" s="20" t="n"/>
      <c r="J250" s="20" t="n"/>
    </row>
    <row r="251" ht="16.5" customFormat="1" customHeight="1" s="12">
      <c r="A251" s="17" t="n">
        <v>246</v>
      </c>
      <c r="B251" s="25" t="n"/>
      <c r="C251" s="138" t="n"/>
      <c r="D251" s="41" t="n"/>
      <c r="E251" s="41" t="n"/>
      <c r="F251" s="41" t="n"/>
      <c r="G251" s="42" t="n"/>
      <c r="H251" s="20" t="n"/>
      <c r="I251" s="20" t="n"/>
      <c r="J251" s="20" t="n"/>
    </row>
    <row r="252" ht="16.5" customFormat="1" customHeight="1" s="12">
      <c r="A252" s="17" t="n">
        <v>247</v>
      </c>
      <c r="B252" s="25" t="n"/>
      <c r="C252" s="138" t="n"/>
      <c r="D252" s="41" t="n"/>
      <c r="E252" s="41" t="n"/>
      <c r="F252" s="41" t="n"/>
      <c r="G252" s="42" t="n"/>
      <c r="H252" s="20" t="n"/>
      <c r="I252" s="20" t="n"/>
      <c r="J252" s="20" t="n"/>
    </row>
    <row r="253" ht="16.5" customFormat="1" customHeight="1" s="12">
      <c r="A253" s="17" t="n">
        <v>248</v>
      </c>
      <c r="B253" s="25" t="n"/>
      <c r="C253" s="138" t="n"/>
      <c r="D253" s="41" t="n"/>
      <c r="E253" s="41" t="n"/>
      <c r="F253" s="41" t="n"/>
      <c r="G253" s="42" t="n"/>
      <c r="H253" s="20" t="n"/>
      <c r="I253" s="20" t="n"/>
      <c r="J253" s="20" t="n"/>
    </row>
    <row r="254" ht="16.5" customFormat="1" customHeight="1" s="12">
      <c r="A254" s="17" t="n">
        <v>249</v>
      </c>
      <c r="B254" s="25" t="n"/>
      <c r="C254" s="138" t="n"/>
      <c r="D254" s="41" t="n"/>
      <c r="E254" s="41" t="n"/>
      <c r="F254" s="41" t="n"/>
      <c r="G254" s="42" t="n"/>
      <c r="H254" s="20" t="n"/>
      <c r="I254" s="20" t="n"/>
      <c r="J254" s="20" t="n"/>
    </row>
    <row r="255" ht="16.5" customFormat="1" customHeight="1" s="12">
      <c r="A255" s="17" t="n">
        <v>250</v>
      </c>
      <c r="B255" s="25" t="n"/>
      <c r="C255" s="138" t="n"/>
      <c r="D255" s="41" t="n"/>
      <c r="E255" s="41" t="n"/>
      <c r="F255" s="41" t="n"/>
      <c r="G255" s="42" t="n"/>
      <c r="H255" s="20" t="n"/>
      <c r="I255" s="20" t="n"/>
      <c r="J255" s="20" t="n"/>
    </row>
    <row r="256" ht="16.5" customFormat="1" customHeight="1" s="12">
      <c r="A256" s="17" t="n">
        <v>251</v>
      </c>
      <c r="B256" s="25" t="n"/>
      <c r="C256" s="138" t="n"/>
      <c r="D256" s="41" t="n"/>
      <c r="E256" s="41" t="n"/>
      <c r="F256" s="41" t="n"/>
      <c r="G256" s="42" t="n"/>
      <c r="H256" s="20" t="n"/>
      <c r="I256" s="20" t="n"/>
      <c r="J256" s="20" t="n"/>
    </row>
    <row r="257" ht="16.5" customFormat="1" customHeight="1" s="12">
      <c r="A257" s="17" t="n">
        <v>252</v>
      </c>
      <c r="B257" s="25" t="n"/>
      <c r="C257" s="138" t="n"/>
      <c r="D257" s="41" t="n"/>
      <c r="E257" s="41" t="n"/>
      <c r="F257" s="41" t="n"/>
      <c r="G257" s="42" t="n"/>
      <c r="H257" s="20" t="n"/>
      <c r="I257" s="20" t="n"/>
      <c r="J257" s="20" t="n"/>
    </row>
    <row r="258" ht="16.5" customFormat="1" customHeight="1" s="12">
      <c r="A258" s="17" t="n">
        <v>253</v>
      </c>
      <c r="B258" s="25" t="n"/>
      <c r="C258" s="138" t="n"/>
      <c r="D258" s="41" t="n"/>
      <c r="E258" s="41" t="n"/>
      <c r="F258" s="41" t="n"/>
      <c r="G258" s="42" t="n"/>
      <c r="H258" s="20" t="n"/>
      <c r="I258" s="20" t="n"/>
      <c r="J258" s="20" t="n"/>
    </row>
    <row r="259" ht="16.5" customFormat="1" customHeight="1" s="12">
      <c r="A259" s="17" t="n">
        <v>254</v>
      </c>
      <c r="B259" s="25" t="n"/>
      <c r="C259" s="138" t="n"/>
      <c r="D259" s="41" t="n"/>
      <c r="E259" s="41" t="n"/>
      <c r="F259" s="41" t="n"/>
      <c r="G259" s="42" t="n"/>
      <c r="H259" s="20" t="n"/>
      <c r="I259" s="20" t="n"/>
      <c r="J259" s="20" t="n"/>
    </row>
    <row r="260" ht="16.5" customFormat="1" customHeight="1" s="12">
      <c r="A260" s="17" t="n">
        <v>255</v>
      </c>
      <c r="B260" s="25" t="n"/>
      <c r="C260" s="138" t="n"/>
      <c r="D260" s="41" t="n"/>
      <c r="E260" s="41" t="n"/>
      <c r="F260" s="41" t="n"/>
      <c r="G260" s="42" t="n"/>
      <c r="H260" s="20" t="n"/>
      <c r="I260" s="20" t="n"/>
      <c r="J260" s="20" t="n"/>
    </row>
    <row r="261" ht="16.5" customFormat="1" customHeight="1" s="12">
      <c r="A261" s="17" t="n">
        <v>256</v>
      </c>
      <c r="B261" s="25" t="n"/>
      <c r="C261" s="138" t="n"/>
      <c r="D261" s="41" t="n"/>
      <c r="E261" s="41" t="n"/>
      <c r="F261" s="41" t="n"/>
      <c r="G261" s="42" t="n"/>
      <c r="H261" s="20" t="n"/>
      <c r="I261" s="20" t="n"/>
      <c r="J261" s="20" t="n"/>
    </row>
    <row r="262" ht="16.5" customFormat="1" customHeight="1" s="12">
      <c r="A262" s="17" t="n">
        <v>257</v>
      </c>
      <c r="B262" s="25" t="n"/>
      <c r="C262" s="138" t="n"/>
      <c r="D262" s="41" t="n"/>
      <c r="E262" s="41" t="n"/>
      <c r="F262" s="41" t="n"/>
      <c r="G262" s="42" t="n"/>
      <c r="H262" s="20" t="n"/>
      <c r="I262" s="20" t="n"/>
      <c r="J262" s="20" t="n"/>
    </row>
    <row r="263" ht="16.5" customFormat="1" customHeight="1" s="12">
      <c r="A263" s="17" t="n">
        <v>258</v>
      </c>
      <c r="B263" s="25" t="n"/>
      <c r="C263" s="138" t="n"/>
      <c r="D263" s="41" t="n"/>
      <c r="E263" s="41" t="n"/>
      <c r="F263" s="41" t="n"/>
      <c r="G263" s="42" t="n"/>
      <c r="H263" s="20" t="n"/>
      <c r="I263" s="20" t="n"/>
      <c r="J263" s="20" t="n"/>
    </row>
    <row r="264" ht="16.5" customFormat="1" customHeight="1" s="12">
      <c r="A264" s="17" t="n">
        <v>259</v>
      </c>
      <c r="B264" s="25" t="n"/>
      <c r="C264" s="138" t="n"/>
      <c r="D264" s="41" t="n"/>
      <c r="E264" s="41" t="n"/>
      <c r="F264" s="41" t="n"/>
      <c r="G264" s="42" t="n"/>
      <c r="H264" s="20" t="n"/>
      <c r="I264" s="20" t="n"/>
      <c r="J264" s="20" t="n"/>
    </row>
    <row r="265" ht="16.5" customFormat="1" customHeight="1" s="12">
      <c r="A265" s="17" t="n">
        <v>260</v>
      </c>
      <c r="B265" s="25" t="n"/>
      <c r="C265" s="138" t="n"/>
      <c r="D265" s="41" t="n"/>
      <c r="E265" s="41" t="n"/>
      <c r="F265" s="41" t="n"/>
      <c r="G265" s="42" t="n"/>
      <c r="H265" s="20" t="n"/>
      <c r="I265" s="20" t="n"/>
      <c r="J265" s="20" t="n"/>
    </row>
    <row r="266" ht="16.5" customFormat="1" customHeight="1" s="12">
      <c r="A266" s="17" t="n">
        <v>261</v>
      </c>
      <c r="B266" s="25" t="n"/>
      <c r="C266" s="138" t="n"/>
      <c r="D266" s="41" t="n"/>
      <c r="E266" s="41" t="n"/>
      <c r="F266" s="41" t="n"/>
      <c r="G266" s="42" t="n"/>
      <c r="H266" s="20" t="n"/>
      <c r="I266" s="20" t="n"/>
      <c r="J266" s="20" t="n"/>
    </row>
    <row r="267" ht="16.5" customFormat="1" customHeight="1" s="12">
      <c r="A267" s="17" t="n">
        <v>262</v>
      </c>
      <c r="B267" s="25" t="n"/>
      <c r="C267" s="138" t="n"/>
      <c r="D267" s="41" t="n"/>
      <c r="E267" s="41" t="n"/>
      <c r="F267" s="41" t="n"/>
      <c r="G267" s="42" t="n"/>
      <c r="H267" s="20" t="n"/>
      <c r="I267" s="20" t="n"/>
      <c r="J267" s="20" t="n"/>
    </row>
    <row r="268" ht="16.5" customFormat="1" customHeight="1" s="12">
      <c r="A268" s="17" t="n">
        <v>263</v>
      </c>
      <c r="B268" s="25" t="n"/>
      <c r="C268" s="138" t="n"/>
      <c r="D268" s="41" t="n"/>
      <c r="E268" s="41" t="n"/>
      <c r="F268" s="41" t="n"/>
      <c r="G268" s="42" t="n"/>
      <c r="H268" s="20" t="n"/>
      <c r="I268" s="20" t="n"/>
      <c r="J268" s="20" t="n"/>
    </row>
    <row r="269" ht="16.5" customFormat="1" customHeight="1" s="12">
      <c r="A269" s="17" t="n">
        <v>264</v>
      </c>
      <c r="B269" s="25" t="n"/>
      <c r="C269" s="138" t="n"/>
      <c r="D269" s="41" t="n"/>
      <c r="E269" s="41" t="n"/>
      <c r="F269" s="41" t="n"/>
      <c r="G269" s="42" t="n"/>
      <c r="H269" s="20" t="n"/>
      <c r="I269" s="20" t="n"/>
      <c r="J269" s="20" t="n"/>
    </row>
    <row r="270" ht="16.5" customFormat="1" customHeight="1" s="12">
      <c r="A270" s="17" t="n">
        <v>265</v>
      </c>
      <c r="B270" s="25" t="n"/>
      <c r="C270" s="138" t="n"/>
      <c r="D270" s="41" t="n"/>
      <c r="E270" s="41" t="n"/>
      <c r="F270" s="41" t="n"/>
      <c r="G270" s="42" t="n"/>
      <c r="H270" s="20" t="n"/>
      <c r="I270" s="20" t="n"/>
      <c r="J270" s="20" t="n"/>
    </row>
    <row r="271" ht="16.5" customFormat="1" customHeight="1" s="12">
      <c r="A271" s="17" t="n">
        <v>266</v>
      </c>
      <c r="B271" s="25" t="n"/>
      <c r="C271" s="138" t="n"/>
      <c r="D271" s="41" t="n"/>
      <c r="E271" s="41" t="n"/>
      <c r="F271" s="41" t="n"/>
      <c r="G271" s="42" t="n"/>
      <c r="H271" s="20" t="n"/>
      <c r="I271" s="20" t="n"/>
      <c r="J271" s="20" t="n"/>
    </row>
    <row r="272" ht="16.5" customFormat="1" customHeight="1" s="12">
      <c r="A272" s="17" t="n">
        <v>267</v>
      </c>
      <c r="B272" s="25" t="n"/>
      <c r="C272" s="138" t="n"/>
      <c r="D272" s="41" t="n"/>
      <c r="E272" s="41" t="n"/>
      <c r="F272" s="41" t="n"/>
      <c r="G272" s="42" t="n"/>
      <c r="H272" s="20" t="n"/>
      <c r="I272" s="20" t="n"/>
      <c r="J272" s="20" t="n"/>
    </row>
    <row r="273" ht="16.5" customFormat="1" customHeight="1" s="12">
      <c r="A273" s="17" t="n">
        <v>268</v>
      </c>
      <c r="B273" s="25" t="n"/>
      <c r="C273" s="138" t="n"/>
      <c r="D273" s="41" t="n"/>
      <c r="E273" s="41" t="n"/>
      <c r="F273" s="41" t="n"/>
      <c r="G273" s="42" t="n"/>
      <c r="H273" s="20" t="n"/>
      <c r="I273" s="20" t="n"/>
      <c r="J273" s="20" t="n"/>
    </row>
    <row r="274" ht="16.5" customFormat="1" customHeight="1" s="12">
      <c r="A274" s="17" t="n">
        <v>269</v>
      </c>
      <c r="B274" s="25" t="n"/>
      <c r="C274" s="138" t="n"/>
      <c r="D274" s="41" t="n"/>
      <c r="E274" s="41" t="n"/>
      <c r="F274" s="41" t="n"/>
      <c r="G274" s="42" t="n"/>
      <c r="H274" s="20" t="n"/>
      <c r="I274" s="20" t="n"/>
      <c r="J274" s="20" t="n"/>
    </row>
    <row r="275" ht="16.5" customFormat="1" customHeight="1" s="12">
      <c r="A275" s="17" t="n">
        <v>270</v>
      </c>
      <c r="B275" s="25" t="n"/>
      <c r="C275" s="138" t="n"/>
      <c r="D275" s="41" t="n"/>
      <c r="E275" s="41" t="n"/>
      <c r="F275" s="41" t="n"/>
      <c r="G275" s="42" t="n"/>
      <c r="H275" s="20" t="n"/>
      <c r="I275" s="20" t="n"/>
      <c r="J275" s="20" t="n"/>
    </row>
    <row r="276" ht="16.5" customFormat="1" customHeight="1" s="12">
      <c r="A276" s="17" t="n">
        <v>271</v>
      </c>
      <c r="B276" s="25" t="n"/>
      <c r="C276" s="138" t="n"/>
      <c r="D276" s="41" t="n"/>
      <c r="E276" s="41" t="n"/>
      <c r="F276" s="41" t="n"/>
      <c r="G276" s="42" t="n"/>
      <c r="H276" s="20" t="n"/>
      <c r="I276" s="20" t="n"/>
      <c r="J276" s="20" t="n"/>
    </row>
    <row r="277" ht="16.5" customFormat="1" customHeight="1" s="12">
      <c r="A277" s="17" t="n">
        <v>272</v>
      </c>
      <c r="B277" s="25" t="n"/>
      <c r="C277" s="138" t="n"/>
      <c r="D277" s="41" t="n"/>
      <c r="E277" s="41" t="n"/>
      <c r="F277" s="41" t="n"/>
      <c r="G277" s="42" t="n"/>
      <c r="H277" s="20" t="n"/>
      <c r="I277" s="20" t="n"/>
      <c r="J277" s="20" t="n"/>
    </row>
    <row r="278" ht="16.5" customFormat="1" customHeight="1" s="12">
      <c r="A278" s="17" t="n">
        <v>273</v>
      </c>
      <c r="B278" s="25" t="n"/>
      <c r="C278" s="138" t="n"/>
      <c r="D278" s="41" t="n"/>
      <c r="E278" s="41" t="n"/>
      <c r="F278" s="41" t="n"/>
      <c r="G278" s="42" t="n"/>
      <c r="H278" s="20" t="n"/>
      <c r="I278" s="20" t="n"/>
      <c r="J278" s="20" t="n"/>
    </row>
    <row r="279" ht="16.5" customFormat="1" customHeight="1" s="12">
      <c r="A279" s="17" t="n">
        <v>274</v>
      </c>
      <c r="B279" s="25" t="n"/>
      <c r="C279" s="138" t="n"/>
      <c r="D279" s="41" t="n"/>
      <c r="E279" s="41" t="n"/>
      <c r="F279" s="41" t="n"/>
      <c r="G279" s="42" t="n"/>
      <c r="H279" s="20" t="n"/>
      <c r="I279" s="20" t="n"/>
      <c r="J279" s="20" t="n"/>
    </row>
    <row r="280" ht="16.5" customFormat="1" customHeight="1" s="12">
      <c r="A280" s="17" t="n">
        <v>275</v>
      </c>
      <c r="B280" s="25" t="n"/>
      <c r="C280" s="138" t="n"/>
      <c r="D280" s="41" t="n"/>
      <c r="E280" s="41" t="n"/>
      <c r="F280" s="41" t="n"/>
      <c r="G280" s="42" t="n"/>
      <c r="H280" s="20" t="n"/>
      <c r="I280" s="20" t="n"/>
      <c r="J280" s="20" t="n"/>
    </row>
    <row r="281" ht="16.5" customFormat="1" customHeight="1" s="12">
      <c r="A281" s="17" t="n">
        <v>276</v>
      </c>
      <c r="B281" s="25" t="n"/>
      <c r="C281" s="138" t="n"/>
      <c r="D281" s="41" t="n"/>
      <c r="E281" s="41" t="n"/>
      <c r="F281" s="41" t="n"/>
      <c r="G281" s="42" t="n"/>
      <c r="H281" s="20" t="n"/>
      <c r="I281" s="20" t="n"/>
      <c r="J281" s="20" t="n"/>
    </row>
    <row r="282" ht="16.5" customFormat="1" customHeight="1" s="12">
      <c r="A282" s="17" t="n">
        <v>277</v>
      </c>
      <c r="B282" s="25" t="n"/>
      <c r="C282" s="138" t="n"/>
      <c r="D282" s="41" t="n"/>
      <c r="E282" s="41" t="n"/>
      <c r="F282" s="41" t="n"/>
      <c r="G282" s="42" t="n"/>
      <c r="H282" s="20" t="n"/>
      <c r="I282" s="20" t="n"/>
      <c r="J282" s="20" t="n"/>
    </row>
    <row r="283" ht="16.5" customFormat="1" customHeight="1" s="12">
      <c r="A283" s="17" t="n">
        <v>278</v>
      </c>
      <c r="B283" s="25" t="n"/>
      <c r="C283" s="138" t="n"/>
      <c r="D283" s="41" t="n"/>
      <c r="E283" s="41" t="n"/>
      <c r="F283" s="41" t="n"/>
      <c r="G283" s="42" t="n"/>
      <c r="H283" s="20" t="n"/>
      <c r="I283" s="20" t="n"/>
      <c r="J283" s="20" t="n"/>
    </row>
    <row r="284" ht="16.5" customFormat="1" customHeight="1" s="12">
      <c r="A284" s="17" t="n">
        <v>279</v>
      </c>
      <c r="B284" s="25" t="n"/>
      <c r="C284" s="138" t="n"/>
      <c r="D284" s="41" t="n"/>
      <c r="E284" s="41" t="n"/>
      <c r="F284" s="41" t="n"/>
      <c r="G284" s="42" t="n"/>
      <c r="H284" s="20" t="n"/>
      <c r="I284" s="20" t="n"/>
      <c r="J284" s="20" t="n"/>
    </row>
    <row r="285" ht="16.5" customFormat="1" customHeight="1" s="12">
      <c r="A285" s="17" t="n">
        <v>280</v>
      </c>
      <c r="B285" s="25" t="n"/>
      <c r="C285" s="138" t="n"/>
      <c r="D285" s="41" t="n"/>
      <c r="E285" s="41" t="n"/>
      <c r="F285" s="41" t="n"/>
      <c r="G285" s="42" t="n"/>
      <c r="H285" s="20" t="n"/>
      <c r="I285" s="20" t="n"/>
      <c r="J285" s="20" t="n"/>
    </row>
    <row r="286" ht="16.5" customFormat="1" customHeight="1" s="12">
      <c r="A286" s="17" t="n">
        <v>281</v>
      </c>
      <c r="B286" s="25" t="n"/>
      <c r="C286" s="138" t="n"/>
      <c r="D286" s="41" t="n"/>
      <c r="E286" s="41" t="n"/>
      <c r="F286" s="41" t="n"/>
      <c r="G286" s="42" t="n"/>
      <c r="H286" s="20" t="n"/>
      <c r="I286" s="20" t="n"/>
      <c r="J286" s="20" t="n"/>
    </row>
    <row r="287" ht="16.5" customFormat="1" customHeight="1" s="12">
      <c r="A287" s="17" t="n">
        <v>282</v>
      </c>
      <c r="B287" s="25" t="n"/>
      <c r="C287" s="138" t="n"/>
      <c r="D287" s="41" t="n"/>
      <c r="E287" s="41" t="n"/>
      <c r="F287" s="41" t="n"/>
      <c r="G287" s="42" t="n"/>
      <c r="H287" s="20" t="n"/>
      <c r="I287" s="20" t="n"/>
      <c r="J287" s="20" t="n"/>
    </row>
    <row r="288" ht="16.5" customFormat="1" customHeight="1" s="12">
      <c r="A288" s="17" t="n">
        <v>283</v>
      </c>
      <c r="B288" s="25" t="n"/>
      <c r="C288" s="138" t="n"/>
      <c r="D288" s="41" t="n"/>
      <c r="E288" s="41" t="n"/>
      <c r="F288" s="41" t="n"/>
      <c r="G288" s="42" t="n"/>
      <c r="H288" s="20" t="n"/>
      <c r="I288" s="20" t="n"/>
      <c r="J288" s="20" t="n"/>
    </row>
    <row r="289" ht="16.5" customFormat="1" customHeight="1" s="12">
      <c r="A289" s="17" t="n">
        <v>284</v>
      </c>
      <c r="B289" s="25" t="n"/>
      <c r="C289" s="138" t="n"/>
      <c r="D289" s="41" t="n"/>
      <c r="E289" s="41" t="n"/>
      <c r="F289" s="41" t="n"/>
      <c r="G289" s="42" t="n"/>
      <c r="H289" s="20" t="n"/>
      <c r="I289" s="20" t="n"/>
      <c r="J289" s="20" t="n"/>
    </row>
    <row r="290" ht="16.5" customFormat="1" customHeight="1" s="12">
      <c r="A290" s="17" t="n">
        <v>285</v>
      </c>
      <c r="B290" s="25" t="n"/>
      <c r="C290" s="138" t="n"/>
      <c r="D290" s="41" t="n"/>
      <c r="E290" s="41" t="n"/>
      <c r="F290" s="41" t="n"/>
      <c r="G290" s="42" t="n"/>
      <c r="H290" s="20" t="n"/>
      <c r="I290" s="20" t="n"/>
      <c r="J290" s="20" t="n"/>
    </row>
    <row r="291" ht="16.5" customFormat="1" customHeight="1" s="12">
      <c r="A291" s="17" t="n">
        <v>286</v>
      </c>
      <c r="B291" s="25" t="n"/>
      <c r="C291" s="138" t="n"/>
      <c r="D291" s="41" t="n"/>
      <c r="E291" s="41" t="n"/>
      <c r="F291" s="41" t="n"/>
      <c r="G291" s="42" t="n"/>
      <c r="H291" s="20" t="n"/>
      <c r="I291" s="20" t="n"/>
      <c r="J291" s="20" t="n"/>
    </row>
    <row r="292" ht="16.5" customFormat="1" customHeight="1" s="12">
      <c r="A292" s="17" t="n">
        <v>287</v>
      </c>
      <c r="B292" s="25" t="n"/>
      <c r="C292" s="138" t="n"/>
      <c r="D292" s="41" t="n"/>
      <c r="E292" s="41" t="n"/>
      <c r="F292" s="41" t="n"/>
      <c r="G292" s="42" t="n"/>
      <c r="H292" s="20" t="n"/>
      <c r="I292" s="20" t="n"/>
      <c r="J292" s="20" t="n"/>
    </row>
    <row r="293" ht="16.5" customFormat="1" customHeight="1" s="12">
      <c r="A293" s="17" t="n">
        <v>288</v>
      </c>
      <c r="B293" s="25" t="n"/>
      <c r="C293" s="138" t="n"/>
      <c r="D293" s="41" t="n"/>
      <c r="E293" s="41" t="n"/>
      <c r="F293" s="41" t="n"/>
      <c r="G293" s="42" t="n"/>
      <c r="H293" s="20" t="n"/>
      <c r="I293" s="20" t="n"/>
      <c r="J293" s="20" t="n"/>
    </row>
    <row r="294" ht="16.5" customFormat="1" customHeight="1" s="12">
      <c r="A294" s="17" t="n">
        <v>289</v>
      </c>
      <c r="B294" s="25" t="n"/>
      <c r="C294" s="138" t="n"/>
      <c r="D294" s="41" t="n"/>
      <c r="E294" s="41" t="n"/>
      <c r="F294" s="41" t="n"/>
      <c r="G294" s="42" t="n"/>
      <c r="H294" s="20" t="n"/>
      <c r="I294" s="20" t="n"/>
      <c r="J294" s="20" t="n"/>
    </row>
    <row r="295" ht="16.5" customFormat="1" customHeight="1" s="12">
      <c r="A295" s="17" t="n">
        <v>290</v>
      </c>
      <c r="B295" s="25" t="n"/>
      <c r="C295" s="138" t="n"/>
      <c r="D295" s="41" t="n"/>
      <c r="E295" s="41" t="n"/>
      <c r="F295" s="41" t="n"/>
      <c r="G295" s="42" t="n"/>
      <c r="H295" s="20" t="n"/>
      <c r="I295" s="20" t="n"/>
      <c r="J295" s="20" t="n"/>
    </row>
    <row r="296" ht="16.5" customFormat="1" customHeight="1" s="12">
      <c r="A296" s="17" t="n">
        <v>291</v>
      </c>
      <c r="B296" s="25" t="n"/>
      <c r="C296" s="138" t="n"/>
      <c r="D296" s="41" t="n"/>
      <c r="E296" s="41" t="n"/>
      <c r="F296" s="41" t="n"/>
      <c r="G296" s="42" t="n"/>
      <c r="H296" s="20" t="n"/>
      <c r="I296" s="20" t="n"/>
      <c r="J296" s="20" t="n"/>
    </row>
    <row r="297" ht="16.5" customFormat="1" customHeight="1" s="12">
      <c r="A297" s="17" t="n">
        <v>292</v>
      </c>
      <c r="B297" s="25" t="n"/>
      <c r="C297" s="138" t="n"/>
      <c r="D297" s="41" t="n"/>
      <c r="E297" s="41" t="n"/>
      <c r="F297" s="41" t="n"/>
      <c r="G297" s="42" t="n"/>
      <c r="H297" s="20" t="n"/>
      <c r="I297" s="20" t="n"/>
      <c r="J297" s="20" t="n"/>
    </row>
    <row r="298" ht="16.5" customFormat="1" customHeight="1" s="12">
      <c r="A298" s="17" t="n">
        <v>293</v>
      </c>
      <c r="B298" s="25" t="n"/>
      <c r="C298" s="138" t="n"/>
      <c r="D298" s="41" t="n"/>
      <c r="E298" s="41" t="n"/>
      <c r="F298" s="41" t="n"/>
      <c r="G298" s="42" t="n"/>
      <c r="H298" s="20" t="n"/>
      <c r="I298" s="20" t="n"/>
      <c r="J298" s="20" t="n"/>
    </row>
    <row r="299" ht="16.5" customFormat="1" customHeight="1" s="12">
      <c r="A299" s="17" t="n">
        <v>294</v>
      </c>
      <c r="B299" s="25" t="n"/>
      <c r="C299" s="138" t="n"/>
      <c r="D299" s="41" t="n"/>
      <c r="E299" s="41" t="n"/>
      <c r="F299" s="41" t="n"/>
      <c r="G299" s="42" t="n"/>
      <c r="H299" s="20" t="n"/>
      <c r="I299" s="20" t="n"/>
      <c r="J299" s="20" t="n"/>
    </row>
    <row r="300" ht="16.5" customFormat="1" customHeight="1" s="12">
      <c r="A300" s="17" t="n">
        <v>295</v>
      </c>
      <c r="B300" s="25" t="n"/>
      <c r="C300" s="138" t="n"/>
      <c r="D300" s="41" t="n"/>
      <c r="E300" s="41" t="n"/>
      <c r="F300" s="41" t="n"/>
      <c r="G300" s="42" t="n"/>
      <c r="H300" s="20" t="n"/>
      <c r="I300" s="20" t="n"/>
      <c r="J300" s="20" t="n"/>
    </row>
    <row r="301" ht="16.5" customFormat="1" customHeight="1" s="12">
      <c r="A301" s="17" t="n">
        <v>296</v>
      </c>
      <c r="B301" s="25" t="n"/>
      <c r="C301" s="138" t="n"/>
      <c r="D301" s="41" t="n"/>
      <c r="E301" s="41" t="n"/>
      <c r="F301" s="41" t="n"/>
      <c r="G301" s="42" t="n"/>
      <c r="H301" s="20" t="n"/>
      <c r="I301" s="20" t="n"/>
      <c r="J301" s="20" t="n"/>
    </row>
    <row r="302" ht="16.5" customFormat="1" customHeight="1" s="12">
      <c r="A302" s="17" t="n">
        <v>297</v>
      </c>
      <c r="B302" s="25" t="n"/>
      <c r="C302" s="138" t="n"/>
      <c r="D302" s="41" t="n"/>
      <c r="E302" s="41" t="n"/>
      <c r="F302" s="41" t="n"/>
      <c r="G302" s="42" t="n"/>
      <c r="H302" s="20" t="n"/>
      <c r="I302" s="20" t="n"/>
      <c r="J302" s="20" t="n"/>
    </row>
    <row r="303" ht="16.5" customFormat="1" customHeight="1" s="12">
      <c r="A303" s="17" t="n">
        <v>298</v>
      </c>
      <c r="B303" s="25" t="n"/>
      <c r="C303" s="138" t="n"/>
      <c r="D303" s="41" t="n"/>
      <c r="E303" s="41" t="n"/>
      <c r="F303" s="41" t="n"/>
      <c r="G303" s="42" t="n"/>
      <c r="H303" s="20" t="n"/>
      <c r="I303" s="20" t="n"/>
      <c r="J303" s="20" t="n"/>
    </row>
    <row r="304" ht="16.5" customFormat="1" customHeight="1" s="12">
      <c r="A304" s="17" t="n">
        <v>299</v>
      </c>
      <c r="B304" s="25" t="n"/>
      <c r="C304" s="138" t="n"/>
      <c r="D304" s="41" t="n"/>
      <c r="E304" s="41" t="n"/>
      <c r="F304" s="41" t="n"/>
      <c r="G304" s="42" t="n"/>
      <c r="H304" s="20" t="n"/>
      <c r="I304" s="20" t="n"/>
      <c r="J304" s="20" t="n"/>
    </row>
    <row r="305" ht="16.5" customFormat="1" customHeight="1" s="12">
      <c r="A305" s="17" t="n">
        <v>300</v>
      </c>
      <c r="B305" s="25" t="n"/>
      <c r="C305" s="138" t="n"/>
      <c r="D305" s="41" t="n"/>
      <c r="E305" s="41" t="n"/>
      <c r="F305" s="41" t="n"/>
      <c r="G305" s="42" t="n"/>
      <c r="H305" s="20" t="n"/>
      <c r="I305" s="20" t="n"/>
      <c r="J305" s="20" t="n"/>
    </row>
    <row r="306" ht="16.5" customFormat="1" customHeight="1" s="12">
      <c r="A306" s="17" t="n">
        <v>301</v>
      </c>
      <c r="B306" s="25" t="n"/>
      <c r="C306" s="138" t="n"/>
      <c r="D306" s="41" t="n"/>
      <c r="E306" s="41" t="n"/>
      <c r="F306" s="41" t="n"/>
      <c r="G306" s="42" t="n"/>
      <c r="H306" s="20" t="n"/>
      <c r="I306" s="20" t="n"/>
      <c r="J306" s="20" t="n"/>
    </row>
    <row r="307" ht="16.5" customFormat="1" customHeight="1" s="12">
      <c r="A307" s="17" t="n">
        <v>302</v>
      </c>
      <c r="B307" s="25" t="n"/>
      <c r="C307" s="138" t="n"/>
      <c r="D307" s="41" t="n"/>
      <c r="E307" s="41" t="n"/>
      <c r="F307" s="41" t="n"/>
      <c r="G307" s="42" t="n"/>
      <c r="H307" s="20" t="n"/>
      <c r="I307" s="20" t="n"/>
      <c r="J307" s="20" t="n"/>
    </row>
    <row r="308" ht="16.5" customFormat="1" customHeight="1" s="12">
      <c r="A308" s="17" t="n">
        <v>303</v>
      </c>
      <c r="B308" s="25" t="n"/>
      <c r="C308" s="138" t="n"/>
      <c r="D308" s="41" t="n"/>
      <c r="E308" s="41" t="n"/>
      <c r="F308" s="41" t="n"/>
      <c r="G308" s="42" t="n"/>
      <c r="H308" s="20" t="n"/>
      <c r="I308" s="20" t="n"/>
      <c r="J308" s="20" t="n"/>
    </row>
    <row r="309" ht="16.5" customFormat="1" customHeight="1" s="12">
      <c r="A309" s="17" t="n">
        <v>304</v>
      </c>
      <c r="B309" s="25" t="n"/>
      <c r="C309" s="138" t="n"/>
      <c r="D309" s="41" t="n"/>
      <c r="E309" s="41" t="n"/>
      <c r="F309" s="41" t="n"/>
      <c r="G309" s="42" t="n"/>
      <c r="H309" s="20" t="n"/>
      <c r="I309" s="20" t="n"/>
      <c r="J309" s="20" t="n"/>
    </row>
    <row r="310" ht="16.5" customFormat="1" customHeight="1" s="12">
      <c r="A310" s="17" t="n">
        <v>305</v>
      </c>
      <c r="B310" s="25" t="n"/>
      <c r="C310" s="138" t="n"/>
      <c r="D310" s="41" t="n"/>
      <c r="E310" s="41" t="n"/>
      <c r="F310" s="41" t="n"/>
      <c r="G310" s="42" t="n"/>
      <c r="H310" s="20" t="n"/>
      <c r="I310" s="20" t="n"/>
      <c r="J310" s="20" t="n"/>
    </row>
    <row r="311" ht="16.5" customFormat="1" customHeight="1" s="12">
      <c r="A311" s="17" t="n">
        <v>306</v>
      </c>
      <c r="B311" s="25" t="n"/>
      <c r="C311" s="138" t="n"/>
      <c r="D311" s="41" t="n"/>
      <c r="E311" s="41" t="n"/>
      <c r="F311" s="41" t="n"/>
      <c r="G311" s="42" t="n"/>
      <c r="H311" s="20" t="n"/>
      <c r="I311" s="20" t="n"/>
      <c r="J311" s="20" t="n"/>
    </row>
    <row r="312" ht="16.5" customFormat="1" customHeight="1" s="12">
      <c r="A312" s="17" t="n">
        <v>307</v>
      </c>
      <c r="B312" s="25" t="n"/>
      <c r="C312" s="138" t="n"/>
      <c r="D312" s="41" t="n"/>
      <c r="E312" s="41" t="n"/>
      <c r="F312" s="41" t="n"/>
      <c r="G312" s="42" t="n"/>
      <c r="H312" s="20" t="n"/>
      <c r="I312" s="20" t="n"/>
      <c r="J312" s="20" t="n"/>
    </row>
    <row r="313" ht="16.5" customFormat="1" customHeight="1" s="12">
      <c r="A313" s="17" t="n">
        <v>308</v>
      </c>
      <c r="B313" s="25" t="n"/>
      <c r="C313" s="138" t="n"/>
      <c r="D313" s="41" t="n"/>
      <c r="E313" s="41" t="n"/>
      <c r="F313" s="41" t="n"/>
      <c r="G313" s="42" t="n"/>
      <c r="H313" s="20" t="n"/>
      <c r="I313" s="20" t="n"/>
      <c r="J313" s="20" t="n"/>
    </row>
    <row r="314" ht="16.5" customFormat="1" customHeight="1" s="12">
      <c r="A314" s="17" t="n">
        <v>309</v>
      </c>
      <c r="B314" s="25" t="n"/>
      <c r="C314" s="138" t="n"/>
      <c r="D314" s="41" t="n"/>
      <c r="E314" s="41" t="n"/>
      <c r="F314" s="41" t="n"/>
      <c r="G314" s="42" t="n"/>
      <c r="H314" s="20" t="n"/>
      <c r="I314" s="20" t="n"/>
      <c r="J314" s="20" t="n"/>
    </row>
    <row r="315" ht="16.5" customFormat="1" customHeight="1" s="12">
      <c r="A315" s="17" t="n">
        <v>310</v>
      </c>
      <c r="B315" s="25" t="n"/>
      <c r="C315" s="138" t="n"/>
      <c r="D315" s="41" t="n"/>
      <c r="E315" s="41" t="n"/>
      <c r="F315" s="41" t="n"/>
      <c r="G315" s="42" t="n"/>
      <c r="H315" s="20" t="n"/>
      <c r="I315" s="20" t="n"/>
      <c r="J315" s="20" t="n"/>
    </row>
    <row r="316" ht="16.5" customFormat="1" customHeight="1" s="12">
      <c r="A316" s="17" t="n">
        <v>311</v>
      </c>
      <c r="B316" s="25" t="n"/>
      <c r="C316" s="138" t="n"/>
      <c r="D316" s="41" t="n"/>
      <c r="E316" s="41" t="n"/>
      <c r="F316" s="41" t="n"/>
      <c r="G316" s="42" t="n"/>
      <c r="H316" s="20" t="n"/>
      <c r="I316" s="20" t="n"/>
      <c r="J316" s="20" t="n"/>
    </row>
    <row r="317" ht="16.5" customFormat="1" customHeight="1" s="12">
      <c r="A317" s="17" t="n">
        <v>312</v>
      </c>
      <c r="B317" s="25" t="n"/>
      <c r="C317" s="138" t="n"/>
      <c r="D317" s="41" t="n"/>
      <c r="E317" s="41" t="n"/>
      <c r="F317" s="41" t="n"/>
      <c r="G317" s="42" t="n"/>
      <c r="H317" s="20" t="n"/>
      <c r="I317" s="20" t="n"/>
      <c r="J317" s="20" t="n"/>
    </row>
    <row r="318" ht="16.5" customFormat="1" customHeight="1" s="12">
      <c r="A318" s="17" t="n">
        <v>313</v>
      </c>
      <c r="B318" s="25" t="n"/>
      <c r="C318" s="138" t="n"/>
      <c r="D318" s="41" t="n"/>
      <c r="E318" s="41" t="n"/>
      <c r="F318" s="41" t="n"/>
      <c r="G318" s="42" t="n"/>
      <c r="H318" s="20" t="n"/>
      <c r="I318" s="20" t="n"/>
      <c r="J318" s="20" t="n"/>
    </row>
    <row r="319" ht="16.5" customFormat="1" customHeight="1" s="12">
      <c r="A319" s="17" t="n">
        <v>314</v>
      </c>
      <c r="B319" s="25" t="n"/>
      <c r="C319" s="138" t="n"/>
      <c r="D319" s="41" t="n"/>
      <c r="E319" s="41" t="n"/>
      <c r="F319" s="41" t="n"/>
      <c r="G319" s="42" t="n"/>
      <c r="H319" s="20" t="n"/>
      <c r="I319" s="20" t="n"/>
      <c r="J319" s="20" t="n"/>
    </row>
    <row r="320" ht="16.5" customFormat="1" customHeight="1" s="12">
      <c r="A320" s="17" t="n">
        <v>315</v>
      </c>
      <c r="B320" s="25" t="n"/>
      <c r="C320" s="138" t="n"/>
      <c r="D320" s="41" t="n"/>
      <c r="E320" s="41" t="n"/>
      <c r="F320" s="41" t="n"/>
      <c r="G320" s="42" t="n"/>
      <c r="H320" s="20" t="n"/>
      <c r="I320" s="20" t="n"/>
      <c r="J320" s="20" t="n"/>
    </row>
    <row r="321" ht="16.5" customFormat="1" customHeight="1" s="12">
      <c r="A321" s="17" t="n">
        <v>316</v>
      </c>
      <c r="B321" s="25" t="n"/>
      <c r="C321" s="138" t="n"/>
      <c r="D321" s="41" t="n"/>
      <c r="E321" s="41" t="n"/>
      <c r="F321" s="41" t="n"/>
      <c r="G321" s="42" t="n"/>
      <c r="H321" s="20" t="n"/>
      <c r="I321" s="20" t="n"/>
      <c r="J321" s="20" t="n"/>
    </row>
    <row r="322" ht="16.5" customFormat="1" customHeight="1" s="12">
      <c r="A322" s="17" t="n">
        <v>317</v>
      </c>
      <c r="B322" s="25" t="n"/>
      <c r="C322" s="138" t="n"/>
      <c r="D322" s="41" t="n"/>
      <c r="E322" s="41" t="n"/>
      <c r="F322" s="41" t="n"/>
      <c r="G322" s="42" t="n"/>
      <c r="H322" s="20" t="n"/>
      <c r="I322" s="20" t="n"/>
      <c r="J322" s="20" t="n"/>
    </row>
    <row r="323" ht="16.5" customFormat="1" customHeight="1" s="12">
      <c r="A323" s="17" t="n">
        <v>318</v>
      </c>
      <c r="B323" s="25" t="n"/>
      <c r="C323" s="138" t="n"/>
      <c r="D323" s="41" t="n"/>
      <c r="E323" s="41" t="n"/>
      <c r="F323" s="41" t="n"/>
      <c r="G323" s="42" t="n"/>
      <c r="H323" s="20" t="n"/>
      <c r="I323" s="20" t="n"/>
      <c r="J323" s="20" t="n"/>
    </row>
    <row r="324" ht="16.5" customFormat="1" customHeight="1" s="12">
      <c r="A324" s="17" t="n">
        <v>319</v>
      </c>
      <c r="B324" s="25" t="n"/>
      <c r="C324" s="138" t="n"/>
      <c r="D324" s="41" t="n"/>
      <c r="E324" s="41" t="n"/>
      <c r="F324" s="41" t="n"/>
      <c r="G324" s="42" t="n"/>
      <c r="H324" s="20" t="n"/>
      <c r="I324" s="20" t="n"/>
      <c r="J324" s="20" t="n"/>
    </row>
    <row r="325" ht="16.5" customFormat="1" customHeight="1" s="12">
      <c r="A325" s="17" t="n">
        <v>320</v>
      </c>
      <c r="B325" s="25" t="n"/>
      <c r="C325" s="138" t="n"/>
      <c r="D325" s="41" t="n"/>
      <c r="E325" s="41" t="n"/>
      <c r="F325" s="41" t="n"/>
      <c r="G325" s="42" t="n"/>
      <c r="H325" s="20" t="n"/>
      <c r="I325" s="20" t="n"/>
      <c r="J325" s="20" t="n"/>
    </row>
    <row r="326" ht="16.5" customFormat="1" customHeight="1" s="12">
      <c r="A326" s="17" t="n">
        <v>321</v>
      </c>
      <c r="B326" s="25" t="n"/>
      <c r="C326" s="138" t="n"/>
      <c r="D326" s="41" t="n"/>
      <c r="E326" s="41" t="n"/>
      <c r="F326" s="41" t="n"/>
      <c r="G326" s="42" t="n"/>
      <c r="H326" s="20" t="n"/>
      <c r="I326" s="20" t="n"/>
      <c r="J326" s="20" t="n"/>
    </row>
    <row r="327" ht="16.5" customFormat="1" customHeight="1" s="12">
      <c r="A327" s="17" t="n">
        <v>322</v>
      </c>
      <c r="B327" s="25" t="n"/>
      <c r="C327" s="138" t="n"/>
      <c r="D327" s="41" t="n"/>
      <c r="E327" s="41" t="n"/>
      <c r="F327" s="41" t="n"/>
      <c r="G327" s="42" t="n"/>
      <c r="H327" s="20" t="n"/>
      <c r="I327" s="20" t="n"/>
      <c r="J327" s="20" t="n"/>
    </row>
    <row r="328" ht="16.5" customFormat="1" customHeight="1" s="12">
      <c r="A328" s="17" t="n">
        <v>323</v>
      </c>
      <c r="B328" s="25" t="n"/>
      <c r="C328" s="138" t="n"/>
      <c r="D328" s="41" t="n"/>
      <c r="E328" s="41" t="n"/>
      <c r="F328" s="41" t="n"/>
      <c r="G328" s="42" t="n"/>
      <c r="H328" s="20" t="n"/>
      <c r="I328" s="20" t="n"/>
      <c r="J328" s="20" t="n"/>
    </row>
    <row r="329" ht="16.5" customFormat="1" customHeight="1" s="12">
      <c r="A329" s="17" t="n">
        <v>324</v>
      </c>
      <c r="B329" s="25" t="n"/>
      <c r="C329" s="138" t="n"/>
      <c r="D329" s="41" t="n"/>
      <c r="E329" s="41" t="n"/>
      <c r="F329" s="41" t="n"/>
      <c r="G329" s="42" t="n"/>
      <c r="H329" s="20" t="n"/>
      <c r="I329" s="20" t="n"/>
      <c r="J329" s="20" t="n"/>
    </row>
    <row r="330" ht="16.5" customFormat="1" customHeight="1" s="12">
      <c r="A330" s="17" t="n">
        <v>325</v>
      </c>
      <c r="B330" s="25" t="n"/>
      <c r="C330" s="138" t="n"/>
      <c r="D330" s="41" t="n"/>
      <c r="E330" s="41" t="n"/>
      <c r="F330" s="41" t="n"/>
      <c r="G330" s="42" t="n"/>
      <c r="H330" s="20" t="n"/>
      <c r="I330" s="20" t="n"/>
      <c r="J330" s="20" t="n"/>
    </row>
    <row r="331" ht="16.5" customFormat="1" customHeight="1" s="12">
      <c r="A331" s="17" t="n">
        <v>326</v>
      </c>
      <c r="B331" s="25" t="n"/>
      <c r="C331" s="138" t="n"/>
      <c r="D331" s="41" t="n"/>
      <c r="E331" s="41" t="n"/>
      <c r="F331" s="41" t="n"/>
      <c r="G331" s="42" t="n"/>
      <c r="H331" s="20" t="n"/>
      <c r="I331" s="20" t="n"/>
      <c r="J331" s="20" t="n"/>
    </row>
    <row r="332" ht="16.5" customFormat="1" customHeight="1" s="12">
      <c r="A332" s="17" t="n">
        <v>327</v>
      </c>
      <c r="B332" s="25" t="n"/>
      <c r="C332" s="138" t="n"/>
      <c r="D332" s="41" t="n"/>
      <c r="E332" s="41" t="n"/>
      <c r="F332" s="41" t="n"/>
      <c r="G332" s="42" t="n"/>
      <c r="H332" s="20" t="n"/>
      <c r="I332" s="20" t="n"/>
      <c r="J332" s="20" t="n"/>
    </row>
    <row r="333" ht="16.5" customFormat="1" customHeight="1" s="12">
      <c r="A333" s="17" t="n">
        <v>328</v>
      </c>
      <c r="B333" s="25" t="n"/>
      <c r="C333" s="138" t="n"/>
      <c r="D333" s="41" t="n"/>
      <c r="E333" s="41" t="n"/>
      <c r="F333" s="41" t="n"/>
      <c r="G333" s="42" t="n"/>
      <c r="H333" s="20" t="n"/>
      <c r="I333" s="20" t="n"/>
      <c r="J333" s="20" t="n"/>
    </row>
    <row r="334" ht="16.5" customFormat="1" customHeight="1" s="12">
      <c r="A334" s="17" t="n">
        <v>329</v>
      </c>
      <c r="B334" s="25" t="n"/>
      <c r="C334" s="138" t="n"/>
      <c r="D334" s="41" t="n"/>
      <c r="E334" s="41" t="n"/>
      <c r="F334" s="41" t="n"/>
      <c r="G334" s="42" t="n"/>
      <c r="H334" s="20" t="n"/>
      <c r="I334" s="20" t="n"/>
      <c r="J334" s="20" t="n"/>
    </row>
    <row r="335" ht="16.5" customFormat="1" customHeight="1" s="12">
      <c r="A335" s="17" t="n">
        <v>330</v>
      </c>
      <c r="B335" s="25" t="n"/>
      <c r="C335" s="138" t="n"/>
      <c r="D335" s="41" t="n"/>
      <c r="E335" s="41" t="n"/>
      <c r="F335" s="41" t="n"/>
      <c r="G335" s="42" t="n"/>
      <c r="H335" s="20" t="n"/>
      <c r="I335" s="20" t="n"/>
      <c r="J335" s="20" t="n"/>
    </row>
    <row r="336" ht="16.5" customFormat="1" customHeight="1" s="12">
      <c r="A336" s="17" t="n">
        <v>331</v>
      </c>
      <c r="B336" s="25" t="n"/>
      <c r="C336" s="138" t="n"/>
      <c r="D336" s="41" t="n"/>
      <c r="E336" s="41" t="n"/>
      <c r="F336" s="41" t="n"/>
      <c r="G336" s="42" t="n"/>
      <c r="H336" s="20" t="n"/>
      <c r="I336" s="20" t="n"/>
      <c r="J336" s="20" t="n"/>
    </row>
    <row r="337" ht="16.5" customFormat="1" customHeight="1" s="12">
      <c r="A337" s="17" t="n">
        <v>332</v>
      </c>
      <c r="B337" s="25" t="n"/>
      <c r="C337" s="138" t="n"/>
      <c r="D337" s="41" t="n"/>
      <c r="E337" s="41" t="n"/>
      <c r="F337" s="41" t="n"/>
      <c r="G337" s="42" t="n"/>
      <c r="H337" s="20" t="n"/>
      <c r="I337" s="20" t="n"/>
      <c r="J337" s="20" t="n"/>
    </row>
    <row r="338" ht="16.5" customFormat="1" customHeight="1" s="12">
      <c r="A338" s="17" t="n">
        <v>333</v>
      </c>
      <c r="B338" s="25" t="n"/>
      <c r="C338" s="138" t="n"/>
      <c r="D338" s="41" t="n"/>
      <c r="E338" s="41" t="n"/>
      <c r="F338" s="41" t="n"/>
      <c r="G338" s="42" t="n"/>
      <c r="H338" s="20" t="n"/>
      <c r="I338" s="20" t="n"/>
      <c r="J338" s="20" t="n"/>
    </row>
    <row r="339" ht="16.5" customFormat="1" customHeight="1" s="12">
      <c r="A339" s="17" t="n">
        <v>334</v>
      </c>
      <c r="B339" s="25" t="n"/>
      <c r="C339" s="138" t="n"/>
      <c r="D339" s="41" t="n"/>
      <c r="E339" s="41" t="n"/>
      <c r="F339" s="41" t="n"/>
      <c r="G339" s="42" t="n"/>
      <c r="H339" s="20" t="n"/>
      <c r="I339" s="20" t="n"/>
      <c r="J339" s="20" t="n"/>
    </row>
    <row r="340" ht="16.5" customFormat="1" customHeight="1" s="12">
      <c r="A340" s="17" t="n">
        <v>335</v>
      </c>
      <c r="B340" s="25" t="n"/>
      <c r="C340" s="138" t="n"/>
      <c r="D340" s="41" t="n"/>
      <c r="E340" s="41" t="n"/>
      <c r="F340" s="41" t="n"/>
      <c r="G340" s="42" t="n"/>
      <c r="H340" s="20" t="n"/>
      <c r="I340" s="20" t="n"/>
      <c r="J340" s="20" t="n"/>
    </row>
    <row r="341" ht="16.5" customFormat="1" customHeight="1" s="12">
      <c r="A341" s="17" t="n">
        <v>336</v>
      </c>
      <c r="B341" s="25" t="n"/>
      <c r="C341" s="138" t="n"/>
      <c r="D341" s="41" t="n"/>
      <c r="E341" s="41" t="n"/>
      <c r="F341" s="41" t="n"/>
      <c r="G341" s="42" t="n"/>
      <c r="H341" s="20" t="n"/>
      <c r="I341" s="20" t="n"/>
      <c r="J341" s="20" t="n"/>
    </row>
    <row r="342" ht="16.5" customFormat="1" customHeight="1" s="12">
      <c r="A342" s="17" t="n">
        <v>337</v>
      </c>
      <c r="B342" s="25" t="n"/>
      <c r="C342" s="138" t="n"/>
      <c r="D342" s="41" t="n"/>
      <c r="E342" s="41" t="n"/>
      <c r="F342" s="41" t="n"/>
      <c r="G342" s="42" t="n"/>
      <c r="H342" s="20" t="n"/>
      <c r="I342" s="20" t="n"/>
      <c r="J342" s="20" t="n"/>
    </row>
    <row r="343" ht="16.5" customFormat="1" customHeight="1" s="12">
      <c r="A343" s="17" t="n">
        <v>338</v>
      </c>
      <c r="B343" s="25" t="n"/>
      <c r="C343" s="138" t="n"/>
      <c r="D343" s="41" t="n"/>
      <c r="E343" s="41" t="n"/>
      <c r="F343" s="41" t="n"/>
      <c r="G343" s="42" t="n"/>
      <c r="H343" s="20" t="n"/>
      <c r="I343" s="20" t="n"/>
      <c r="J343" s="20" t="n"/>
    </row>
    <row r="344" ht="16.5" customFormat="1" customHeight="1" s="12">
      <c r="A344" s="17" t="n">
        <v>339</v>
      </c>
      <c r="B344" s="25" t="n"/>
      <c r="C344" s="138" t="n"/>
      <c r="D344" s="41" t="n"/>
      <c r="E344" s="41" t="n"/>
      <c r="F344" s="41" t="n"/>
      <c r="G344" s="42" t="n"/>
      <c r="H344" s="20" t="n"/>
      <c r="I344" s="20" t="n"/>
      <c r="J344" s="20" t="n"/>
    </row>
    <row r="345" ht="16.5" customFormat="1" customHeight="1" s="12">
      <c r="A345" s="17" t="n">
        <v>340</v>
      </c>
      <c r="B345" s="25" t="n"/>
      <c r="C345" s="138" t="n"/>
      <c r="D345" s="41" t="n"/>
      <c r="E345" s="41" t="n"/>
      <c r="F345" s="41" t="n"/>
      <c r="G345" s="42" t="n"/>
      <c r="H345" s="20" t="n"/>
      <c r="I345" s="20" t="n"/>
      <c r="J345" s="20" t="n"/>
    </row>
    <row r="346" ht="16.5" customFormat="1" customHeight="1" s="12">
      <c r="A346" s="17" t="n">
        <v>341</v>
      </c>
      <c r="B346" s="25" t="n"/>
      <c r="C346" s="138" t="n"/>
      <c r="D346" s="41" t="n"/>
      <c r="E346" s="41" t="n"/>
      <c r="F346" s="41" t="n"/>
      <c r="G346" s="42" t="n"/>
      <c r="H346" s="20" t="n"/>
      <c r="I346" s="20" t="n"/>
      <c r="J346" s="20" t="n"/>
    </row>
    <row r="347" ht="16.5" customFormat="1" customHeight="1" s="12">
      <c r="A347" s="17" t="n">
        <v>342</v>
      </c>
      <c r="B347" s="25" t="n"/>
      <c r="C347" s="138" t="n"/>
      <c r="D347" s="41" t="n"/>
      <c r="E347" s="41" t="n"/>
      <c r="F347" s="41" t="n"/>
      <c r="G347" s="42" t="n"/>
      <c r="H347" s="20" t="n"/>
      <c r="I347" s="20" t="n"/>
      <c r="J347" s="20" t="n"/>
    </row>
    <row r="348" ht="16.5" customFormat="1" customHeight="1" s="12">
      <c r="A348" s="17" t="n">
        <v>343</v>
      </c>
      <c r="B348" s="25" t="n"/>
      <c r="C348" s="138" t="n"/>
      <c r="D348" s="41" t="n"/>
      <c r="E348" s="41" t="n"/>
      <c r="F348" s="41" t="n"/>
      <c r="G348" s="42" t="n"/>
      <c r="H348" s="20" t="n"/>
      <c r="I348" s="20" t="n"/>
      <c r="J348" s="20" t="n"/>
    </row>
    <row r="349" ht="16.5" customFormat="1" customHeight="1" s="12">
      <c r="A349" s="17" t="n">
        <v>344</v>
      </c>
      <c r="B349" s="25" t="n"/>
      <c r="C349" s="138" t="n"/>
      <c r="D349" s="41" t="n"/>
      <c r="E349" s="41" t="n"/>
      <c r="F349" s="41" t="n"/>
      <c r="G349" s="42" t="n"/>
      <c r="H349" s="20" t="n"/>
      <c r="I349" s="20" t="n"/>
      <c r="J349" s="20" t="n"/>
    </row>
    <row r="350" ht="16.5" customFormat="1" customHeight="1" s="12">
      <c r="A350" s="17" t="n">
        <v>345</v>
      </c>
      <c r="B350" s="25" t="n"/>
      <c r="C350" s="138" t="n"/>
      <c r="D350" s="41" t="n"/>
      <c r="E350" s="41" t="n"/>
      <c r="F350" s="41" t="n"/>
      <c r="G350" s="42" t="n"/>
      <c r="H350" s="20" t="n"/>
      <c r="I350" s="20" t="n"/>
      <c r="J350" s="20" t="n"/>
    </row>
    <row r="351" ht="16.5" customFormat="1" customHeight="1" s="12">
      <c r="A351" s="17" t="n">
        <v>346</v>
      </c>
      <c r="B351" s="25" t="n"/>
      <c r="C351" s="138" t="n"/>
      <c r="D351" s="41" t="n"/>
      <c r="E351" s="41" t="n"/>
      <c r="F351" s="41" t="n"/>
      <c r="G351" s="42" t="n"/>
      <c r="H351" s="20" t="n"/>
      <c r="I351" s="20" t="n"/>
      <c r="J351" s="20" t="n"/>
    </row>
    <row r="352" ht="16.5" customFormat="1" customHeight="1" s="12">
      <c r="A352" s="17" t="n">
        <v>347</v>
      </c>
      <c r="B352" s="25" t="n"/>
      <c r="C352" s="138" t="n"/>
      <c r="D352" s="41" t="n"/>
      <c r="E352" s="41" t="n"/>
      <c r="F352" s="41" t="n"/>
      <c r="G352" s="42" t="n"/>
      <c r="H352" s="20" t="n"/>
      <c r="I352" s="20" t="n"/>
      <c r="J352" s="20" t="n"/>
    </row>
    <row r="353" ht="16.5" customFormat="1" customHeight="1" s="12">
      <c r="A353" s="17" t="n">
        <v>348</v>
      </c>
      <c r="B353" s="25" t="n"/>
      <c r="C353" s="138" t="n"/>
      <c r="D353" s="41" t="n"/>
      <c r="E353" s="41" t="n"/>
      <c r="F353" s="41" t="n"/>
      <c r="G353" s="42" t="n"/>
      <c r="H353" s="20" t="n"/>
      <c r="I353" s="20" t="n"/>
      <c r="J353" s="20" t="n"/>
    </row>
    <row r="354" ht="16.5" customFormat="1" customHeight="1" s="12">
      <c r="A354" s="17" t="n">
        <v>349</v>
      </c>
      <c r="B354" s="25" t="n"/>
      <c r="C354" s="138" t="n"/>
      <c r="D354" s="41" t="n"/>
      <c r="E354" s="41" t="n"/>
      <c r="F354" s="41" t="n"/>
      <c r="G354" s="42" t="n"/>
      <c r="H354" s="20" t="n"/>
      <c r="I354" s="20" t="n"/>
      <c r="J354" s="20" t="n"/>
    </row>
    <row r="355" ht="16.5" customFormat="1" customHeight="1" s="12">
      <c r="A355" s="17" t="n">
        <v>350</v>
      </c>
      <c r="B355" s="25" t="n"/>
      <c r="C355" s="138" t="n"/>
      <c r="D355" s="41" t="n"/>
      <c r="E355" s="41" t="n"/>
      <c r="F355" s="41" t="n"/>
      <c r="G355" s="42" t="n"/>
      <c r="H355" s="20" t="n"/>
      <c r="I355" s="20" t="n"/>
      <c r="J355" s="20" t="n"/>
    </row>
    <row r="356" ht="16.5" customFormat="1" customHeight="1" s="12">
      <c r="A356" s="17" t="n">
        <v>351</v>
      </c>
      <c r="B356" s="25" t="n"/>
      <c r="C356" s="138" t="n"/>
      <c r="D356" s="41" t="n"/>
      <c r="E356" s="41" t="n"/>
      <c r="F356" s="41" t="n"/>
      <c r="G356" s="42" t="n"/>
      <c r="H356" s="20" t="n"/>
      <c r="I356" s="20" t="n"/>
      <c r="J356" s="20" t="n"/>
    </row>
    <row r="357" ht="16.5" customFormat="1" customHeight="1" s="12">
      <c r="A357" s="17" t="n">
        <v>352</v>
      </c>
      <c r="B357" s="25" t="n"/>
      <c r="C357" s="138" t="n"/>
      <c r="D357" s="41" t="n"/>
      <c r="E357" s="41" t="n"/>
      <c r="F357" s="41" t="n"/>
      <c r="G357" s="42" t="n"/>
      <c r="H357" s="20" t="n"/>
      <c r="I357" s="20" t="n"/>
      <c r="J357" s="20" t="n"/>
    </row>
    <row r="358" ht="16.5" customFormat="1" customHeight="1" s="12">
      <c r="A358" s="17" t="n">
        <v>353</v>
      </c>
      <c r="B358" s="25" t="n"/>
      <c r="C358" s="138" t="n"/>
      <c r="D358" s="41" t="n"/>
      <c r="E358" s="41" t="n"/>
      <c r="F358" s="41" t="n"/>
      <c r="G358" s="42" t="n"/>
      <c r="H358" s="20" t="n"/>
      <c r="I358" s="20" t="n"/>
      <c r="J358" s="20" t="n"/>
    </row>
    <row r="359" ht="16.5" customFormat="1" customHeight="1" s="12">
      <c r="A359" s="17" t="n">
        <v>354</v>
      </c>
      <c r="B359" s="25" t="n"/>
      <c r="C359" s="138" t="n"/>
      <c r="D359" s="41" t="n"/>
      <c r="E359" s="41" t="n"/>
      <c r="F359" s="41" t="n"/>
      <c r="G359" s="42" t="n"/>
      <c r="H359" s="20" t="n"/>
      <c r="I359" s="20" t="n"/>
      <c r="J359" s="20" t="n"/>
    </row>
    <row r="360" ht="16.5" customFormat="1" customHeight="1" s="12">
      <c r="A360" s="17" t="n">
        <v>355</v>
      </c>
      <c r="B360" s="25" t="n"/>
      <c r="C360" s="138" t="n"/>
      <c r="D360" s="41" t="n"/>
      <c r="E360" s="41" t="n"/>
      <c r="F360" s="41" t="n"/>
      <c r="G360" s="42" t="n"/>
      <c r="H360" s="20" t="n"/>
      <c r="I360" s="20" t="n"/>
      <c r="J360" s="20" t="n"/>
    </row>
    <row r="361" ht="16.5" customFormat="1" customHeight="1" s="12">
      <c r="A361" s="17" t="n">
        <v>356</v>
      </c>
      <c r="B361" s="25" t="n"/>
      <c r="C361" s="138" t="n"/>
      <c r="D361" s="41" t="n"/>
      <c r="E361" s="41" t="n"/>
      <c r="F361" s="41" t="n"/>
      <c r="G361" s="42" t="n"/>
      <c r="H361" s="20" t="n"/>
      <c r="I361" s="20" t="n"/>
      <c r="J361" s="20" t="n"/>
    </row>
    <row r="362" ht="16.5" customFormat="1" customHeight="1" s="12">
      <c r="A362" s="17" t="n">
        <v>357</v>
      </c>
      <c r="B362" s="25" t="n"/>
      <c r="C362" s="138" t="n"/>
      <c r="D362" s="41" t="n"/>
      <c r="E362" s="41" t="n"/>
      <c r="F362" s="41" t="n"/>
      <c r="G362" s="42" t="n"/>
      <c r="H362" s="20" t="n"/>
      <c r="I362" s="20" t="n"/>
      <c r="J362" s="20" t="n"/>
    </row>
    <row r="363" ht="16.5" customFormat="1" customHeight="1" s="12">
      <c r="A363" s="17" t="n">
        <v>358</v>
      </c>
      <c r="B363" s="25" t="n"/>
      <c r="C363" s="138" t="n"/>
      <c r="D363" s="41" t="n"/>
      <c r="E363" s="41" t="n"/>
      <c r="F363" s="41" t="n"/>
      <c r="G363" s="42" t="n"/>
      <c r="H363" s="20" t="n"/>
      <c r="I363" s="20" t="n"/>
      <c r="J363" s="20" t="n"/>
    </row>
    <row r="364" ht="16.5" customFormat="1" customHeight="1" s="12">
      <c r="A364" s="17" t="n">
        <v>359</v>
      </c>
      <c r="B364" s="25" t="n"/>
      <c r="C364" s="138" t="n"/>
      <c r="D364" s="41" t="n"/>
      <c r="E364" s="41" t="n"/>
      <c r="F364" s="41" t="n"/>
      <c r="G364" s="42" t="n"/>
      <c r="H364" s="20" t="n"/>
      <c r="I364" s="20" t="n"/>
      <c r="J364" s="20" t="n"/>
    </row>
    <row r="365" ht="16.5" customFormat="1" customHeight="1" s="12">
      <c r="A365" s="17" t="n">
        <v>360</v>
      </c>
      <c r="B365" s="25" t="n"/>
      <c r="C365" s="138" t="n"/>
      <c r="D365" s="41" t="n"/>
      <c r="E365" s="41" t="n"/>
      <c r="F365" s="41" t="n"/>
      <c r="G365" s="42" t="n"/>
      <c r="H365" s="20" t="n"/>
      <c r="I365" s="20" t="n"/>
      <c r="J365" s="20" t="n"/>
    </row>
    <row r="366" ht="16.5" customFormat="1" customHeight="1" s="12">
      <c r="A366" s="17" t="n">
        <v>361</v>
      </c>
      <c r="B366" s="25" t="n"/>
      <c r="C366" s="138" t="n"/>
      <c r="D366" s="41" t="n"/>
      <c r="E366" s="41" t="n"/>
      <c r="F366" s="41" t="n"/>
      <c r="G366" s="42" t="n"/>
      <c r="H366" s="20" t="n"/>
      <c r="I366" s="20" t="n"/>
      <c r="J366" s="20" t="n"/>
    </row>
    <row r="367" ht="16.5" customFormat="1" customHeight="1" s="12">
      <c r="A367" s="17" t="n">
        <v>362</v>
      </c>
      <c r="B367" s="25" t="n"/>
      <c r="C367" s="138" t="n"/>
      <c r="D367" s="41" t="n"/>
      <c r="E367" s="41" t="n"/>
      <c r="F367" s="41" t="n"/>
      <c r="G367" s="42" t="n"/>
      <c r="H367" s="20" t="n"/>
      <c r="I367" s="20" t="n"/>
      <c r="J367" s="20" t="n"/>
    </row>
    <row r="368" ht="16.5" customFormat="1" customHeight="1" s="12">
      <c r="A368" s="17" t="n">
        <v>363</v>
      </c>
      <c r="B368" s="25" t="n"/>
      <c r="C368" s="138" t="n"/>
      <c r="D368" s="41" t="n"/>
      <c r="E368" s="41" t="n"/>
      <c r="F368" s="41" t="n"/>
      <c r="G368" s="42" t="n"/>
      <c r="H368" s="20" t="n"/>
      <c r="I368" s="20" t="n"/>
      <c r="J368" s="20" t="n"/>
    </row>
    <row r="369" ht="16.5" customFormat="1" customHeight="1" s="12">
      <c r="A369" s="17" t="n">
        <v>364</v>
      </c>
      <c r="B369" s="25" t="n"/>
      <c r="C369" s="138" t="n"/>
      <c r="D369" s="41" t="n"/>
      <c r="E369" s="41" t="n"/>
      <c r="F369" s="41" t="n"/>
      <c r="G369" s="42" t="n"/>
      <c r="H369" s="20" t="n"/>
      <c r="I369" s="20" t="n"/>
      <c r="J369" s="20" t="n"/>
    </row>
    <row r="370" ht="16.5" customFormat="1" customHeight="1" s="12">
      <c r="A370" s="17" t="n">
        <v>365</v>
      </c>
      <c r="B370" s="25" t="n"/>
      <c r="C370" s="138" t="n"/>
      <c r="D370" s="41" t="n"/>
      <c r="E370" s="41" t="n"/>
      <c r="F370" s="41" t="n"/>
      <c r="G370" s="42" t="n"/>
      <c r="H370" s="20" t="n"/>
      <c r="I370" s="20" t="n"/>
      <c r="J370" s="20" t="n"/>
    </row>
    <row r="371" ht="16.5" customFormat="1" customHeight="1" s="12">
      <c r="A371" s="17" t="n">
        <v>366</v>
      </c>
      <c r="B371" s="25" t="n"/>
      <c r="C371" s="138" t="n"/>
      <c r="D371" s="41" t="n"/>
      <c r="E371" s="41" t="n"/>
      <c r="F371" s="41" t="n"/>
      <c r="G371" s="42" t="n"/>
      <c r="H371" s="20" t="n"/>
      <c r="I371" s="20" t="n"/>
      <c r="J371" s="20" t="n"/>
    </row>
    <row r="372" ht="16.5" customFormat="1" customHeight="1" s="12">
      <c r="A372" s="17" t="n">
        <v>367</v>
      </c>
      <c r="B372" s="25" t="n"/>
      <c r="C372" s="138" t="n"/>
      <c r="D372" s="41" t="n"/>
      <c r="E372" s="41" t="n"/>
      <c r="F372" s="41" t="n"/>
      <c r="G372" s="42" t="n"/>
      <c r="H372" s="20" t="n"/>
      <c r="I372" s="20" t="n"/>
      <c r="J372" s="20" t="n"/>
    </row>
    <row r="373" ht="16.5" customFormat="1" customHeight="1" s="12">
      <c r="A373" s="17" t="n">
        <v>368</v>
      </c>
      <c r="B373" s="25" t="n"/>
      <c r="C373" s="138" t="n"/>
      <c r="D373" s="41" t="n"/>
      <c r="E373" s="41" t="n"/>
      <c r="F373" s="41" t="n"/>
      <c r="G373" s="42" t="n"/>
      <c r="H373" s="20" t="n"/>
      <c r="I373" s="20" t="n"/>
      <c r="J373" s="20" t="n"/>
    </row>
    <row r="374" ht="16.5" customFormat="1" customHeight="1" s="12">
      <c r="A374" s="17" t="n">
        <v>369</v>
      </c>
      <c r="B374" s="25" t="n"/>
      <c r="C374" s="138" t="n"/>
      <c r="D374" s="41" t="n"/>
      <c r="E374" s="41" t="n"/>
      <c r="F374" s="41" t="n"/>
      <c r="G374" s="42" t="n"/>
      <c r="H374" s="20" t="n"/>
      <c r="I374" s="20" t="n"/>
      <c r="J374" s="20" t="n"/>
    </row>
    <row r="375" ht="16.5" customFormat="1" customHeight="1" s="12">
      <c r="A375" s="17" t="n">
        <v>370</v>
      </c>
      <c r="B375" s="25" t="n"/>
      <c r="C375" s="138" t="n"/>
      <c r="D375" s="41" t="n"/>
      <c r="E375" s="41" t="n"/>
      <c r="F375" s="41" t="n"/>
      <c r="G375" s="42" t="n"/>
      <c r="H375" s="20" t="n"/>
      <c r="I375" s="20" t="n"/>
      <c r="J375" s="20" t="n"/>
    </row>
    <row r="376" ht="16.5" customFormat="1" customHeight="1" s="12">
      <c r="A376" s="17" t="n">
        <v>371</v>
      </c>
      <c r="B376" s="25" t="n"/>
      <c r="C376" s="138" t="n"/>
      <c r="D376" s="41" t="n"/>
      <c r="E376" s="41" t="n"/>
      <c r="F376" s="41" t="n"/>
      <c r="G376" s="42" t="n"/>
      <c r="H376" s="20" t="n"/>
      <c r="I376" s="20" t="n"/>
      <c r="J376" s="20" t="n"/>
    </row>
    <row r="377" ht="16.5" customFormat="1" customHeight="1" s="12">
      <c r="A377" s="17" t="n">
        <v>372</v>
      </c>
      <c r="B377" s="25" t="n"/>
      <c r="C377" s="138" t="n"/>
      <c r="D377" s="41" t="n"/>
      <c r="E377" s="41" t="n"/>
      <c r="F377" s="41" t="n"/>
      <c r="G377" s="42" t="n"/>
      <c r="H377" s="20" t="n"/>
      <c r="I377" s="20" t="n"/>
      <c r="J377" s="20" t="n"/>
    </row>
    <row r="378" ht="16.5" customFormat="1" customHeight="1" s="12">
      <c r="A378" s="17" t="n">
        <v>373</v>
      </c>
      <c r="B378" s="25" t="n"/>
      <c r="C378" s="138" t="n"/>
      <c r="D378" s="41" t="n"/>
      <c r="E378" s="41" t="n"/>
      <c r="F378" s="41" t="n"/>
      <c r="G378" s="42" t="n"/>
      <c r="H378" s="20" t="n"/>
      <c r="I378" s="20" t="n"/>
      <c r="J378" s="20" t="n"/>
    </row>
    <row r="379" ht="16.5" customFormat="1" customHeight="1" s="12">
      <c r="A379" s="17" t="n">
        <v>374</v>
      </c>
      <c r="B379" s="25" t="n"/>
      <c r="C379" s="138" t="n"/>
      <c r="D379" s="41" t="n"/>
      <c r="E379" s="41" t="n"/>
      <c r="F379" s="41" t="n"/>
      <c r="G379" s="42" t="n"/>
      <c r="H379" s="20" t="n"/>
      <c r="I379" s="20" t="n"/>
      <c r="J379" s="20" t="n"/>
    </row>
    <row r="380" ht="16.5" customFormat="1" customHeight="1" s="12">
      <c r="A380" s="17" t="n">
        <v>375</v>
      </c>
      <c r="B380" s="25" t="n"/>
      <c r="C380" s="138" t="n"/>
      <c r="D380" s="41" t="n"/>
      <c r="E380" s="41" t="n"/>
      <c r="F380" s="41" t="n"/>
      <c r="G380" s="42" t="n"/>
      <c r="H380" s="20" t="n"/>
      <c r="I380" s="20" t="n"/>
      <c r="J380" s="20" t="n"/>
    </row>
    <row r="381" ht="16.5" customFormat="1" customHeight="1" s="12">
      <c r="A381" s="17" t="n">
        <v>376</v>
      </c>
      <c r="B381" s="25" t="n"/>
      <c r="C381" s="138" t="n"/>
      <c r="D381" s="41" t="n"/>
      <c r="E381" s="41" t="n"/>
      <c r="F381" s="41" t="n"/>
      <c r="G381" s="42" t="n"/>
      <c r="H381" s="20" t="n"/>
      <c r="I381" s="20" t="n"/>
      <c r="J381" s="20" t="n"/>
    </row>
    <row r="382" ht="16.5" customFormat="1" customHeight="1" s="12">
      <c r="A382" s="17" t="n">
        <v>377</v>
      </c>
      <c r="B382" s="25" t="n"/>
      <c r="C382" s="138" t="n"/>
      <c r="D382" s="41" t="n"/>
      <c r="E382" s="41" t="n"/>
      <c r="F382" s="41" t="n"/>
      <c r="G382" s="42" t="n"/>
      <c r="H382" s="20" t="n"/>
      <c r="I382" s="20" t="n"/>
      <c r="J382" s="20" t="n"/>
    </row>
    <row r="383" ht="16.5" customFormat="1" customHeight="1" s="12">
      <c r="A383" s="17" t="n">
        <v>378</v>
      </c>
      <c r="B383" s="25" t="n"/>
      <c r="C383" s="138" t="n"/>
      <c r="D383" s="41" t="n"/>
      <c r="E383" s="41" t="n"/>
      <c r="F383" s="41" t="n"/>
      <c r="G383" s="42" t="n"/>
      <c r="H383" s="20" t="n"/>
      <c r="I383" s="20" t="n"/>
      <c r="J383" s="20" t="n"/>
    </row>
    <row r="384" ht="16.5" customFormat="1" customHeight="1" s="12">
      <c r="A384" s="17" t="n">
        <v>379</v>
      </c>
      <c r="B384" s="25" t="n"/>
      <c r="C384" s="138" t="n"/>
      <c r="D384" s="41" t="n"/>
      <c r="E384" s="41" t="n"/>
      <c r="F384" s="41" t="n"/>
      <c r="G384" s="42" t="n"/>
      <c r="H384" s="20" t="n"/>
      <c r="I384" s="20" t="n"/>
      <c r="J384" s="20" t="n"/>
    </row>
    <row r="385" ht="16.5" customFormat="1" customHeight="1" s="12">
      <c r="A385" s="17" t="n">
        <v>380</v>
      </c>
      <c r="B385" s="25" t="n"/>
      <c r="C385" s="138" t="n"/>
      <c r="D385" s="41" t="n"/>
      <c r="E385" s="41" t="n"/>
      <c r="F385" s="41" t="n"/>
      <c r="G385" s="42" t="n"/>
      <c r="H385" s="20" t="n"/>
      <c r="I385" s="20" t="n"/>
      <c r="J385" s="20" t="n"/>
    </row>
    <row r="386" ht="16.5" customFormat="1" customHeight="1" s="12">
      <c r="A386" s="17" t="n">
        <v>381</v>
      </c>
      <c r="B386" s="25" t="n"/>
      <c r="C386" s="138" t="n"/>
      <c r="D386" s="41" t="n"/>
      <c r="E386" s="41" t="n"/>
      <c r="F386" s="41" t="n"/>
      <c r="G386" s="42" t="n"/>
      <c r="H386" s="20" t="n"/>
      <c r="I386" s="20" t="n"/>
      <c r="J386" s="20" t="n"/>
    </row>
    <row r="387" ht="16.5" customFormat="1" customHeight="1" s="12">
      <c r="A387" s="17" t="n">
        <v>382</v>
      </c>
      <c r="B387" s="25" t="n"/>
      <c r="C387" s="138" t="n"/>
      <c r="D387" s="41" t="n"/>
      <c r="E387" s="41" t="n"/>
      <c r="F387" s="41" t="n"/>
      <c r="G387" s="42" t="n"/>
      <c r="H387" s="20" t="n"/>
      <c r="I387" s="20" t="n"/>
      <c r="J387" s="20" t="n"/>
    </row>
    <row r="388" ht="16.5" customFormat="1" customHeight="1" s="12">
      <c r="A388" s="17" t="n">
        <v>383</v>
      </c>
      <c r="B388" s="25" t="n"/>
      <c r="C388" s="138" t="n"/>
      <c r="D388" s="41" t="n"/>
      <c r="E388" s="41" t="n"/>
      <c r="F388" s="41" t="n"/>
      <c r="G388" s="42" t="n"/>
      <c r="H388" s="20" t="n"/>
      <c r="I388" s="20" t="n"/>
      <c r="J388" s="20" t="n"/>
    </row>
    <row r="389" ht="16.5" customFormat="1" customHeight="1" s="12">
      <c r="A389" s="17" t="n">
        <v>384</v>
      </c>
      <c r="B389" s="25" t="n"/>
      <c r="C389" s="138" t="n"/>
      <c r="D389" s="41" t="n"/>
      <c r="E389" s="41" t="n"/>
      <c r="F389" s="41" t="n"/>
      <c r="G389" s="42" t="n"/>
      <c r="H389" s="20" t="n"/>
      <c r="I389" s="20" t="n"/>
      <c r="J389" s="20" t="n"/>
    </row>
    <row r="390" ht="16.5" customFormat="1" customHeight="1" s="12">
      <c r="A390" s="17" t="n">
        <v>385</v>
      </c>
      <c r="B390" s="25" t="n"/>
      <c r="C390" s="138" t="n"/>
      <c r="D390" s="41" t="n"/>
      <c r="E390" s="41" t="n"/>
      <c r="F390" s="41" t="n"/>
      <c r="G390" s="42" t="n"/>
      <c r="H390" s="20" t="n"/>
      <c r="I390" s="20" t="n"/>
      <c r="J390" s="20" t="n"/>
    </row>
    <row r="391" ht="16.5" customFormat="1" customHeight="1" s="12">
      <c r="A391" s="17" t="n">
        <v>386</v>
      </c>
      <c r="B391" s="25" t="n"/>
      <c r="C391" s="138" t="n"/>
      <c r="D391" s="41" t="n"/>
      <c r="E391" s="41" t="n"/>
      <c r="F391" s="41" t="n"/>
      <c r="G391" s="42" t="n"/>
      <c r="H391" s="20" t="n"/>
      <c r="I391" s="20" t="n"/>
      <c r="J391" s="20" t="n"/>
    </row>
    <row r="392" ht="16.5" customFormat="1" customHeight="1" s="12">
      <c r="A392" s="17" t="n">
        <v>387</v>
      </c>
      <c r="B392" s="25" t="n"/>
      <c r="C392" s="138" t="n"/>
      <c r="D392" s="41" t="n"/>
      <c r="E392" s="41" t="n"/>
      <c r="F392" s="41" t="n"/>
      <c r="G392" s="42" t="n"/>
      <c r="H392" s="20" t="n"/>
      <c r="I392" s="20" t="n"/>
      <c r="J392" s="20" t="n"/>
    </row>
    <row r="393" ht="16.5" customFormat="1" customHeight="1" s="12">
      <c r="A393" s="17" t="n">
        <v>388</v>
      </c>
      <c r="B393" s="25" t="n"/>
      <c r="C393" s="138" t="n"/>
      <c r="D393" s="41" t="n"/>
      <c r="E393" s="41" t="n"/>
      <c r="F393" s="41" t="n"/>
      <c r="G393" s="42" t="n"/>
      <c r="H393" s="20" t="n"/>
      <c r="I393" s="20" t="n"/>
      <c r="J393" s="20" t="n"/>
    </row>
    <row r="394" ht="16.5" customFormat="1" customHeight="1" s="12">
      <c r="A394" s="17" t="n">
        <v>389</v>
      </c>
      <c r="B394" s="25" t="n"/>
      <c r="C394" s="138" t="n"/>
      <c r="D394" s="41" t="n"/>
      <c r="E394" s="41" t="n"/>
      <c r="F394" s="41" t="n"/>
      <c r="G394" s="42" t="n"/>
      <c r="H394" s="20" t="n"/>
      <c r="I394" s="20" t="n"/>
      <c r="J394" s="20" t="n"/>
    </row>
    <row r="395" ht="16.5" customFormat="1" customHeight="1" s="12">
      <c r="A395" s="17" t="n">
        <v>390</v>
      </c>
      <c r="B395" s="25" t="n"/>
      <c r="C395" s="138" t="n"/>
      <c r="D395" s="41" t="n"/>
      <c r="E395" s="41" t="n"/>
      <c r="F395" s="41" t="n"/>
      <c r="G395" s="42" t="n"/>
      <c r="H395" s="20" t="n"/>
      <c r="I395" s="20" t="n"/>
      <c r="J395" s="20" t="n"/>
    </row>
    <row r="396" ht="16.5" customFormat="1" customHeight="1" s="12">
      <c r="A396" s="17" t="n">
        <v>391</v>
      </c>
      <c r="B396" s="25" t="n"/>
      <c r="C396" s="138" t="n"/>
      <c r="D396" s="41" t="n"/>
      <c r="E396" s="41" t="n"/>
      <c r="F396" s="41" t="n"/>
      <c r="G396" s="42" t="n"/>
      <c r="H396" s="20" t="n"/>
      <c r="I396" s="20" t="n"/>
      <c r="J396" s="20" t="n"/>
    </row>
    <row r="397" ht="16.5" customFormat="1" customHeight="1" s="12">
      <c r="A397" s="17" t="n">
        <v>392</v>
      </c>
      <c r="B397" s="25" t="n"/>
      <c r="C397" s="138" t="n"/>
      <c r="D397" s="41" t="n"/>
      <c r="E397" s="41" t="n"/>
      <c r="F397" s="41" t="n"/>
      <c r="G397" s="42" t="n"/>
      <c r="H397" s="20" t="n"/>
      <c r="I397" s="20" t="n"/>
      <c r="J397" s="20" t="n"/>
    </row>
    <row r="398" ht="16.5" customFormat="1" customHeight="1" s="12">
      <c r="A398" s="17" t="n">
        <v>393</v>
      </c>
      <c r="B398" s="25" t="n"/>
      <c r="C398" s="138" t="n"/>
      <c r="D398" s="41" t="n"/>
      <c r="E398" s="41" t="n"/>
      <c r="F398" s="41" t="n"/>
      <c r="G398" s="42" t="n"/>
      <c r="H398" s="20" t="n"/>
      <c r="I398" s="20" t="n"/>
      <c r="J398" s="20" t="n"/>
    </row>
    <row r="399" ht="16.5" customFormat="1" customHeight="1" s="12">
      <c r="A399" s="17" t="n">
        <v>394</v>
      </c>
      <c r="B399" s="25" t="n"/>
      <c r="C399" s="138" t="n"/>
      <c r="D399" s="41" t="n"/>
      <c r="E399" s="41" t="n"/>
      <c r="F399" s="41" t="n"/>
      <c r="G399" s="42" t="n"/>
      <c r="H399" s="20" t="n"/>
      <c r="I399" s="20" t="n"/>
      <c r="J399" s="20" t="n"/>
    </row>
    <row r="400" ht="16.5" customFormat="1" customHeight="1" s="12">
      <c r="A400" s="17" t="n">
        <v>395</v>
      </c>
      <c r="B400" s="25" t="n"/>
      <c r="C400" s="138" t="n"/>
      <c r="D400" s="41" t="n"/>
      <c r="E400" s="41" t="n"/>
      <c r="F400" s="41" t="n"/>
      <c r="G400" s="42" t="n"/>
      <c r="H400" s="20" t="n"/>
      <c r="I400" s="20" t="n"/>
      <c r="J400" s="20" t="n"/>
    </row>
    <row r="401" ht="16.5" customFormat="1" customHeight="1" s="12">
      <c r="A401" s="17" t="n">
        <v>396</v>
      </c>
      <c r="B401" s="25" t="n"/>
      <c r="C401" s="138" t="n"/>
      <c r="D401" s="41" t="n"/>
      <c r="E401" s="41" t="n"/>
      <c r="F401" s="41" t="n"/>
      <c r="G401" s="42" t="n"/>
      <c r="H401" s="20" t="n"/>
      <c r="I401" s="20" t="n"/>
      <c r="J401" s="20" t="n"/>
    </row>
    <row r="402" ht="16.5" customFormat="1" customHeight="1" s="12">
      <c r="A402" s="17" t="n">
        <v>397</v>
      </c>
      <c r="B402" s="25" t="n"/>
      <c r="C402" s="138" t="n"/>
      <c r="D402" s="41" t="n"/>
      <c r="E402" s="41" t="n"/>
      <c r="F402" s="41" t="n"/>
      <c r="G402" s="42" t="n"/>
      <c r="H402" s="20" t="n"/>
      <c r="I402" s="20" t="n"/>
      <c r="J402" s="20" t="n"/>
    </row>
    <row r="403" ht="16.5" customFormat="1" customHeight="1" s="12">
      <c r="A403" s="17" t="n">
        <v>398</v>
      </c>
      <c r="B403" s="25" t="n"/>
      <c r="C403" s="138" t="n"/>
      <c r="D403" s="41" t="n"/>
      <c r="E403" s="41" t="n"/>
      <c r="F403" s="41" t="n"/>
      <c r="G403" s="42" t="n"/>
      <c r="H403" s="20" t="n"/>
      <c r="I403" s="20" t="n"/>
      <c r="J403" s="20" t="n"/>
    </row>
    <row r="404" ht="16.5" customFormat="1" customHeight="1" s="12">
      <c r="A404" s="17" t="n">
        <v>399</v>
      </c>
      <c r="B404" s="25" t="n"/>
      <c r="C404" s="138" t="n"/>
      <c r="D404" s="41" t="n"/>
      <c r="E404" s="41" t="n"/>
      <c r="F404" s="41" t="n"/>
      <c r="G404" s="42" t="n"/>
      <c r="H404" s="20" t="n"/>
      <c r="I404" s="20" t="n"/>
      <c r="J404" s="20" t="n"/>
    </row>
    <row r="405" ht="16.5" customFormat="1" customHeight="1" s="12">
      <c r="A405" s="17" t="n">
        <v>400</v>
      </c>
      <c r="B405" s="25" t="n"/>
      <c r="C405" s="138" t="n"/>
      <c r="D405" s="41" t="n"/>
      <c r="E405" s="41" t="n"/>
      <c r="F405" s="41" t="n"/>
      <c r="G405" s="42" t="n"/>
      <c r="H405" s="20" t="n"/>
      <c r="I405" s="20" t="n"/>
      <c r="J405" s="20" t="n"/>
    </row>
    <row r="406" ht="16.5" customFormat="1" customHeight="1" s="12">
      <c r="A406" s="17" t="n">
        <v>401</v>
      </c>
      <c r="B406" s="25" t="n"/>
      <c r="C406" s="138" t="n"/>
      <c r="D406" s="41" t="n"/>
      <c r="E406" s="41" t="n"/>
      <c r="F406" s="41" t="n"/>
      <c r="G406" s="42" t="n"/>
      <c r="H406" s="20" t="n"/>
      <c r="I406" s="20" t="n"/>
      <c r="J406" s="20" t="n"/>
    </row>
    <row r="407" ht="16.5" customFormat="1" customHeight="1" s="12">
      <c r="A407" s="17" t="n">
        <v>402</v>
      </c>
      <c r="B407" s="25" t="n"/>
      <c r="C407" s="138" t="n"/>
      <c r="D407" s="41" t="n"/>
      <c r="E407" s="41" t="n"/>
      <c r="F407" s="41" t="n"/>
      <c r="G407" s="42" t="n"/>
      <c r="H407" s="20" t="n"/>
      <c r="I407" s="20" t="n"/>
      <c r="J407" s="20" t="n"/>
    </row>
    <row r="408" ht="16.5" customFormat="1" customHeight="1" s="12">
      <c r="A408" s="17" t="n">
        <v>403</v>
      </c>
      <c r="B408" s="25" t="n"/>
      <c r="C408" s="138" t="n"/>
      <c r="D408" s="41" t="n"/>
      <c r="E408" s="41" t="n"/>
      <c r="F408" s="41" t="n"/>
      <c r="G408" s="42" t="n"/>
      <c r="H408" s="20" t="n"/>
      <c r="I408" s="20" t="n"/>
      <c r="J408" s="20" t="n"/>
    </row>
    <row r="409" ht="16.5" customFormat="1" customHeight="1" s="12">
      <c r="A409" s="17" t="n">
        <v>404</v>
      </c>
      <c r="B409" s="25" t="n"/>
      <c r="C409" s="138" t="n"/>
      <c r="D409" s="41" t="n"/>
      <c r="E409" s="41" t="n"/>
      <c r="F409" s="41" t="n"/>
      <c r="G409" s="42" t="n"/>
      <c r="H409" s="20" t="n"/>
      <c r="I409" s="20" t="n"/>
      <c r="J409" s="20" t="n"/>
    </row>
    <row r="410" ht="16.5" customFormat="1" customHeight="1" s="12">
      <c r="A410" s="17" t="n">
        <v>405</v>
      </c>
      <c r="B410" s="25" t="n"/>
      <c r="C410" s="138" t="n"/>
      <c r="D410" s="41" t="n"/>
      <c r="E410" s="41" t="n"/>
      <c r="F410" s="41" t="n"/>
      <c r="G410" s="42" t="n"/>
      <c r="H410" s="20" t="n"/>
      <c r="I410" s="20" t="n"/>
      <c r="J410" s="20" t="n"/>
    </row>
    <row r="411" ht="16.5" customFormat="1" customHeight="1" s="12">
      <c r="A411" s="17" t="n">
        <v>406</v>
      </c>
      <c r="B411" s="25" t="n"/>
      <c r="C411" s="138" t="n"/>
      <c r="D411" s="41" t="n"/>
      <c r="E411" s="41" t="n"/>
      <c r="F411" s="41" t="n"/>
      <c r="G411" s="42" t="n"/>
      <c r="H411" s="20" t="n"/>
      <c r="I411" s="20" t="n"/>
      <c r="J411" s="20" t="n"/>
    </row>
    <row r="412" ht="16.5" customFormat="1" customHeight="1" s="12">
      <c r="A412" s="17" t="n">
        <v>407</v>
      </c>
      <c r="B412" s="25" t="n"/>
      <c r="C412" s="138" t="n"/>
      <c r="D412" s="41" t="n"/>
      <c r="E412" s="41" t="n"/>
      <c r="F412" s="41" t="n"/>
      <c r="G412" s="42" t="n"/>
      <c r="H412" s="20" t="n"/>
      <c r="I412" s="20" t="n"/>
      <c r="J412" s="20" t="n"/>
    </row>
    <row r="413" ht="16.5" customFormat="1" customHeight="1" s="12">
      <c r="A413" s="17" t="n">
        <v>408</v>
      </c>
      <c r="B413" s="25" t="n"/>
      <c r="C413" s="138" t="n"/>
      <c r="D413" s="41" t="n"/>
      <c r="E413" s="41" t="n"/>
      <c r="F413" s="41" t="n"/>
      <c r="G413" s="42" t="n"/>
      <c r="H413" s="20" t="n"/>
      <c r="I413" s="20" t="n"/>
      <c r="J413" s="20" t="n"/>
    </row>
    <row r="414" ht="16.5" customFormat="1" customHeight="1" s="12">
      <c r="A414" s="17" t="n">
        <v>409</v>
      </c>
      <c r="B414" s="25" t="n"/>
      <c r="C414" s="138" t="n"/>
      <c r="D414" s="41" t="n"/>
      <c r="E414" s="41" t="n"/>
      <c r="F414" s="41" t="n"/>
      <c r="G414" s="42" t="n"/>
      <c r="H414" s="20" t="n"/>
      <c r="I414" s="20" t="n"/>
      <c r="J414" s="20" t="n"/>
    </row>
    <row r="415" ht="16.5" customFormat="1" customHeight="1" s="12">
      <c r="A415" s="17" t="n">
        <v>410</v>
      </c>
      <c r="B415" s="25" t="n"/>
      <c r="C415" s="138" t="n"/>
      <c r="D415" s="41" t="n"/>
      <c r="E415" s="41" t="n"/>
      <c r="F415" s="41" t="n"/>
      <c r="G415" s="42" t="n"/>
      <c r="H415" s="20" t="n"/>
      <c r="I415" s="20" t="n"/>
      <c r="J415" s="20" t="n"/>
    </row>
    <row r="416" ht="16.5" customFormat="1" customHeight="1" s="12">
      <c r="A416" s="17" t="n">
        <v>411</v>
      </c>
      <c r="B416" s="25" t="n"/>
      <c r="C416" s="138" t="n"/>
      <c r="D416" s="41" t="n"/>
      <c r="E416" s="41" t="n"/>
      <c r="F416" s="41" t="n"/>
      <c r="G416" s="42" t="n"/>
      <c r="H416" s="20" t="n"/>
      <c r="I416" s="20" t="n"/>
      <c r="J416" s="20" t="n"/>
    </row>
    <row r="417" ht="16.5" customFormat="1" customHeight="1" s="12">
      <c r="A417" s="17" t="n">
        <v>412</v>
      </c>
      <c r="B417" s="25" t="n"/>
      <c r="C417" s="138" t="n"/>
      <c r="D417" s="41" t="n"/>
      <c r="E417" s="41" t="n"/>
      <c r="F417" s="41" t="n"/>
      <c r="G417" s="42" t="n"/>
      <c r="H417" s="20" t="n"/>
      <c r="I417" s="20" t="n"/>
      <c r="J417" s="20" t="n"/>
    </row>
    <row r="418" ht="16.5" customFormat="1" customHeight="1" s="12">
      <c r="A418" s="17" t="n">
        <v>413</v>
      </c>
      <c r="B418" s="25" t="n"/>
      <c r="C418" s="138" t="n"/>
      <c r="D418" s="41" t="n"/>
      <c r="E418" s="41" t="n"/>
      <c r="F418" s="41" t="n"/>
      <c r="G418" s="42" t="n"/>
      <c r="H418" s="20" t="n"/>
      <c r="I418" s="20" t="n"/>
      <c r="J418" s="20" t="n"/>
    </row>
    <row r="419" ht="16.5" customFormat="1" customHeight="1" s="12">
      <c r="A419" s="17" t="n">
        <v>414</v>
      </c>
      <c r="B419" s="25" t="n"/>
      <c r="C419" s="138" t="n"/>
      <c r="D419" s="41" t="n"/>
      <c r="E419" s="41" t="n"/>
      <c r="F419" s="41" t="n"/>
      <c r="G419" s="42" t="n"/>
      <c r="H419" s="20" t="n"/>
      <c r="I419" s="20" t="n"/>
      <c r="J419" s="20" t="n"/>
    </row>
    <row r="420" ht="16.5" customFormat="1" customHeight="1" s="12">
      <c r="A420" s="17" t="n">
        <v>415</v>
      </c>
      <c r="B420" s="25" t="n"/>
      <c r="C420" s="138" t="n"/>
      <c r="D420" s="41" t="n"/>
      <c r="E420" s="41" t="n"/>
      <c r="F420" s="41" t="n"/>
      <c r="G420" s="42" t="n"/>
      <c r="H420" s="20" t="n"/>
      <c r="I420" s="20" t="n"/>
      <c r="J420" s="20" t="n"/>
    </row>
    <row r="421" ht="16.5" customFormat="1" customHeight="1" s="12">
      <c r="A421" s="17" t="n">
        <v>416</v>
      </c>
      <c r="B421" s="25" t="n"/>
      <c r="C421" s="138" t="n"/>
      <c r="D421" s="41" t="n"/>
      <c r="E421" s="41" t="n"/>
      <c r="F421" s="41" t="n"/>
      <c r="G421" s="42" t="n"/>
      <c r="H421" s="20" t="n"/>
      <c r="I421" s="20" t="n"/>
      <c r="J421" s="20" t="n"/>
    </row>
    <row r="422" ht="16.5" customFormat="1" customHeight="1" s="12">
      <c r="A422" s="17" t="n">
        <v>417</v>
      </c>
      <c r="B422" s="25" t="n"/>
      <c r="C422" s="138" t="n"/>
      <c r="D422" s="41" t="n"/>
      <c r="E422" s="41" t="n"/>
      <c r="F422" s="41" t="n"/>
      <c r="G422" s="42" t="n"/>
      <c r="H422" s="20" t="n"/>
      <c r="I422" s="20" t="n"/>
      <c r="J422" s="20" t="n"/>
    </row>
    <row r="423" ht="16.5" customFormat="1" customHeight="1" s="12">
      <c r="A423" s="17" t="n">
        <v>418</v>
      </c>
      <c r="B423" s="25" t="n"/>
      <c r="C423" s="138" t="n"/>
      <c r="D423" s="41" t="n"/>
      <c r="E423" s="41" t="n"/>
      <c r="F423" s="41" t="n"/>
      <c r="G423" s="42" t="n"/>
      <c r="H423" s="20" t="n"/>
      <c r="I423" s="20" t="n"/>
      <c r="J423" s="20" t="n"/>
    </row>
    <row r="424" ht="16.5" customFormat="1" customHeight="1" s="12">
      <c r="A424" s="17" t="n">
        <v>419</v>
      </c>
      <c r="B424" s="25" t="n"/>
      <c r="C424" s="138" t="n"/>
      <c r="D424" s="41" t="n"/>
      <c r="E424" s="41" t="n"/>
      <c r="F424" s="41" t="n"/>
      <c r="G424" s="42" t="n"/>
      <c r="H424" s="20" t="n"/>
      <c r="I424" s="20" t="n"/>
      <c r="J424" s="20" t="n"/>
    </row>
    <row r="425" ht="16.5" customFormat="1" customHeight="1" s="12">
      <c r="A425" s="17" t="n">
        <v>420</v>
      </c>
      <c r="B425" s="25" t="n"/>
      <c r="C425" s="138" t="n"/>
      <c r="D425" s="41" t="n"/>
      <c r="E425" s="41" t="n"/>
      <c r="F425" s="41" t="n"/>
      <c r="G425" s="42" t="n"/>
      <c r="H425" s="20" t="n"/>
      <c r="I425" s="20" t="n"/>
      <c r="J425" s="20" t="n"/>
    </row>
    <row r="426" ht="16.5" customFormat="1" customHeight="1" s="12">
      <c r="A426" s="17" t="n">
        <v>421</v>
      </c>
      <c r="B426" s="25" t="n"/>
      <c r="C426" s="138" t="n"/>
      <c r="D426" s="41" t="n"/>
      <c r="E426" s="41" t="n"/>
      <c r="F426" s="41" t="n"/>
      <c r="G426" s="42" t="n"/>
      <c r="H426" s="20" t="n"/>
      <c r="I426" s="20" t="n"/>
      <c r="J426" s="20" t="n"/>
    </row>
    <row r="427" ht="16.5" customFormat="1" customHeight="1" s="12">
      <c r="A427" s="17" t="n">
        <v>422</v>
      </c>
      <c r="B427" s="25" t="n"/>
      <c r="C427" s="138" t="n"/>
      <c r="D427" s="41" t="n"/>
      <c r="E427" s="41" t="n"/>
      <c r="F427" s="41" t="n"/>
      <c r="G427" s="42" t="n"/>
      <c r="H427" s="20" t="n"/>
      <c r="I427" s="20" t="n"/>
      <c r="J427" s="20" t="n"/>
    </row>
    <row r="428" ht="16.5" customFormat="1" customHeight="1" s="12">
      <c r="A428" s="17" t="n">
        <v>423</v>
      </c>
      <c r="B428" s="25" t="n"/>
      <c r="C428" s="138" t="n"/>
      <c r="D428" s="41" t="n"/>
      <c r="E428" s="41" t="n"/>
      <c r="F428" s="41" t="n"/>
      <c r="G428" s="42" t="n"/>
      <c r="H428" s="20" t="n"/>
      <c r="I428" s="20" t="n"/>
      <c r="J428" s="20" t="n"/>
    </row>
    <row r="429" ht="16.5" customFormat="1" customHeight="1" s="12">
      <c r="A429" s="17" t="n">
        <v>424</v>
      </c>
      <c r="B429" s="25" t="n"/>
      <c r="C429" s="138" t="n"/>
      <c r="D429" s="41" t="n"/>
      <c r="E429" s="41" t="n"/>
      <c r="F429" s="41" t="n"/>
      <c r="G429" s="42" t="n"/>
      <c r="H429" s="20" t="n"/>
      <c r="I429" s="20" t="n"/>
      <c r="J429" s="20" t="n"/>
    </row>
    <row r="430" ht="16.5" customFormat="1" customHeight="1" s="12">
      <c r="A430" s="17" t="n">
        <v>425</v>
      </c>
      <c r="B430" s="25" t="n"/>
      <c r="C430" s="138" t="n"/>
      <c r="D430" s="41" t="n"/>
      <c r="E430" s="41" t="n"/>
      <c r="F430" s="41" t="n"/>
      <c r="G430" s="42" t="n"/>
      <c r="H430" s="20" t="n"/>
      <c r="I430" s="20" t="n"/>
      <c r="J430" s="20" t="n"/>
    </row>
    <row r="431" ht="16.5" customFormat="1" customHeight="1" s="12">
      <c r="A431" s="17" t="n">
        <v>426</v>
      </c>
      <c r="B431" s="25" t="n"/>
      <c r="C431" s="138" t="n"/>
      <c r="D431" s="41" t="n"/>
      <c r="E431" s="41" t="n"/>
      <c r="F431" s="41" t="n"/>
      <c r="G431" s="42" t="n"/>
      <c r="H431" s="20" t="n"/>
      <c r="I431" s="20" t="n"/>
      <c r="J431" s="20" t="n"/>
    </row>
    <row r="432" ht="16.5" customFormat="1" customHeight="1" s="12">
      <c r="A432" s="17" t="n">
        <v>427</v>
      </c>
      <c r="B432" s="25" t="n"/>
      <c r="C432" s="138" t="n"/>
      <c r="D432" s="41" t="n"/>
      <c r="E432" s="41" t="n"/>
      <c r="F432" s="41" t="n"/>
      <c r="G432" s="42" t="n"/>
      <c r="H432" s="20" t="n"/>
      <c r="I432" s="20" t="n"/>
      <c r="J432" s="20" t="n"/>
    </row>
    <row r="433" ht="16.5" customFormat="1" customHeight="1" s="12">
      <c r="A433" s="17" t="n">
        <v>428</v>
      </c>
      <c r="B433" s="25" t="n"/>
      <c r="C433" s="138" t="n"/>
      <c r="D433" s="41" t="n"/>
      <c r="E433" s="41" t="n"/>
      <c r="F433" s="41" t="n"/>
      <c r="G433" s="42" t="n"/>
      <c r="H433" s="20" t="n"/>
      <c r="I433" s="20" t="n"/>
      <c r="J433" s="20" t="n"/>
    </row>
    <row r="434" ht="16.5" customFormat="1" customHeight="1" s="12">
      <c r="A434" s="17" t="n">
        <v>429</v>
      </c>
      <c r="B434" s="25" t="n"/>
      <c r="C434" s="138" t="n"/>
      <c r="D434" s="41" t="n"/>
      <c r="E434" s="41" t="n"/>
      <c r="F434" s="41" t="n"/>
      <c r="G434" s="42" t="n"/>
      <c r="H434" s="20" t="n"/>
      <c r="I434" s="20" t="n"/>
      <c r="J434" s="20" t="n"/>
    </row>
    <row r="435" ht="16.5" customFormat="1" customHeight="1" s="12">
      <c r="A435" s="17" t="n">
        <v>430</v>
      </c>
      <c r="B435" s="25" t="n"/>
      <c r="C435" s="138" t="n"/>
      <c r="D435" s="41" t="n"/>
      <c r="E435" s="41" t="n"/>
      <c r="F435" s="41" t="n"/>
      <c r="G435" s="42" t="n"/>
      <c r="H435" s="20" t="n"/>
      <c r="I435" s="20" t="n"/>
      <c r="J435" s="20" t="n"/>
    </row>
    <row r="436" ht="16.5" customFormat="1" customHeight="1" s="12">
      <c r="A436" s="17" t="n">
        <v>431</v>
      </c>
      <c r="B436" s="25" t="n"/>
      <c r="C436" s="138" t="n"/>
      <c r="D436" s="41" t="n"/>
      <c r="E436" s="41" t="n"/>
      <c r="F436" s="41" t="n"/>
      <c r="G436" s="42" t="n"/>
      <c r="H436" s="20" t="n"/>
      <c r="I436" s="20" t="n"/>
      <c r="J436" s="20" t="n"/>
    </row>
    <row r="437" ht="16.5" customFormat="1" customHeight="1" s="12">
      <c r="A437" s="17" t="n">
        <v>432</v>
      </c>
      <c r="B437" s="25" t="n"/>
      <c r="C437" s="138" t="n"/>
      <c r="D437" s="41" t="n"/>
      <c r="E437" s="41" t="n"/>
      <c r="F437" s="41" t="n"/>
      <c r="G437" s="42" t="n"/>
      <c r="H437" s="20" t="n"/>
      <c r="I437" s="20" t="n"/>
      <c r="J437" s="20" t="n"/>
    </row>
    <row r="438" ht="16.5" customFormat="1" customHeight="1" s="12">
      <c r="A438" s="17" t="n">
        <v>433</v>
      </c>
      <c r="B438" s="25" t="n"/>
      <c r="C438" s="138" t="n"/>
      <c r="D438" s="41" t="n"/>
      <c r="E438" s="41" t="n"/>
      <c r="F438" s="41" t="n"/>
      <c r="G438" s="42" t="n"/>
      <c r="H438" s="20" t="n"/>
      <c r="I438" s="20" t="n"/>
      <c r="J438" s="20" t="n"/>
    </row>
    <row r="439" ht="16.5" customFormat="1" customHeight="1" s="12">
      <c r="A439" s="17" t="n">
        <v>434</v>
      </c>
      <c r="B439" s="25" t="n"/>
      <c r="C439" s="138" t="n"/>
      <c r="D439" s="41" t="n"/>
      <c r="E439" s="41" t="n"/>
      <c r="F439" s="41" t="n"/>
      <c r="G439" s="42" t="n"/>
      <c r="H439" s="20" t="n"/>
      <c r="I439" s="20" t="n"/>
      <c r="J439" s="20" t="n"/>
    </row>
    <row r="440" ht="16.5" customFormat="1" customHeight="1" s="12">
      <c r="A440" s="17" t="n">
        <v>435</v>
      </c>
      <c r="B440" s="25" t="n"/>
      <c r="C440" s="138" t="n"/>
      <c r="D440" s="41" t="n"/>
      <c r="E440" s="41" t="n"/>
      <c r="F440" s="41" t="n"/>
      <c r="G440" s="42" t="n"/>
      <c r="H440" s="20" t="n"/>
      <c r="I440" s="20" t="n"/>
      <c r="J440" s="20" t="n"/>
    </row>
    <row r="441" ht="16.5" customFormat="1" customHeight="1" s="12">
      <c r="A441" s="17" t="n">
        <v>436</v>
      </c>
      <c r="B441" s="25" t="n"/>
      <c r="C441" s="138" t="n"/>
      <c r="D441" s="41" t="n"/>
      <c r="E441" s="41" t="n"/>
      <c r="F441" s="41" t="n"/>
      <c r="G441" s="42" t="n"/>
      <c r="H441" s="20" t="n"/>
      <c r="I441" s="20" t="n"/>
      <c r="J441" s="20" t="n"/>
    </row>
    <row r="442" ht="16.5" customFormat="1" customHeight="1" s="12">
      <c r="A442" s="17" t="n">
        <v>437</v>
      </c>
      <c r="B442" s="25" t="n"/>
      <c r="C442" s="138" t="n"/>
      <c r="D442" s="41" t="n"/>
      <c r="E442" s="41" t="n"/>
      <c r="F442" s="41" t="n"/>
      <c r="G442" s="42" t="n"/>
      <c r="H442" s="20" t="n"/>
      <c r="I442" s="20" t="n"/>
      <c r="J442" s="20" t="n"/>
    </row>
    <row r="443" ht="16.5" customFormat="1" customHeight="1" s="12">
      <c r="A443" s="17" t="n">
        <v>438</v>
      </c>
      <c r="B443" s="25" t="n"/>
      <c r="C443" s="138" t="n"/>
      <c r="D443" s="41" t="n"/>
      <c r="E443" s="41" t="n"/>
      <c r="F443" s="41" t="n"/>
      <c r="G443" s="42" t="n"/>
      <c r="H443" s="20" t="n"/>
      <c r="I443" s="20" t="n"/>
      <c r="J443" s="20" t="n"/>
    </row>
    <row r="444" ht="16.5" customFormat="1" customHeight="1" s="12">
      <c r="A444" s="17" t="n">
        <v>439</v>
      </c>
      <c r="B444" s="25" t="n"/>
      <c r="C444" s="138" t="n"/>
      <c r="D444" s="41" t="n"/>
      <c r="E444" s="41" t="n"/>
      <c r="F444" s="41" t="n"/>
      <c r="G444" s="42" t="n"/>
      <c r="H444" s="20" t="n"/>
      <c r="I444" s="20" t="n"/>
      <c r="J444" s="20" t="n"/>
    </row>
    <row r="445" ht="16.5" customFormat="1" customHeight="1" s="12">
      <c r="A445" s="17" t="n">
        <v>440</v>
      </c>
      <c r="B445" s="25" t="n"/>
      <c r="C445" s="138" t="n"/>
      <c r="D445" s="41" t="n"/>
      <c r="E445" s="41" t="n"/>
      <c r="F445" s="41" t="n"/>
      <c r="G445" s="42" t="n"/>
      <c r="H445" s="20" t="n"/>
      <c r="I445" s="20" t="n"/>
      <c r="J445" s="20" t="n"/>
    </row>
    <row r="446" ht="16.5" customFormat="1" customHeight="1" s="12">
      <c r="A446" s="17" t="n">
        <v>441</v>
      </c>
      <c r="B446" s="25" t="n"/>
      <c r="C446" s="138" t="n"/>
      <c r="D446" s="41" t="n"/>
      <c r="E446" s="41" t="n"/>
      <c r="F446" s="41" t="n"/>
      <c r="G446" s="42" t="n"/>
      <c r="H446" s="20" t="n"/>
      <c r="I446" s="20" t="n"/>
      <c r="J446" s="20" t="n"/>
    </row>
    <row r="447" ht="16.5" customFormat="1" customHeight="1" s="12">
      <c r="A447" s="17" t="n">
        <v>442</v>
      </c>
      <c r="B447" s="25" t="n"/>
      <c r="C447" s="138" t="n"/>
      <c r="D447" s="41" t="n"/>
      <c r="E447" s="41" t="n"/>
      <c r="F447" s="41" t="n"/>
      <c r="G447" s="42" t="n"/>
      <c r="H447" s="20" t="n"/>
      <c r="I447" s="20" t="n"/>
      <c r="J447" s="20" t="n"/>
    </row>
    <row r="448" ht="16.5" customFormat="1" customHeight="1" s="12">
      <c r="A448" s="17" t="n">
        <v>443</v>
      </c>
      <c r="B448" s="25" t="n"/>
      <c r="C448" s="138" t="n"/>
      <c r="D448" s="41" t="n"/>
      <c r="E448" s="41" t="n"/>
      <c r="F448" s="41" t="n"/>
      <c r="G448" s="42" t="n"/>
      <c r="H448" s="20" t="n"/>
      <c r="I448" s="20" t="n"/>
      <c r="J448" s="20" t="n"/>
    </row>
    <row r="449" ht="16.5" customFormat="1" customHeight="1" s="12">
      <c r="A449" s="17" t="n">
        <v>444</v>
      </c>
      <c r="B449" s="25" t="n"/>
      <c r="C449" s="138" t="n"/>
      <c r="D449" s="41" t="n"/>
      <c r="E449" s="41" t="n"/>
      <c r="F449" s="41" t="n"/>
      <c r="G449" s="42" t="n"/>
      <c r="H449" s="20" t="n"/>
      <c r="I449" s="20" t="n"/>
      <c r="J449" s="20" t="n"/>
    </row>
    <row r="450" ht="16.5" customFormat="1" customHeight="1" s="12">
      <c r="A450" s="17" t="n">
        <v>445</v>
      </c>
      <c r="B450" s="25" t="n"/>
      <c r="C450" s="138" t="n"/>
      <c r="D450" s="41" t="n"/>
      <c r="E450" s="41" t="n"/>
      <c r="F450" s="41" t="n"/>
      <c r="G450" s="42" t="n"/>
      <c r="H450" s="20" t="n"/>
      <c r="I450" s="20" t="n"/>
      <c r="J450" s="20" t="n"/>
    </row>
    <row r="451" ht="16.5" customFormat="1" customHeight="1" s="12">
      <c r="A451" s="17" t="n">
        <v>446</v>
      </c>
      <c r="B451" s="25" t="n"/>
      <c r="C451" s="138" t="n"/>
      <c r="D451" s="41" t="n"/>
      <c r="E451" s="41" t="n"/>
      <c r="F451" s="41" t="n"/>
      <c r="G451" s="42" t="n"/>
      <c r="H451" s="20" t="n"/>
      <c r="I451" s="20" t="n"/>
      <c r="J451" s="20" t="n"/>
    </row>
    <row r="452" ht="16.5" customFormat="1" customHeight="1" s="12">
      <c r="A452" s="17" t="n">
        <v>447</v>
      </c>
      <c r="B452" s="25" t="n"/>
      <c r="C452" s="138" t="n"/>
      <c r="D452" s="41" t="n"/>
      <c r="E452" s="41" t="n"/>
      <c r="F452" s="41" t="n"/>
      <c r="G452" s="42" t="n"/>
      <c r="H452" s="20" t="n"/>
      <c r="I452" s="20" t="n"/>
      <c r="J452" s="20" t="n"/>
    </row>
    <row r="453" ht="16.5" customFormat="1" customHeight="1" s="12">
      <c r="A453" s="17" t="n">
        <v>448</v>
      </c>
      <c r="B453" s="25" t="n"/>
      <c r="C453" s="138" t="n"/>
      <c r="D453" s="41" t="n"/>
      <c r="E453" s="41" t="n"/>
      <c r="F453" s="41" t="n"/>
      <c r="G453" s="42" t="n"/>
      <c r="H453" s="20" t="n"/>
      <c r="I453" s="20" t="n"/>
      <c r="J453" s="20" t="n"/>
    </row>
    <row r="454" ht="16.5" customFormat="1" customHeight="1" s="12">
      <c r="A454" s="17" t="n">
        <v>449</v>
      </c>
      <c r="B454" s="25" t="n"/>
      <c r="C454" s="138" t="n"/>
      <c r="D454" s="41" t="n"/>
      <c r="E454" s="41" t="n"/>
      <c r="F454" s="41" t="n"/>
      <c r="G454" s="42" t="n"/>
      <c r="H454" s="20" t="n"/>
      <c r="I454" s="20" t="n"/>
      <c r="J454" s="20" t="n"/>
    </row>
    <row r="455" ht="16.5" customFormat="1" customHeight="1" s="12">
      <c r="A455" s="17" t="n">
        <v>450</v>
      </c>
      <c r="B455" s="25" t="n"/>
      <c r="C455" s="138" t="n"/>
      <c r="D455" s="41" t="n"/>
      <c r="E455" s="41" t="n"/>
      <c r="F455" s="41" t="n"/>
      <c r="G455" s="42" t="n"/>
      <c r="H455" s="20" t="n"/>
      <c r="I455" s="20" t="n"/>
      <c r="J455" s="20" t="n"/>
    </row>
    <row r="456" ht="16.5" customFormat="1" customHeight="1" s="12">
      <c r="A456" s="17" t="n">
        <v>451</v>
      </c>
      <c r="B456" s="25" t="n"/>
      <c r="C456" s="138" t="n"/>
      <c r="D456" s="41" t="n"/>
      <c r="E456" s="41" t="n"/>
      <c r="F456" s="41" t="n"/>
      <c r="G456" s="42" t="n"/>
      <c r="H456" s="20" t="n"/>
      <c r="I456" s="20" t="n"/>
      <c r="J456" s="20" t="n"/>
    </row>
    <row r="457" ht="16.5" customFormat="1" customHeight="1" s="12">
      <c r="A457" s="17" t="n">
        <v>452</v>
      </c>
      <c r="B457" s="25" t="n"/>
      <c r="C457" s="138" t="n"/>
      <c r="D457" s="41" t="n"/>
      <c r="E457" s="41" t="n"/>
      <c r="F457" s="41" t="n"/>
      <c r="G457" s="42" t="n"/>
      <c r="H457" s="20" t="n"/>
      <c r="I457" s="20" t="n"/>
      <c r="J457" s="20" t="n"/>
    </row>
    <row r="458" ht="16.5" customFormat="1" customHeight="1" s="12">
      <c r="A458" s="17" t="n">
        <v>453</v>
      </c>
      <c r="B458" s="25" t="n"/>
      <c r="C458" s="138" t="n"/>
      <c r="D458" s="41" t="n"/>
      <c r="E458" s="41" t="n"/>
      <c r="F458" s="41" t="n"/>
      <c r="G458" s="42" t="n"/>
      <c r="H458" s="20" t="n"/>
      <c r="I458" s="20" t="n"/>
      <c r="J458" s="20" t="n"/>
    </row>
    <row r="459" ht="16.5" customFormat="1" customHeight="1" s="12">
      <c r="A459" s="17" t="n">
        <v>454</v>
      </c>
      <c r="B459" s="25" t="n"/>
      <c r="C459" s="138" t="n"/>
      <c r="D459" s="41" t="n"/>
      <c r="E459" s="41" t="n"/>
      <c r="F459" s="41" t="n"/>
      <c r="G459" s="42" t="n"/>
      <c r="H459" s="20" t="n"/>
      <c r="I459" s="20" t="n"/>
      <c r="J459" s="20" t="n"/>
    </row>
    <row r="460" ht="16.5" customFormat="1" customHeight="1" s="12">
      <c r="A460" s="17" t="n">
        <v>455</v>
      </c>
      <c r="B460" s="25" t="n"/>
      <c r="C460" s="138" t="n"/>
      <c r="D460" s="41" t="n"/>
      <c r="E460" s="41" t="n"/>
      <c r="F460" s="41" t="n"/>
      <c r="G460" s="42" t="n"/>
      <c r="H460" s="20" t="n"/>
      <c r="I460" s="20" t="n"/>
      <c r="J460" s="20" t="n"/>
    </row>
    <row r="461" ht="16.5" customFormat="1" customHeight="1" s="12">
      <c r="A461" s="17" t="n">
        <v>456</v>
      </c>
      <c r="B461" s="25" t="n"/>
      <c r="C461" s="138" t="n"/>
      <c r="D461" s="41" t="n"/>
      <c r="E461" s="41" t="n"/>
      <c r="F461" s="41" t="n"/>
      <c r="G461" s="42" t="n"/>
      <c r="H461" s="20" t="n"/>
      <c r="I461" s="20" t="n"/>
      <c r="J461" s="20" t="n"/>
    </row>
    <row r="462" ht="16.5" customFormat="1" customHeight="1" s="12">
      <c r="A462" s="17" t="n">
        <v>457</v>
      </c>
      <c r="B462" s="25" t="n"/>
      <c r="C462" s="138" t="n"/>
      <c r="D462" s="41" t="n"/>
      <c r="E462" s="41" t="n"/>
      <c r="F462" s="41" t="n"/>
      <c r="G462" s="42" t="n"/>
      <c r="H462" s="20" t="n"/>
      <c r="I462" s="20" t="n"/>
      <c r="J462" s="20" t="n"/>
    </row>
    <row r="463" ht="16.5" customFormat="1" customHeight="1" s="12">
      <c r="A463" s="17" t="n">
        <v>458</v>
      </c>
      <c r="B463" s="25" t="n"/>
      <c r="C463" s="138" t="n"/>
      <c r="D463" s="41" t="n"/>
      <c r="E463" s="41" t="n"/>
      <c r="F463" s="41" t="n"/>
      <c r="G463" s="42" t="n"/>
      <c r="H463" s="20" t="n"/>
      <c r="I463" s="20" t="n"/>
      <c r="J463" s="20" t="n"/>
    </row>
    <row r="464" ht="16.5" customFormat="1" customHeight="1" s="12">
      <c r="A464" s="17" t="n">
        <v>459</v>
      </c>
      <c r="B464" s="25" t="n"/>
      <c r="C464" s="138" t="n"/>
      <c r="D464" s="41" t="n"/>
      <c r="E464" s="41" t="n"/>
      <c r="F464" s="41" t="n"/>
      <c r="G464" s="42" t="n"/>
      <c r="H464" s="20" t="n"/>
      <c r="I464" s="20" t="n"/>
      <c r="J464" s="20" t="n"/>
    </row>
    <row r="465" ht="16.5" customFormat="1" customHeight="1" s="12">
      <c r="A465" s="17" t="n">
        <v>460</v>
      </c>
      <c r="B465" s="25" t="n"/>
      <c r="C465" s="138" t="n"/>
      <c r="D465" s="41" t="n"/>
      <c r="E465" s="41" t="n"/>
      <c r="F465" s="41" t="n"/>
      <c r="G465" s="42" t="n"/>
      <c r="H465" s="20" t="n"/>
      <c r="I465" s="20" t="n"/>
      <c r="J465" s="20" t="n"/>
    </row>
    <row r="466" ht="16.5" customFormat="1" customHeight="1" s="12">
      <c r="A466" s="17" t="n">
        <v>461</v>
      </c>
      <c r="B466" s="25" t="n"/>
      <c r="C466" s="138" t="n"/>
      <c r="D466" s="41" t="n"/>
      <c r="E466" s="41" t="n"/>
      <c r="F466" s="41" t="n"/>
      <c r="G466" s="42" t="n"/>
      <c r="H466" s="20" t="n"/>
      <c r="I466" s="20" t="n"/>
      <c r="J466" s="20" t="n"/>
    </row>
    <row r="467" ht="16.5" customFormat="1" customHeight="1" s="12">
      <c r="A467" s="17" t="n">
        <v>462</v>
      </c>
      <c r="B467" s="25" t="n"/>
      <c r="C467" s="138" t="n"/>
      <c r="D467" s="41" t="n"/>
      <c r="E467" s="41" t="n"/>
      <c r="F467" s="41" t="n"/>
      <c r="G467" s="42" t="n"/>
      <c r="H467" s="20" t="n"/>
      <c r="I467" s="20" t="n"/>
      <c r="J467" s="20" t="n"/>
    </row>
    <row r="468" ht="16.5" customFormat="1" customHeight="1" s="12">
      <c r="A468" s="17" t="n">
        <v>463</v>
      </c>
      <c r="B468" s="25" t="n"/>
      <c r="C468" s="138" t="n"/>
      <c r="D468" s="41" t="n"/>
      <c r="E468" s="41" t="n"/>
      <c r="F468" s="41" t="n"/>
      <c r="G468" s="42" t="n"/>
      <c r="H468" s="20" t="n"/>
      <c r="I468" s="20" t="n"/>
      <c r="J468" s="20" t="n"/>
    </row>
    <row r="469" ht="16.5" customFormat="1" customHeight="1" s="12">
      <c r="A469" s="17" t="n">
        <v>464</v>
      </c>
      <c r="B469" s="25" t="n"/>
      <c r="C469" s="138" t="n"/>
      <c r="D469" s="41" t="n"/>
      <c r="E469" s="41" t="n"/>
      <c r="F469" s="41" t="n"/>
      <c r="G469" s="42" t="n"/>
      <c r="H469" s="20" t="n"/>
      <c r="I469" s="20" t="n"/>
      <c r="J469" s="20" t="n"/>
    </row>
    <row r="470" ht="16.5" customFormat="1" customHeight="1" s="12">
      <c r="A470" s="17" t="n">
        <v>465</v>
      </c>
      <c r="B470" s="25" t="n"/>
      <c r="C470" s="138" t="n"/>
      <c r="D470" s="41" t="n"/>
      <c r="E470" s="41" t="n"/>
      <c r="F470" s="41" t="n"/>
      <c r="G470" s="42" t="n"/>
      <c r="H470" s="20" t="n"/>
      <c r="I470" s="20" t="n"/>
      <c r="J470" s="20" t="n"/>
    </row>
    <row r="471" ht="16.5" customFormat="1" customHeight="1" s="12">
      <c r="A471" s="17" t="n">
        <v>466</v>
      </c>
      <c r="B471" s="25" t="n"/>
      <c r="C471" s="138" t="n"/>
      <c r="D471" s="41" t="n"/>
      <c r="E471" s="41" t="n"/>
      <c r="F471" s="41" t="n"/>
      <c r="G471" s="42" t="n"/>
      <c r="H471" s="20" t="n"/>
      <c r="I471" s="20" t="n"/>
      <c r="J471" s="20" t="n"/>
    </row>
    <row r="472" ht="16.5" customFormat="1" customHeight="1" s="12">
      <c r="A472" s="17" t="n">
        <v>467</v>
      </c>
      <c r="B472" s="25" t="n"/>
      <c r="C472" s="138" t="n"/>
      <c r="D472" s="41" t="n"/>
      <c r="E472" s="41" t="n"/>
      <c r="F472" s="41" t="n"/>
      <c r="G472" s="42" t="n"/>
      <c r="H472" s="20" t="n"/>
      <c r="I472" s="20" t="n"/>
      <c r="J472" s="20" t="n"/>
    </row>
    <row r="473" ht="16.5" customFormat="1" customHeight="1" s="12">
      <c r="A473" s="17" t="n">
        <v>468</v>
      </c>
      <c r="B473" s="25" t="n"/>
      <c r="C473" s="138" t="n"/>
      <c r="D473" s="41" t="n"/>
      <c r="E473" s="41" t="n"/>
      <c r="F473" s="41" t="n"/>
      <c r="G473" s="42" t="n"/>
      <c r="H473" s="20" t="n"/>
      <c r="I473" s="20" t="n"/>
      <c r="J473" s="20" t="n"/>
    </row>
    <row r="474" ht="16.5" customFormat="1" customHeight="1" s="12">
      <c r="A474" s="17" t="n">
        <v>469</v>
      </c>
      <c r="B474" s="25" t="n"/>
      <c r="C474" s="138" t="n"/>
      <c r="D474" s="41" t="n"/>
      <c r="E474" s="41" t="n"/>
      <c r="F474" s="41" t="n"/>
      <c r="G474" s="42" t="n"/>
      <c r="H474" s="20" t="n"/>
      <c r="I474" s="20" t="n"/>
      <c r="J474" s="20" t="n"/>
    </row>
    <row r="475" ht="16.5" customFormat="1" customHeight="1" s="12">
      <c r="A475" s="17" t="n">
        <v>470</v>
      </c>
      <c r="B475" s="25" t="n"/>
      <c r="C475" s="138" t="n"/>
      <c r="D475" s="41" t="n"/>
      <c r="E475" s="41" t="n"/>
      <c r="F475" s="41" t="n"/>
      <c r="G475" s="42" t="n"/>
      <c r="H475" s="20" t="n"/>
      <c r="I475" s="20" t="n"/>
      <c r="J475" s="20" t="n"/>
    </row>
    <row r="476" ht="16.5" customFormat="1" customHeight="1" s="12">
      <c r="A476" s="17" t="n">
        <v>471</v>
      </c>
      <c r="B476" s="25" t="n"/>
      <c r="C476" s="138" t="n"/>
      <c r="D476" s="41" t="n"/>
      <c r="E476" s="41" t="n"/>
      <c r="F476" s="41" t="n"/>
      <c r="G476" s="42" t="n"/>
      <c r="H476" s="20" t="n"/>
      <c r="I476" s="20" t="n"/>
      <c r="J476" s="20" t="n"/>
    </row>
    <row r="477" ht="16.5" customFormat="1" customHeight="1" s="12">
      <c r="A477" s="17" t="n">
        <v>472</v>
      </c>
      <c r="B477" s="25" t="n"/>
      <c r="C477" s="138" t="n"/>
      <c r="D477" s="41" t="n"/>
      <c r="E477" s="41" t="n"/>
      <c r="F477" s="41" t="n"/>
      <c r="G477" s="42" t="n"/>
      <c r="H477" s="20" t="n"/>
      <c r="I477" s="20" t="n"/>
      <c r="J477" s="20" t="n"/>
    </row>
    <row r="478" ht="16.5" customFormat="1" customHeight="1" s="12">
      <c r="A478" s="17" t="n">
        <v>473</v>
      </c>
      <c r="B478" s="25" t="n"/>
      <c r="C478" s="138" t="n"/>
      <c r="D478" s="41" t="n"/>
      <c r="E478" s="41" t="n"/>
      <c r="F478" s="41" t="n"/>
      <c r="G478" s="42" t="n"/>
      <c r="H478" s="20" t="n"/>
      <c r="I478" s="20" t="n"/>
      <c r="J478" s="20" t="n"/>
    </row>
    <row r="479" ht="16.5" customFormat="1" customHeight="1" s="12">
      <c r="A479" s="17" t="n">
        <v>474</v>
      </c>
      <c r="B479" s="25" t="n"/>
      <c r="C479" s="138" t="n"/>
      <c r="D479" s="41" t="n"/>
      <c r="E479" s="41" t="n"/>
      <c r="F479" s="41" t="n"/>
      <c r="G479" s="42" t="n"/>
      <c r="H479" s="20" t="n"/>
      <c r="I479" s="20" t="n"/>
      <c r="J479" s="20" t="n"/>
    </row>
    <row r="480" ht="16.5" customFormat="1" customHeight="1" s="12">
      <c r="A480" s="17" t="n">
        <v>475</v>
      </c>
      <c r="B480" s="25" t="n"/>
      <c r="C480" s="138" t="n"/>
      <c r="D480" s="41" t="n"/>
      <c r="E480" s="41" t="n"/>
      <c r="F480" s="41" t="n"/>
      <c r="G480" s="42" t="n"/>
      <c r="H480" s="20" t="n"/>
      <c r="I480" s="20" t="n"/>
      <c r="J480" s="20" t="n"/>
    </row>
    <row r="481" ht="16.5" customFormat="1" customHeight="1" s="12">
      <c r="A481" s="17" t="n">
        <v>476</v>
      </c>
      <c r="B481" s="25" t="n"/>
      <c r="C481" s="138" t="n"/>
      <c r="D481" s="41" t="n"/>
      <c r="E481" s="41" t="n"/>
      <c r="F481" s="41" t="n"/>
      <c r="G481" s="42" t="n"/>
      <c r="H481" s="20" t="n"/>
      <c r="I481" s="20" t="n"/>
      <c r="J481" s="20" t="n"/>
    </row>
    <row r="482" ht="16.5" customFormat="1" customHeight="1" s="12">
      <c r="A482" s="17" t="n">
        <v>477</v>
      </c>
      <c r="B482" s="25" t="n"/>
      <c r="C482" s="138" t="n"/>
      <c r="D482" s="41" t="n"/>
      <c r="E482" s="41" t="n"/>
      <c r="F482" s="41" t="n"/>
      <c r="G482" s="42" t="n"/>
      <c r="H482" s="20" t="n"/>
      <c r="I482" s="20" t="n"/>
      <c r="J482" s="20" t="n"/>
    </row>
    <row r="483" ht="16.5" customFormat="1" customHeight="1" s="12">
      <c r="A483" s="17" t="n">
        <v>478</v>
      </c>
      <c r="B483" s="25" t="n"/>
      <c r="C483" s="138" t="n"/>
      <c r="D483" s="41" t="n"/>
      <c r="E483" s="41" t="n"/>
      <c r="F483" s="41" t="n"/>
      <c r="G483" s="42" t="n"/>
      <c r="H483" s="20" t="n"/>
      <c r="I483" s="20" t="n"/>
      <c r="J483" s="20" t="n"/>
    </row>
    <row r="484" ht="16.5" customFormat="1" customHeight="1" s="12">
      <c r="A484" s="17" t="n">
        <v>479</v>
      </c>
      <c r="B484" s="25" t="n"/>
      <c r="C484" s="138" t="n"/>
      <c r="D484" s="41" t="n"/>
      <c r="E484" s="41" t="n"/>
      <c r="F484" s="41" t="n"/>
      <c r="G484" s="42" t="n"/>
      <c r="H484" s="20" t="n"/>
      <c r="I484" s="20" t="n"/>
      <c r="J484" s="20" t="n"/>
    </row>
    <row r="485" ht="16.5" customFormat="1" customHeight="1" s="12">
      <c r="A485" s="17" t="n">
        <v>480</v>
      </c>
      <c r="B485" s="25" t="n"/>
      <c r="C485" s="138" t="n"/>
      <c r="D485" s="41" t="n"/>
      <c r="E485" s="41" t="n"/>
      <c r="F485" s="41" t="n"/>
      <c r="G485" s="42" t="n"/>
      <c r="H485" s="20" t="n"/>
      <c r="I485" s="20" t="n"/>
      <c r="J485" s="20" t="n"/>
    </row>
    <row r="486" ht="16.5" customFormat="1" customHeight="1" s="12">
      <c r="A486" s="17" t="n">
        <v>481</v>
      </c>
      <c r="B486" s="25" t="n"/>
      <c r="C486" s="138" t="n"/>
      <c r="D486" s="41" t="n"/>
      <c r="E486" s="41" t="n"/>
      <c r="F486" s="41" t="n"/>
      <c r="G486" s="42" t="n"/>
      <c r="H486" s="20" t="n"/>
      <c r="I486" s="20" t="n"/>
      <c r="J486" s="20" t="n"/>
    </row>
    <row r="487" ht="16.5" customFormat="1" customHeight="1" s="12">
      <c r="A487" s="17" t="n">
        <v>482</v>
      </c>
      <c r="B487" s="25" t="n"/>
      <c r="C487" s="138" t="n"/>
      <c r="D487" s="41" t="n"/>
      <c r="E487" s="41" t="n"/>
      <c r="F487" s="41" t="n"/>
      <c r="G487" s="42" t="n"/>
      <c r="H487" s="20" t="n"/>
      <c r="I487" s="20" t="n"/>
      <c r="J487" s="20" t="n"/>
    </row>
    <row r="488" ht="16.5" customFormat="1" customHeight="1" s="12">
      <c r="A488" s="17" t="n">
        <v>483</v>
      </c>
      <c r="B488" s="25" t="n"/>
      <c r="C488" s="138" t="n"/>
      <c r="D488" s="41" t="n"/>
      <c r="E488" s="41" t="n"/>
      <c r="F488" s="41" t="n"/>
      <c r="G488" s="42" t="n"/>
      <c r="H488" s="20" t="n"/>
      <c r="I488" s="20" t="n"/>
      <c r="J488" s="20" t="n"/>
    </row>
    <row r="489" ht="16.5" customFormat="1" customHeight="1" s="12">
      <c r="A489" s="17" t="n">
        <v>484</v>
      </c>
      <c r="B489" s="25" t="n"/>
      <c r="C489" s="138" t="n"/>
      <c r="D489" s="41" t="n"/>
      <c r="E489" s="41" t="n"/>
      <c r="F489" s="41" t="n"/>
      <c r="G489" s="42" t="n"/>
      <c r="H489" s="20" t="n"/>
      <c r="I489" s="20" t="n"/>
      <c r="J489" s="20" t="n"/>
    </row>
    <row r="490" ht="16.5" customFormat="1" customHeight="1" s="12">
      <c r="A490" s="17" t="n">
        <v>485</v>
      </c>
      <c r="B490" s="25" t="n"/>
      <c r="C490" s="138" t="n"/>
      <c r="D490" s="41" t="n"/>
      <c r="E490" s="41" t="n"/>
      <c r="F490" s="41" t="n"/>
      <c r="G490" s="42" t="n"/>
      <c r="H490" s="20" t="n"/>
      <c r="I490" s="20" t="n"/>
      <c r="J490" s="20" t="n"/>
    </row>
    <row r="491" ht="16.5" customFormat="1" customHeight="1" s="12">
      <c r="A491" s="17" t="n">
        <v>486</v>
      </c>
      <c r="B491" s="25" t="n"/>
      <c r="C491" s="138" t="n"/>
      <c r="D491" s="41" t="n"/>
      <c r="E491" s="41" t="n"/>
      <c r="F491" s="41" t="n"/>
      <c r="G491" s="42" t="n"/>
      <c r="H491" s="20" t="n"/>
      <c r="I491" s="20" t="n"/>
      <c r="J491" s="20" t="n"/>
    </row>
    <row r="492" ht="16.5" customFormat="1" customHeight="1" s="12">
      <c r="A492" s="17" t="n">
        <v>487</v>
      </c>
      <c r="B492" s="25" t="n"/>
      <c r="C492" s="138" t="n"/>
      <c r="D492" s="41" t="n"/>
      <c r="E492" s="41" t="n"/>
      <c r="F492" s="41" t="n"/>
      <c r="G492" s="42" t="n"/>
      <c r="H492" s="20" t="n"/>
      <c r="I492" s="20" t="n"/>
      <c r="J492" s="20" t="n"/>
    </row>
    <row r="493" ht="16.5" customFormat="1" customHeight="1" s="12">
      <c r="A493" s="17" t="n">
        <v>488</v>
      </c>
      <c r="B493" s="25" t="n"/>
      <c r="C493" s="138" t="n"/>
      <c r="D493" s="41" t="n"/>
      <c r="E493" s="41" t="n"/>
      <c r="F493" s="41" t="n"/>
      <c r="G493" s="42" t="n"/>
      <c r="H493" s="20" t="n"/>
      <c r="I493" s="20" t="n"/>
      <c r="J493" s="20" t="n"/>
    </row>
    <row r="494" ht="16.5" customFormat="1" customHeight="1" s="12">
      <c r="A494" s="17" t="n">
        <v>489</v>
      </c>
      <c r="B494" s="25" t="n"/>
      <c r="C494" s="138" t="n"/>
      <c r="D494" s="41" t="n"/>
      <c r="E494" s="41" t="n"/>
      <c r="F494" s="41" t="n"/>
      <c r="G494" s="42" t="n"/>
      <c r="H494" s="20" t="n"/>
      <c r="I494" s="20" t="n"/>
      <c r="J494" s="20" t="n"/>
    </row>
    <row r="495" ht="16.5" customFormat="1" customHeight="1" s="12">
      <c r="A495" s="17" t="n">
        <v>490</v>
      </c>
      <c r="B495" s="25" t="n"/>
      <c r="C495" s="138" t="n"/>
      <c r="D495" s="41" t="n"/>
      <c r="E495" s="41" t="n"/>
      <c r="F495" s="41" t="n"/>
      <c r="G495" s="42" t="n"/>
      <c r="H495" s="20" t="n"/>
      <c r="I495" s="20" t="n"/>
      <c r="J495" s="20" t="n"/>
    </row>
    <row r="496" ht="16.5" customFormat="1" customHeight="1" s="12">
      <c r="A496" s="17" t="n">
        <v>491</v>
      </c>
      <c r="B496" s="25" t="n"/>
      <c r="C496" s="138" t="n"/>
      <c r="D496" s="41" t="n"/>
      <c r="E496" s="41" t="n"/>
      <c r="F496" s="41" t="n"/>
      <c r="G496" s="42" t="n"/>
      <c r="H496" s="20" t="n"/>
      <c r="I496" s="20" t="n"/>
      <c r="J496" s="20" t="n"/>
    </row>
    <row r="497" ht="16.5" customFormat="1" customHeight="1" s="12">
      <c r="A497" s="17" t="n">
        <v>492</v>
      </c>
      <c r="B497" s="25" t="n"/>
      <c r="C497" s="138" t="n"/>
      <c r="D497" s="41" t="n"/>
      <c r="E497" s="41" t="n"/>
      <c r="F497" s="41" t="n"/>
      <c r="G497" s="42" t="n"/>
      <c r="H497" s="20" t="n"/>
      <c r="I497" s="20" t="n"/>
      <c r="J497" s="20" t="n"/>
    </row>
    <row r="498" ht="16.5" customFormat="1" customHeight="1" s="12">
      <c r="A498" s="17" t="n">
        <v>493</v>
      </c>
      <c r="B498" s="25" t="n"/>
      <c r="C498" s="138" t="n"/>
      <c r="D498" s="41" t="n"/>
      <c r="E498" s="41" t="n"/>
      <c r="F498" s="41" t="n"/>
      <c r="G498" s="42" t="n"/>
      <c r="H498" s="20" t="n"/>
      <c r="I498" s="20" t="n"/>
      <c r="J498" s="20" t="n"/>
    </row>
    <row r="499" ht="16.5" customFormat="1" customHeight="1" s="12">
      <c r="A499" s="17" t="n">
        <v>494</v>
      </c>
      <c r="B499" s="25" t="n"/>
      <c r="C499" s="138" t="n"/>
      <c r="D499" s="41" t="n"/>
      <c r="E499" s="41" t="n"/>
      <c r="F499" s="41" t="n"/>
      <c r="G499" s="42" t="n"/>
      <c r="H499" s="20" t="n"/>
      <c r="I499" s="20" t="n"/>
      <c r="J499" s="20" t="n"/>
    </row>
    <row r="500" ht="16.5" customFormat="1" customHeight="1" s="12">
      <c r="A500" s="17" t="n">
        <v>495</v>
      </c>
      <c r="B500" s="25" t="n"/>
      <c r="C500" s="138" t="n"/>
      <c r="D500" s="41" t="n"/>
      <c r="E500" s="41" t="n"/>
      <c r="F500" s="41" t="n"/>
      <c r="G500" s="42" t="n"/>
      <c r="H500" s="20" t="n"/>
      <c r="I500" s="20" t="n"/>
      <c r="J500" s="20" t="n"/>
    </row>
    <row r="501" ht="16.5" customFormat="1" customHeight="1" s="12">
      <c r="A501" s="17" t="n">
        <v>496</v>
      </c>
      <c r="B501" s="25" t="n"/>
      <c r="C501" s="138" t="n"/>
      <c r="D501" s="41" t="n"/>
      <c r="E501" s="41" t="n"/>
      <c r="F501" s="41" t="n"/>
      <c r="G501" s="42" t="n"/>
      <c r="H501" s="20" t="n"/>
      <c r="I501" s="20" t="n"/>
      <c r="J501" s="20" t="n"/>
    </row>
    <row r="502" ht="16.5" customFormat="1" customHeight="1" s="12">
      <c r="A502" s="17" t="n">
        <v>497</v>
      </c>
      <c r="B502" s="25" t="n"/>
      <c r="C502" s="138" t="n"/>
      <c r="D502" s="41" t="n"/>
      <c r="E502" s="41" t="n"/>
      <c r="F502" s="41" t="n"/>
      <c r="G502" s="42" t="n"/>
      <c r="H502" s="20" t="n"/>
      <c r="I502" s="20" t="n"/>
      <c r="J502" s="20" t="n"/>
    </row>
    <row r="503" ht="16.5" customFormat="1" customHeight="1" s="12">
      <c r="A503" s="17" t="n">
        <v>498</v>
      </c>
      <c r="B503" s="25" t="n"/>
      <c r="C503" s="138" t="n"/>
      <c r="D503" s="41" t="n"/>
      <c r="E503" s="41" t="n"/>
      <c r="F503" s="41" t="n"/>
      <c r="G503" s="42" t="n"/>
      <c r="H503" s="20" t="n"/>
      <c r="I503" s="20" t="n"/>
      <c r="J503" s="20" t="n"/>
    </row>
    <row r="504" ht="16.5" customFormat="1" customHeight="1" s="12">
      <c r="A504" s="17" t="n">
        <v>499</v>
      </c>
      <c r="B504" s="25" t="n"/>
      <c r="C504" s="138" t="n"/>
      <c r="D504" s="41" t="n"/>
      <c r="E504" s="41" t="n"/>
      <c r="F504" s="41" t="n"/>
      <c r="G504" s="42" t="n"/>
      <c r="H504" s="20" t="n"/>
      <c r="I504" s="20" t="n"/>
      <c r="J504" s="20" t="n"/>
    </row>
    <row r="505" ht="16.5" customFormat="1" customHeight="1" s="12">
      <c r="A505" s="17" t="n">
        <v>500</v>
      </c>
      <c r="B505" s="25" t="n"/>
      <c r="C505" s="138" t="n"/>
      <c r="D505" s="41" t="n"/>
      <c r="E505" s="41" t="n"/>
      <c r="F505" s="41" t="n"/>
      <c r="G505" s="42" t="n"/>
      <c r="H505" s="20" t="n"/>
      <c r="I505" s="20" t="n"/>
      <c r="J505" s="20" t="n"/>
    </row>
    <row r="506" ht="16.5" customFormat="1" customHeight="1" s="12">
      <c r="A506" s="11" t="n"/>
      <c r="B506" s="11" t="n"/>
      <c r="C506" s="23" t="n"/>
      <c r="D506" s="11" t="n"/>
      <c r="E506" s="11" t="n"/>
      <c r="F506" s="11" t="n"/>
      <c r="G506" s="1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517">
    <mergeCell ref="F408:G408"/>
    <mergeCell ref="F237:G237"/>
    <mergeCell ref="F473:G473"/>
    <mergeCell ref="F116:G116"/>
    <mergeCell ref="F16:G16"/>
    <mergeCell ref="F187:G187"/>
    <mergeCell ref="F485:G485"/>
    <mergeCell ref="F103:G103"/>
    <mergeCell ref="F423:G423"/>
    <mergeCell ref="F174:G174"/>
    <mergeCell ref="F108:G108"/>
    <mergeCell ref="F472:G472"/>
    <mergeCell ref="F339:G339"/>
    <mergeCell ref="F410:G410"/>
    <mergeCell ref="F466:G466"/>
    <mergeCell ref="F168:G168"/>
    <mergeCell ref="F143:G143"/>
    <mergeCell ref="F118:G118"/>
    <mergeCell ref="F403:G403"/>
    <mergeCell ref="F497:G497"/>
    <mergeCell ref="F326:G326"/>
    <mergeCell ref="F70:G70"/>
    <mergeCell ref="F263:G263"/>
    <mergeCell ref="F355:G355"/>
    <mergeCell ref="F134:G134"/>
    <mergeCell ref="F23:G23"/>
    <mergeCell ref="F121:G121"/>
    <mergeCell ref="F357:G357"/>
    <mergeCell ref="F96:G96"/>
    <mergeCell ref="F71:G71"/>
    <mergeCell ref="F332:G332"/>
    <mergeCell ref="F421:G421"/>
    <mergeCell ref="F98:G98"/>
    <mergeCell ref="F396:G396"/>
    <mergeCell ref="F175:G175"/>
    <mergeCell ref="F162:G162"/>
    <mergeCell ref="F398:G398"/>
    <mergeCell ref="F251:G251"/>
    <mergeCell ref="F322:G322"/>
    <mergeCell ref="F189:G189"/>
    <mergeCell ref="F18:G18"/>
    <mergeCell ref="F487:G487"/>
    <mergeCell ref="F238:G238"/>
    <mergeCell ref="F42:G42"/>
    <mergeCell ref="F45:G45"/>
    <mergeCell ref="F474:G474"/>
    <mergeCell ref="F66:G66"/>
    <mergeCell ref="F17:G17"/>
    <mergeCell ref="F126:G126"/>
    <mergeCell ref="F188:G188"/>
    <mergeCell ref="F253:G253"/>
    <mergeCell ref="F109:G109"/>
    <mergeCell ref="F351:G351"/>
    <mergeCell ref="F47:G47"/>
    <mergeCell ref="F411:G411"/>
    <mergeCell ref="F345:G345"/>
    <mergeCell ref="F240:G240"/>
    <mergeCell ref="F190:G190"/>
    <mergeCell ref="F46:G46"/>
    <mergeCell ref="F488:G488"/>
    <mergeCell ref="F317:G317"/>
    <mergeCell ref="F111:G111"/>
    <mergeCell ref="F409:G409"/>
    <mergeCell ref="F61:G61"/>
    <mergeCell ref="F48:G48"/>
    <mergeCell ref="F346:G346"/>
    <mergeCell ref="F477:G477"/>
    <mergeCell ref="F73:G73"/>
    <mergeCell ref="F266:G266"/>
    <mergeCell ref="F371:G371"/>
    <mergeCell ref="F442:G442"/>
    <mergeCell ref="F502:G502"/>
    <mergeCell ref="B6:E6"/>
    <mergeCell ref="F137:G137"/>
    <mergeCell ref="F379:G379"/>
    <mergeCell ref="F208:G208"/>
    <mergeCell ref="F124:G124"/>
    <mergeCell ref="F422:G422"/>
    <mergeCell ref="F493:G493"/>
    <mergeCell ref="F360:G360"/>
    <mergeCell ref="F201:G201"/>
    <mergeCell ref="F335:G335"/>
    <mergeCell ref="F164:G164"/>
    <mergeCell ref="F406:G406"/>
    <mergeCell ref="F139:G139"/>
    <mergeCell ref="F114:G114"/>
    <mergeCell ref="F424:G424"/>
    <mergeCell ref="F399:G399"/>
    <mergeCell ref="F228:G228"/>
    <mergeCell ref="F470:G470"/>
    <mergeCell ref="F203:G203"/>
    <mergeCell ref="F259:G259"/>
    <mergeCell ref="F495:G495"/>
    <mergeCell ref="F261:G261"/>
    <mergeCell ref="F117:G117"/>
    <mergeCell ref="F92:G92"/>
    <mergeCell ref="F353:G353"/>
    <mergeCell ref="F254:G254"/>
    <mergeCell ref="F496:G496"/>
    <mergeCell ref="F490:G490"/>
    <mergeCell ref="F290:G290"/>
    <mergeCell ref="F119:G119"/>
    <mergeCell ref="F417:G417"/>
    <mergeCell ref="F69:G69"/>
    <mergeCell ref="F367:G367"/>
    <mergeCell ref="F427:G427"/>
    <mergeCell ref="F256:G256"/>
    <mergeCell ref="F498:G498"/>
    <mergeCell ref="F112:G112"/>
    <mergeCell ref="F354:G354"/>
    <mergeCell ref="F183:G183"/>
    <mergeCell ref="F348:G348"/>
    <mergeCell ref="F419:G419"/>
    <mergeCell ref="F193:G193"/>
    <mergeCell ref="F127:G127"/>
    <mergeCell ref="F285:G285"/>
    <mergeCell ref="A3:A4"/>
    <mergeCell ref="F51:G51"/>
    <mergeCell ref="F145:G145"/>
    <mergeCell ref="F443:G443"/>
    <mergeCell ref="F272:G272"/>
    <mergeCell ref="I5:I6"/>
    <mergeCell ref="F380:G380"/>
    <mergeCell ref="F209:G209"/>
    <mergeCell ref="F38:G38"/>
    <mergeCell ref="F274:G274"/>
    <mergeCell ref="F445:G445"/>
    <mergeCell ref="F432:G432"/>
    <mergeCell ref="F140:G140"/>
    <mergeCell ref="F382:G382"/>
    <mergeCell ref="F211:G211"/>
    <mergeCell ref="F67:G67"/>
    <mergeCell ref="F338:G338"/>
    <mergeCell ref="F186:G186"/>
    <mergeCell ref="F82:G82"/>
    <mergeCell ref="F440:G440"/>
    <mergeCell ref="F269:G269"/>
    <mergeCell ref="F486:G486"/>
    <mergeCell ref="F206:G206"/>
    <mergeCell ref="F29:G29"/>
    <mergeCell ref="F300:G300"/>
    <mergeCell ref="F344:G344"/>
    <mergeCell ref="F329:G329"/>
    <mergeCell ref="F158:G158"/>
    <mergeCell ref="F133:G133"/>
    <mergeCell ref="F369:G369"/>
    <mergeCell ref="F418:G418"/>
    <mergeCell ref="F356:G356"/>
    <mergeCell ref="F160:G160"/>
    <mergeCell ref="F135:G135"/>
    <mergeCell ref="F433:G433"/>
    <mergeCell ref="F122:G122"/>
    <mergeCell ref="F153:G153"/>
    <mergeCell ref="F420:G420"/>
    <mergeCell ref="F224:G224"/>
    <mergeCell ref="F491:G491"/>
    <mergeCell ref="F72:G72"/>
    <mergeCell ref="F370:G370"/>
    <mergeCell ref="F199:G199"/>
    <mergeCell ref="F435:G435"/>
    <mergeCell ref="F484:G484"/>
    <mergeCell ref="F293:G293"/>
    <mergeCell ref="F88:G88"/>
    <mergeCell ref="F359:G359"/>
    <mergeCell ref="F148:G148"/>
    <mergeCell ref="F446:G446"/>
    <mergeCell ref="F275:G275"/>
    <mergeCell ref="F54:G54"/>
    <mergeCell ref="B3:B4"/>
    <mergeCell ref="F19:G19"/>
    <mergeCell ref="F212:G212"/>
    <mergeCell ref="F146:G146"/>
    <mergeCell ref="F388:G388"/>
    <mergeCell ref="F6:G6"/>
    <mergeCell ref="F448:G448"/>
    <mergeCell ref="F277:G277"/>
    <mergeCell ref="F304:G304"/>
    <mergeCell ref="F375:G375"/>
    <mergeCell ref="F83:G83"/>
    <mergeCell ref="F276:G276"/>
    <mergeCell ref="F214:G214"/>
    <mergeCell ref="F319:G319"/>
    <mergeCell ref="F368:G368"/>
    <mergeCell ref="F306:G306"/>
    <mergeCell ref="F20:G20"/>
    <mergeCell ref="F85:G85"/>
    <mergeCell ref="F383:G383"/>
    <mergeCell ref="F464:G464"/>
    <mergeCell ref="F303:G303"/>
    <mergeCell ref="F401:G401"/>
    <mergeCell ref="F230:G230"/>
    <mergeCell ref="F9:G9"/>
    <mergeCell ref="F167:G167"/>
    <mergeCell ref="F161:G161"/>
    <mergeCell ref="F288:G288"/>
    <mergeCell ref="F459:G459"/>
    <mergeCell ref="F136:G136"/>
    <mergeCell ref="F207:G207"/>
    <mergeCell ref="F225:G225"/>
    <mergeCell ref="F461:G461"/>
    <mergeCell ref="F271:G271"/>
    <mergeCell ref="F436:G436"/>
    <mergeCell ref="F227:G227"/>
    <mergeCell ref="F202:G202"/>
    <mergeCell ref="F283:G283"/>
    <mergeCell ref="F298:G298"/>
    <mergeCell ref="F154:G154"/>
    <mergeCell ref="F325:G325"/>
    <mergeCell ref="F390:G390"/>
    <mergeCell ref="F414:G414"/>
    <mergeCell ref="F291:G291"/>
    <mergeCell ref="F91:G91"/>
    <mergeCell ref="F389:G389"/>
    <mergeCell ref="F327:G327"/>
    <mergeCell ref="F156:G156"/>
    <mergeCell ref="F454:G454"/>
    <mergeCell ref="F180:G180"/>
    <mergeCell ref="H3:H4"/>
    <mergeCell ref="F416:G416"/>
    <mergeCell ref="J3:J4"/>
    <mergeCell ref="F22:G22"/>
    <mergeCell ref="F155:G155"/>
    <mergeCell ref="F264:G264"/>
    <mergeCell ref="F93:G93"/>
    <mergeCell ref="F149:G149"/>
    <mergeCell ref="F220:G220"/>
    <mergeCell ref="F391:G391"/>
    <mergeCell ref="F385:G385"/>
    <mergeCell ref="H5:H6"/>
    <mergeCell ref="J5:J6"/>
    <mergeCell ref="F151:G151"/>
    <mergeCell ref="F222:G222"/>
    <mergeCell ref="C1:E1"/>
    <mergeCell ref="F182:G182"/>
    <mergeCell ref="F11:G11"/>
    <mergeCell ref="F467:G467"/>
    <mergeCell ref="F296:G296"/>
    <mergeCell ref="F246:G246"/>
    <mergeCell ref="F40:G40"/>
    <mergeCell ref="F233:G233"/>
    <mergeCell ref="F469:G469"/>
    <mergeCell ref="F12:G12"/>
    <mergeCell ref="F177:G177"/>
    <mergeCell ref="F444:G444"/>
    <mergeCell ref="F248:G248"/>
    <mergeCell ref="F104:G104"/>
    <mergeCell ref="F297:G297"/>
    <mergeCell ref="F235:G235"/>
    <mergeCell ref="F462:G462"/>
    <mergeCell ref="F340:G340"/>
    <mergeCell ref="F41:G41"/>
    <mergeCell ref="F35:G35"/>
    <mergeCell ref="F302:G302"/>
    <mergeCell ref="F106:G106"/>
    <mergeCell ref="F404:G404"/>
    <mergeCell ref="F243:G243"/>
    <mergeCell ref="F366:G366"/>
    <mergeCell ref="F130:G130"/>
    <mergeCell ref="F480:G480"/>
    <mergeCell ref="F157:G157"/>
    <mergeCell ref="F132:G132"/>
    <mergeCell ref="F328:G328"/>
    <mergeCell ref="F455:G455"/>
    <mergeCell ref="F430:G430"/>
    <mergeCell ref="F234:G234"/>
    <mergeCell ref="F172:G172"/>
    <mergeCell ref="F221:G221"/>
    <mergeCell ref="F196:G196"/>
    <mergeCell ref="F463:G463"/>
    <mergeCell ref="F392:G392"/>
    <mergeCell ref="F25:G25"/>
    <mergeCell ref="F457:G457"/>
    <mergeCell ref="F236:G236"/>
    <mergeCell ref="F394:G394"/>
    <mergeCell ref="F223:G223"/>
    <mergeCell ref="F173:G173"/>
    <mergeCell ref="I3:I4"/>
    <mergeCell ref="F458:G458"/>
    <mergeCell ref="F287:G287"/>
    <mergeCell ref="F247:G247"/>
    <mergeCell ref="F125:G125"/>
    <mergeCell ref="F318:G318"/>
    <mergeCell ref="F185:G185"/>
    <mergeCell ref="F483:G483"/>
    <mergeCell ref="F312:G312"/>
    <mergeCell ref="F13:G13"/>
    <mergeCell ref="F56:G56"/>
    <mergeCell ref="F249:G249"/>
    <mergeCell ref="F105:G105"/>
    <mergeCell ref="F347:G347"/>
    <mergeCell ref="F176:G176"/>
    <mergeCell ref="F43:G43"/>
    <mergeCell ref="F341:G341"/>
    <mergeCell ref="F170:G170"/>
    <mergeCell ref="F412:G412"/>
    <mergeCell ref="F468:G468"/>
    <mergeCell ref="F120:G120"/>
    <mergeCell ref="F313:G313"/>
    <mergeCell ref="F278:G278"/>
    <mergeCell ref="F107:G107"/>
    <mergeCell ref="F349:G349"/>
    <mergeCell ref="F405:G405"/>
    <mergeCell ref="F57:G57"/>
    <mergeCell ref="F171:G171"/>
    <mergeCell ref="F407:G407"/>
    <mergeCell ref="F438:G438"/>
    <mergeCell ref="F267:G267"/>
    <mergeCell ref="F204:G204"/>
    <mergeCell ref="F33:G33"/>
    <mergeCell ref="D3:D4"/>
    <mergeCell ref="F198:G198"/>
    <mergeCell ref="F465:G465"/>
    <mergeCell ref="F489:G489"/>
    <mergeCell ref="F75:G75"/>
    <mergeCell ref="F231:G231"/>
    <mergeCell ref="F262:G262"/>
    <mergeCell ref="F62:G62"/>
    <mergeCell ref="F31:G31"/>
    <mergeCell ref="F273:G273"/>
    <mergeCell ref="F28:G28"/>
    <mergeCell ref="F239:G239"/>
    <mergeCell ref="F39:G39"/>
    <mergeCell ref="F337:G337"/>
    <mergeCell ref="F64:G64"/>
    <mergeCell ref="F257:G257"/>
    <mergeCell ref="F178:G178"/>
    <mergeCell ref="F476:G476"/>
    <mergeCell ref="F128:G128"/>
    <mergeCell ref="F426:G426"/>
    <mergeCell ref="F364:G364"/>
    <mergeCell ref="F413:G413"/>
    <mergeCell ref="F217:G217"/>
    <mergeCell ref="F478:G478"/>
    <mergeCell ref="F192:G192"/>
    <mergeCell ref="F21:G21"/>
    <mergeCell ref="F252:G252"/>
    <mergeCell ref="F428:G428"/>
    <mergeCell ref="F415:G415"/>
    <mergeCell ref="F194:G194"/>
    <mergeCell ref="F50:G50"/>
    <mergeCell ref="F492:G492"/>
    <mergeCell ref="F110:G110"/>
    <mergeCell ref="F181:G181"/>
    <mergeCell ref="F479:G479"/>
    <mergeCell ref="F141:G141"/>
    <mergeCell ref="F439:G439"/>
    <mergeCell ref="F504:G504"/>
    <mergeCell ref="F333:G333"/>
    <mergeCell ref="H1:J1"/>
    <mergeCell ref="F441:G441"/>
    <mergeCell ref="F270:G270"/>
    <mergeCell ref="F362:G362"/>
    <mergeCell ref="F245:G245"/>
    <mergeCell ref="F49:G49"/>
    <mergeCell ref="F14:G14"/>
    <mergeCell ref="F505:G505"/>
    <mergeCell ref="F1:G1"/>
    <mergeCell ref="F499:G499"/>
    <mergeCell ref="F299:G299"/>
    <mergeCell ref="F78:G78"/>
    <mergeCell ref="F205:G205"/>
    <mergeCell ref="F376:G376"/>
    <mergeCell ref="F314:G314"/>
    <mergeCell ref="F265:G265"/>
    <mergeCell ref="F65:G65"/>
    <mergeCell ref="F363:G363"/>
    <mergeCell ref="F55:G55"/>
    <mergeCell ref="F365:G365"/>
    <mergeCell ref="F169:G169"/>
    <mergeCell ref="F129:G129"/>
    <mergeCell ref="F200:G200"/>
    <mergeCell ref="F131:G131"/>
    <mergeCell ref="F429:G429"/>
    <mergeCell ref="F258:G258"/>
    <mergeCell ref="F500:G500"/>
    <mergeCell ref="F58:G58"/>
    <mergeCell ref="F52:G52"/>
    <mergeCell ref="F494:G494"/>
    <mergeCell ref="F294:G294"/>
    <mergeCell ref="F350:G350"/>
    <mergeCell ref="F37:G37"/>
    <mergeCell ref="F481:G481"/>
    <mergeCell ref="F195:G195"/>
    <mergeCell ref="F431:G431"/>
    <mergeCell ref="F260:G260"/>
    <mergeCell ref="F60:G60"/>
    <mergeCell ref="F358:G358"/>
    <mergeCell ref="F352:G352"/>
    <mergeCell ref="F197:G197"/>
    <mergeCell ref="F53:G53"/>
    <mergeCell ref="F289:G289"/>
    <mergeCell ref="F482:G482"/>
    <mergeCell ref="F68:G68"/>
    <mergeCell ref="F3:F4"/>
    <mergeCell ref="F84:G84"/>
    <mergeCell ref="F320:G320"/>
    <mergeCell ref="F447:G447"/>
    <mergeCell ref="F434:G434"/>
    <mergeCell ref="F15:G15"/>
    <mergeCell ref="F86:G86"/>
    <mergeCell ref="F142:G142"/>
    <mergeCell ref="F384:G384"/>
    <mergeCell ref="F213:G213"/>
    <mergeCell ref="F80:G80"/>
    <mergeCell ref="F378:G378"/>
    <mergeCell ref="F449:G449"/>
    <mergeCell ref="F79:G79"/>
    <mergeCell ref="F321:G321"/>
    <mergeCell ref="F315:G315"/>
    <mergeCell ref="F144:G144"/>
    <mergeCell ref="F215:G215"/>
    <mergeCell ref="F386:G386"/>
    <mergeCell ref="F373:G373"/>
    <mergeCell ref="F81:G81"/>
    <mergeCell ref="F460:G460"/>
    <mergeCell ref="F210:G210"/>
    <mergeCell ref="F381:G381"/>
    <mergeCell ref="F226:G226"/>
    <mergeCell ref="F437:G437"/>
    <mergeCell ref="F241:G241"/>
    <mergeCell ref="F284:G284"/>
    <mergeCell ref="F10:G10"/>
    <mergeCell ref="F63:G63"/>
    <mergeCell ref="F501:G501"/>
    <mergeCell ref="F34:G34"/>
    <mergeCell ref="F99:G99"/>
    <mergeCell ref="F292:G292"/>
    <mergeCell ref="F397:G397"/>
    <mergeCell ref="F286:G286"/>
    <mergeCell ref="F74:G74"/>
    <mergeCell ref="F372:G372"/>
    <mergeCell ref="F310:G310"/>
    <mergeCell ref="F503:G503"/>
    <mergeCell ref="F30:G30"/>
    <mergeCell ref="F138:G138"/>
    <mergeCell ref="F5:G5"/>
    <mergeCell ref="F76:G76"/>
    <mergeCell ref="F374:G374"/>
    <mergeCell ref="F94:G94"/>
    <mergeCell ref="F361:G361"/>
    <mergeCell ref="F150:G150"/>
    <mergeCell ref="F475:G475"/>
    <mergeCell ref="F323:G323"/>
    <mergeCell ref="F152:G152"/>
    <mergeCell ref="F450:G450"/>
    <mergeCell ref="F279:G279"/>
    <mergeCell ref="C3:C4"/>
    <mergeCell ref="E3:E4"/>
    <mergeCell ref="F387:G387"/>
    <mergeCell ref="F216:G216"/>
    <mergeCell ref="F343:G343"/>
    <mergeCell ref="F452:G452"/>
    <mergeCell ref="F281:G281"/>
    <mergeCell ref="F87:G87"/>
    <mergeCell ref="F280:G280"/>
    <mergeCell ref="F147:G147"/>
    <mergeCell ref="F218:G218"/>
    <mergeCell ref="F451:G451"/>
    <mergeCell ref="F89:G89"/>
    <mergeCell ref="F309:G309"/>
    <mergeCell ref="F7:G7"/>
    <mergeCell ref="F305:G305"/>
    <mergeCell ref="F242:G242"/>
    <mergeCell ref="F36:G36"/>
    <mergeCell ref="F307:G307"/>
    <mergeCell ref="F334:G334"/>
    <mergeCell ref="F163:G163"/>
    <mergeCell ref="F101:G101"/>
    <mergeCell ref="F8:G8"/>
    <mergeCell ref="F244:G244"/>
    <mergeCell ref="F100:G100"/>
    <mergeCell ref="F342:G342"/>
    <mergeCell ref="F336:G336"/>
    <mergeCell ref="F165:G165"/>
    <mergeCell ref="F311:G311"/>
    <mergeCell ref="F115:G115"/>
    <mergeCell ref="F308:G308"/>
    <mergeCell ref="F102:G102"/>
    <mergeCell ref="F425:G425"/>
    <mergeCell ref="F229:G229"/>
    <mergeCell ref="F400:G400"/>
    <mergeCell ref="F77:G77"/>
    <mergeCell ref="F166:G166"/>
    <mergeCell ref="F402:G402"/>
    <mergeCell ref="F377:G377"/>
    <mergeCell ref="F191:G191"/>
    <mergeCell ref="F255:G255"/>
    <mergeCell ref="F316:G316"/>
    <mergeCell ref="F59:G59"/>
    <mergeCell ref="F301:G301"/>
    <mergeCell ref="F24:G24"/>
    <mergeCell ref="F295:G295"/>
    <mergeCell ref="F95:G95"/>
    <mergeCell ref="F393:G393"/>
    <mergeCell ref="F331:G331"/>
    <mergeCell ref="F282:G282"/>
    <mergeCell ref="F453:G453"/>
    <mergeCell ref="F113:G113"/>
    <mergeCell ref="F232:G232"/>
    <mergeCell ref="F32:G32"/>
    <mergeCell ref="F26:G26"/>
    <mergeCell ref="F330:G330"/>
    <mergeCell ref="F219:G219"/>
    <mergeCell ref="F97:G97"/>
    <mergeCell ref="F268:G268"/>
    <mergeCell ref="F395:G395"/>
    <mergeCell ref="F159:G159"/>
    <mergeCell ref="F324:G324"/>
    <mergeCell ref="F90:G90"/>
    <mergeCell ref="F184:G184"/>
    <mergeCell ref="F27:G27"/>
    <mergeCell ref="F456:G456"/>
    <mergeCell ref="F471:G471"/>
    <mergeCell ref="F123:G123"/>
    <mergeCell ref="F179:G179"/>
    <mergeCell ref="F250:G250"/>
    <mergeCell ref="F44:G44"/>
  </mergeCells>
  <conditionalFormatting sqref="G3:G4">
    <cfRule type="cellIs" priority="1" operator="lessThan" dxfId="1">
      <formula>0</formula>
    </cfRule>
    <cfRule type="cellIs" priority="2" operator="greaterThanOrEqual" dxfId="0">
      <formula>0</formula>
    </cfRule>
  </conditionalFormatting>
  <pageMargins left="0.25" right="0.25" top="0.75" bottom="0.75" header="0.3" footer="0.3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6"/>
  <sheetViews>
    <sheetView topLeftCell="A17" zoomScaleNormal="100" workbookViewId="0">
      <selection activeCell="N61" sqref="N61"/>
    </sheetView>
  </sheetViews>
  <sheetFormatPr baseColWidth="8" defaultColWidth="8.875" defaultRowHeight="17.25"/>
  <cols>
    <col width="15.125" customWidth="1" style="11" min="1" max="2"/>
    <col width="15" customWidth="1" style="23" min="3" max="3"/>
    <col width="12.875" customWidth="1" style="11" min="4" max="4"/>
    <col width="17" customWidth="1" style="11" min="5" max="5"/>
    <col width="12.75" customWidth="1" style="11" min="6" max="6"/>
    <col width="12.875" customWidth="1" style="11" min="7" max="7"/>
    <col width="8.875" customWidth="1" style="12" min="8" max="8"/>
    <col width="12.625" customWidth="1" style="12" min="9" max="9"/>
    <col width="8.875" customWidth="1" style="12" min="10" max="10"/>
    <col width="8.875" customWidth="1" style="13" min="11" max="1024"/>
  </cols>
  <sheetData>
    <row r="1" ht="30" customHeight="1">
      <c r="A1" s="14" t="n"/>
      <c r="B1" s="15" t="n"/>
      <c r="C1" s="53" t="inlineStr">
        <is>
          <t>存股統計專用表格</t>
        </is>
      </c>
      <c r="D1" s="54" t="n"/>
      <c r="E1" s="54" t="n"/>
      <c r="F1" s="58" t="inlineStr">
        <is>
          <t>VT</t>
        </is>
      </c>
      <c r="G1" s="42" t="n"/>
      <c r="H1" s="57" t="inlineStr">
        <is>
          <t>USD</t>
        </is>
      </c>
      <c r="I1" s="44" t="n"/>
      <c r="J1" s="42" t="n"/>
    </row>
    <row r="2" ht="21.75" customHeight="1">
      <c r="A2" s="4" t="inlineStr">
        <is>
          <t>實際成本</t>
        </is>
      </c>
      <c r="B2" s="4" t="inlineStr">
        <is>
          <t>帳面成本</t>
        </is>
      </c>
      <c r="C2" s="4" t="inlineStr">
        <is>
          <t>目前市價</t>
        </is>
      </c>
      <c r="D2" s="4" t="inlineStr">
        <is>
          <t>總股數</t>
        </is>
      </c>
      <c r="E2" s="4" t="inlineStr">
        <is>
          <t>總成本</t>
        </is>
      </c>
      <c r="F2" s="4" t="inlineStr">
        <is>
          <t>股利+借券</t>
        </is>
      </c>
      <c r="G2" s="4" t="inlineStr">
        <is>
          <t>報酬率(含息)</t>
        </is>
      </c>
      <c r="H2" s="47" t="inlineStr">
        <is>
          <t>目前市價</t>
        </is>
      </c>
      <c r="I2" s="47" t="inlineStr">
        <is>
          <t>目前匯率</t>
        </is>
      </c>
      <c r="J2" s="47" t="inlineStr">
        <is>
          <t>總成本</t>
        </is>
      </c>
    </row>
    <row r="3" ht="18.75" customHeight="1">
      <c r="A3" s="45">
        <f>(E3-F3)/D3</f>
        <v/>
      </c>
      <c r="B3" s="49">
        <f>E3/D3</f>
        <v/>
      </c>
      <c r="C3" s="61">
        <f>H3</f>
        <v/>
      </c>
      <c r="D3" s="56">
        <f>SUM(D7:D505)</f>
        <v/>
      </c>
      <c r="E3" s="59">
        <f>SUM(E7:E505)</f>
        <v/>
      </c>
      <c r="F3" s="59">
        <f>SUM(F6:G505)</f>
        <v/>
      </c>
      <c r="G3" s="7">
        <f>G4/E3</f>
        <v/>
      </c>
      <c r="H3" s="51" t="n">
        <v>5109.4062</v>
      </c>
      <c r="I3" s="140">
        <f>投資!G2</f>
        <v/>
      </c>
      <c r="J3" s="52">
        <f>SUM(J7:J505)</f>
        <v/>
      </c>
    </row>
    <row r="4" ht="18.75" customHeight="1">
      <c r="A4" s="46" t="n"/>
      <c r="B4" s="46" t="n"/>
      <c r="C4" s="48" t="n"/>
      <c r="D4" s="46" t="n"/>
      <c r="E4" s="46" t="n"/>
      <c r="F4" s="46" t="n"/>
      <c r="G4" s="136">
        <f>D3*C3-E3+F3</f>
        <v/>
      </c>
      <c r="H4" s="48" t="n"/>
      <c r="I4" s="48" t="n"/>
      <c r="J4" s="48" t="n"/>
    </row>
    <row r="5">
      <c r="A5" s="16" t="inlineStr">
        <is>
          <t>交易筆數</t>
        </is>
      </c>
      <c r="B5" s="24" t="inlineStr">
        <is>
          <t>購買日期</t>
        </is>
      </c>
      <c r="C5" s="16" t="inlineStr">
        <is>
          <t>購入價格</t>
        </is>
      </c>
      <c r="D5" s="16" t="inlineStr">
        <is>
          <t>股數</t>
        </is>
      </c>
      <c r="E5" s="16" t="inlineStr">
        <is>
          <t>持有成本</t>
        </is>
      </c>
      <c r="F5" s="60" t="inlineStr">
        <is>
          <t>股利</t>
        </is>
      </c>
      <c r="G5" s="42" t="n"/>
      <c r="H5" s="47" t="inlineStr">
        <is>
          <t>購入價格</t>
        </is>
      </c>
      <c r="I5" s="47" t="inlineStr">
        <is>
          <t>購入匯率</t>
        </is>
      </c>
      <c r="J5" s="47" t="inlineStr">
        <is>
          <t>購入金額</t>
        </is>
      </c>
    </row>
    <row r="6">
      <c r="A6" s="17" t="n">
        <v>1</v>
      </c>
      <c r="B6" s="43" t="inlineStr">
        <is>
          <t>借券收入</t>
        </is>
      </c>
      <c r="C6" s="44" t="n"/>
      <c r="D6" s="44" t="n"/>
      <c r="E6" s="42" t="n"/>
      <c r="F6" s="50" t="n"/>
      <c r="G6" s="42" t="n"/>
      <c r="H6" s="48" t="n"/>
      <c r="I6" s="48" t="n"/>
      <c r="J6" s="48" t="n"/>
    </row>
    <row r="7">
      <c r="A7" s="17" t="n">
        <v>2</v>
      </c>
      <c r="B7" s="25" t="inlineStr">
        <is>
          <t>2023.07.17</t>
        </is>
      </c>
      <c r="C7" s="141">
        <f>H7*I7</f>
        <v/>
      </c>
      <c r="D7" s="41" t="n">
        <v>0.326071</v>
      </c>
      <c r="E7" s="41" t="n">
        <v>1000</v>
      </c>
      <c r="F7" s="41" t="n"/>
      <c r="G7" s="42" t="n"/>
      <c r="H7" s="20" t="n">
        <v>98.69</v>
      </c>
      <c r="I7" s="20" t="n">
        <v>31.075</v>
      </c>
      <c r="J7" s="20" t="n">
        <v>32.18</v>
      </c>
    </row>
    <row r="8">
      <c r="A8" s="17" t="n">
        <v>3</v>
      </c>
      <c r="B8" s="25" t="inlineStr">
        <is>
          <t>2023.08.16</t>
        </is>
      </c>
      <c r="C8" s="141">
        <f>H8*I8</f>
        <v/>
      </c>
      <c r="D8" s="41" t="n">
        <v>0.325535</v>
      </c>
      <c r="E8" s="41" t="n">
        <v>1000</v>
      </c>
      <c r="F8" s="41" t="n"/>
      <c r="G8" s="42" t="n"/>
      <c r="H8" s="20" t="n">
        <v>96.18000000000001</v>
      </c>
      <c r="I8" s="20" t="n">
        <v>31.935</v>
      </c>
      <c r="J8" s="20" t="n">
        <v>31.31</v>
      </c>
    </row>
    <row r="9">
      <c r="A9" s="17" t="n">
        <v>4</v>
      </c>
      <c r="B9" s="25" t="inlineStr">
        <is>
          <t>2023.09.16</t>
        </is>
      </c>
      <c r="C9" s="141">
        <f>H9*I9</f>
        <v/>
      </c>
      <c r="D9" s="41" t="n">
        <v>0.321135</v>
      </c>
      <c r="E9" s="41" t="n">
        <v>1000</v>
      </c>
      <c r="F9" s="41" t="n"/>
      <c r="G9" s="42" t="n"/>
      <c r="H9" s="20" t="n">
        <v>97.28</v>
      </c>
      <c r="I9" s="20" t="n">
        <v>32.013</v>
      </c>
      <c r="J9" s="20" t="n">
        <v>31.24</v>
      </c>
    </row>
    <row r="10">
      <c r="A10" s="17" t="n">
        <v>5</v>
      </c>
      <c r="B10" s="25" t="inlineStr">
        <is>
          <t>2023.09.16</t>
        </is>
      </c>
      <c r="C10" s="141">
        <f>H10*I10</f>
        <v/>
      </c>
      <c r="D10" s="41" t="n">
        <v>12.84426</v>
      </c>
      <c r="E10" s="18" t="n">
        <v>40004</v>
      </c>
      <c r="F10" s="41" t="n"/>
      <c r="G10" s="42" t="n"/>
      <c r="H10" s="20" t="n">
        <v>97.28</v>
      </c>
      <c r="I10" s="20" t="n">
        <v>32.013</v>
      </c>
      <c r="J10" s="20" t="n">
        <v>1249.49</v>
      </c>
    </row>
    <row r="11">
      <c r="A11" s="17" t="n">
        <v>6</v>
      </c>
      <c r="B11" s="25" t="inlineStr">
        <is>
          <t>2023.09.27</t>
        </is>
      </c>
      <c r="C11" s="141">
        <f>H11*I11</f>
        <v/>
      </c>
      <c r="D11" s="41" t="n"/>
      <c r="E11" s="41" t="n"/>
      <c r="F11" s="41" t="n">
        <v>126</v>
      </c>
      <c r="G11" s="42" t="n"/>
      <c r="H11" s="20" t="n"/>
      <c r="I11" s="20" t="n"/>
      <c r="J11" s="20" t="n"/>
    </row>
    <row r="12">
      <c r="A12" s="17" t="n">
        <v>7</v>
      </c>
      <c r="B12" s="25" t="inlineStr">
        <is>
          <t>2023.10.06</t>
        </is>
      </c>
      <c r="C12" s="141">
        <f>H12*I12</f>
        <v/>
      </c>
      <c r="D12" s="41" t="n">
        <v>0.337951</v>
      </c>
      <c r="E12" s="41" t="n">
        <v>1000</v>
      </c>
      <c r="F12" s="41" t="n"/>
      <c r="G12" s="42" t="n"/>
      <c r="H12" s="20" t="n">
        <v>91.61</v>
      </c>
      <c r="I12" s="20" t="n">
        <v>32.3</v>
      </c>
      <c r="J12" s="20" t="n">
        <v>30.96</v>
      </c>
    </row>
    <row r="13">
      <c r="A13" s="17" t="n">
        <v>8</v>
      </c>
      <c r="B13" s="25" t="inlineStr">
        <is>
          <t>2023.11.06</t>
        </is>
      </c>
      <c r="C13" s="141">
        <f>H13*I13</f>
        <v/>
      </c>
      <c r="D13" s="41" t="n">
        <v>0.328741</v>
      </c>
      <c r="E13" s="41" t="n">
        <v>1000</v>
      </c>
      <c r="F13" s="41" t="n"/>
      <c r="G13" s="42" t="n"/>
      <c r="H13" s="20" t="n">
        <v>94.52</v>
      </c>
      <c r="I13" s="20" t="n">
        <v>32.185</v>
      </c>
      <c r="J13" s="20" t="n">
        <v>31.07</v>
      </c>
    </row>
    <row r="14">
      <c r="A14" s="17" t="n">
        <v>9</v>
      </c>
      <c r="B14" s="25" t="inlineStr">
        <is>
          <t>2023.12.06</t>
        </is>
      </c>
      <c r="C14" s="141">
        <f>H14*I14</f>
        <v/>
      </c>
      <c r="D14" s="41" t="n">
        <v>0.319359</v>
      </c>
      <c r="E14" s="41" t="n">
        <v>1000</v>
      </c>
      <c r="F14" s="41" t="n"/>
      <c r="G14" s="42" t="n"/>
      <c r="H14" s="20" t="n">
        <v>99.23</v>
      </c>
      <c r="I14" s="20" t="n">
        <v>31.552</v>
      </c>
      <c r="J14" s="20" t="n">
        <v>31.69</v>
      </c>
    </row>
    <row r="15">
      <c r="A15" s="17" t="n">
        <v>10</v>
      </c>
      <c r="B15" s="25" t="inlineStr">
        <is>
          <t>2023.12.28</t>
        </is>
      </c>
      <c r="C15" s="141">
        <f>H15*I15</f>
        <v/>
      </c>
      <c r="D15" s="41" t="n"/>
      <c r="E15" s="41" t="n"/>
      <c r="F15" s="41" t="n">
        <v>254</v>
      </c>
      <c r="G15" s="42" t="n"/>
      <c r="H15" s="20" t="n"/>
      <c r="I15" s="20" t="n"/>
      <c r="J15" s="20" t="n"/>
    </row>
    <row r="16">
      <c r="A16" s="17" t="n">
        <v>11</v>
      </c>
      <c r="B16" s="25" t="inlineStr">
        <is>
          <t>2024.01.08</t>
        </is>
      </c>
      <c r="C16" s="141">
        <f>H16*I16</f>
        <v/>
      </c>
      <c r="D16" s="41" t="n">
        <v>0.318718</v>
      </c>
      <c r="E16" s="41" t="n">
        <v>1003</v>
      </c>
      <c r="F16" s="41" t="n"/>
      <c r="G16" s="42" t="n"/>
      <c r="H16" s="20" t="n">
        <v>101.06</v>
      </c>
      <c r="I16" s="20" t="n">
        <v>31.042</v>
      </c>
      <c r="J16" s="20" t="n">
        <v>32.21</v>
      </c>
    </row>
    <row r="17" ht="16.5" customFormat="1" customHeight="1" s="12">
      <c r="A17" s="17" t="n">
        <v>12</v>
      </c>
      <c r="B17" s="25" t="inlineStr">
        <is>
          <t>2024.02.06</t>
        </is>
      </c>
      <c r="C17" s="141">
        <f>H17*I17</f>
        <v/>
      </c>
      <c r="D17" s="41" t="n">
        <v>0.305353</v>
      </c>
      <c r="E17" s="41" t="n">
        <v>1000</v>
      </c>
      <c r="F17" s="41" t="n"/>
      <c r="G17" s="42" t="n"/>
      <c r="H17" s="20" t="n">
        <v>104.24</v>
      </c>
      <c r="I17" s="20" t="n">
        <v>31.419</v>
      </c>
      <c r="J17" s="20" t="n">
        <v>31.83</v>
      </c>
    </row>
    <row r="18" ht="16.5" customFormat="1" customHeight="1" s="12">
      <c r="A18" s="17" t="n">
        <v>13</v>
      </c>
      <c r="B18" s="25" t="inlineStr">
        <is>
          <t>2024.03.06</t>
        </is>
      </c>
      <c r="C18" s="141">
        <f>H18*I18</f>
        <v/>
      </c>
      <c r="D18" s="41" t="n">
        <v>0.291167</v>
      </c>
      <c r="E18" s="41" t="n">
        <v>1000</v>
      </c>
      <c r="F18" s="41" t="n"/>
      <c r="G18" s="42" t="n"/>
      <c r="H18" s="20" t="n">
        <v>108.46</v>
      </c>
      <c r="I18" s="20" t="n">
        <v>31.664</v>
      </c>
      <c r="J18" s="20" t="n">
        <v>31.58</v>
      </c>
    </row>
    <row r="19" ht="16.5" customFormat="1" customHeight="1" s="12">
      <c r="A19" s="17" t="n">
        <v>14</v>
      </c>
      <c r="B19" s="25" t="inlineStr">
        <is>
          <t>2024.03.26</t>
        </is>
      </c>
      <c r="C19" s="141">
        <f>H19*I19</f>
        <v/>
      </c>
      <c r="D19" s="41" t="n"/>
      <c r="E19" s="41" t="n"/>
      <c r="F19" s="41" t="n">
        <v>148</v>
      </c>
      <c r="G19" s="42" t="n"/>
      <c r="H19" s="20" t="n"/>
      <c r="I19" s="20" t="n"/>
      <c r="J19" s="20" t="n"/>
    </row>
    <row r="20" ht="16.5" customFormat="1" customHeight="1" s="12">
      <c r="A20" s="17" t="n">
        <v>15</v>
      </c>
      <c r="B20" s="25" t="inlineStr">
        <is>
          <t>2024.04.08</t>
        </is>
      </c>
      <c r="C20" s="141">
        <f>H20*I20</f>
        <v/>
      </c>
      <c r="D20" s="41" t="n">
        <v>0.282856</v>
      </c>
      <c r="E20" s="41" t="n">
        <v>1000</v>
      </c>
      <c r="F20" s="41" t="n"/>
      <c r="G20" s="42" t="n"/>
      <c r="H20" s="20" t="n">
        <v>109.95</v>
      </c>
      <c r="I20" s="20" t="n">
        <v>32.151</v>
      </c>
      <c r="J20" s="20" t="n">
        <v>31.1</v>
      </c>
    </row>
    <row r="21" ht="16.5" customFormat="1" customHeight="1" s="12">
      <c r="A21" s="17" t="n">
        <v>16</v>
      </c>
      <c r="B21" s="25" t="inlineStr">
        <is>
          <t>2024.05.06</t>
        </is>
      </c>
      <c r="C21" s="141">
        <f>H21*I21</f>
        <v/>
      </c>
      <c r="D21" s="41" t="n">
        <v>0.282434</v>
      </c>
      <c r="E21" s="41" t="n">
        <v>1000</v>
      </c>
      <c r="F21" s="41" t="n"/>
      <c r="G21" s="42" t="n"/>
      <c r="H21" s="20" t="n">
        <v>109.3</v>
      </c>
      <c r="I21" s="20" t="n">
        <v>32.389</v>
      </c>
      <c r="J21" s="20" t="n">
        <v>30.87</v>
      </c>
    </row>
    <row r="22" ht="16.5" customFormat="1" customHeight="1" s="12">
      <c r="A22" s="17" t="n">
        <v>17</v>
      </c>
      <c r="B22" s="25" t="inlineStr">
        <is>
          <t>2024.06.06</t>
        </is>
      </c>
      <c r="C22" s="141">
        <f>H22*I22</f>
        <v/>
      </c>
      <c r="D22" s="41" t="n">
        <v>0.27448</v>
      </c>
      <c r="E22" s="41" t="n">
        <v>1000</v>
      </c>
      <c r="F22" s="41" t="n"/>
      <c r="G22" s="42" t="n"/>
      <c r="H22" s="20" t="n">
        <v>112.54</v>
      </c>
      <c r="I22" s="20" t="n">
        <v>32.37</v>
      </c>
      <c r="J22" s="20" t="n">
        <v>30.89</v>
      </c>
    </row>
    <row r="23" ht="16.5" customFormat="1" customHeight="1" s="12">
      <c r="A23" s="17" t="n">
        <v>18</v>
      </c>
      <c r="B23" s="25" t="inlineStr">
        <is>
          <t>2024.06.28</t>
        </is>
      </c>
      <c r="C23" s="141">
        <f>H23*I23</f>
        <v/>
      </c>
      <c r="D23" s="41" t="n"/>
      <c r="E23" s="41" t="n"/>
      <c r="F23" s="41" t="n">
        <v>217</v>
      </c>
      <c r="G23" s="42" t="n"/>
      <c r="H23" s="20" t="n"/>
      <c r="I23" s="20" t="n"/>
      <c r="J23" s="20" t="n"/>
    </row>
    <row r="24" ht="16.5" customFormat="1" customHeight="1" s="12">
      <c r="A24" s="17" t="n">
        <v>19</v>
      </c>
      <c r="B24" s="25" t="inlineStr">
        <is>
          <t>2024.07.08</t>
        </is>
      </c>
      <c r="C24" s="141">
        <f>H24*I24</f>
        <v/>
      </c>
      <c r="D24" s="41" t="n">
        <v>7.77443</v>
      </c>
      <c r="E24" s="41" t="n">
        <v>29003</v>
      </c>
      <c r="F24" s="41" t="n"/>
      <c r="G24" s="42" t="n"/>
      <c r="H24" s="20" t="n">
        <v>114.9</v>
      </c>
      <c r="I24" s="20" t="n">
        <v>32.465</v>
      </c>
      <c r="J24" s="20" t="n">
        <v>893.27</v>
      </c>
    </row>
    <row r="25" ht="16.5" customFormat="1" customHeight="1" s="12">
      <c r="A25" s="17" t="n">
        <v>20</v>
      </c>
      <c r="B25" s="25" t="inlineStr">
        <is>
          <t>2024.08.06</t>
        </is>
      </c>
      <c r="C25" s="141">
        <f>H25*I25</f>
        <v/>
      </c>
      <c r="D25" s="41" t="n">
        <v>0.84917</v>
      </c>
      <c r="E25" s="41" t="n">
        <v>3000</v>
      </c>
      <c r="F25" s="41" t="n"/>
      <c r="G25" s="42" t="n"/>
      <c r="H25" s="20" t="n">
        <v>107.74</v>
      </c>
      <c r="I25" s="20" t="n">
        <v>32.79</v>
      </c>
      <c r="J25" s="20" t="n">
        <v>91.48999999999999</v>
      </c>
    </row>
    <row r="26" ht="16.5" customFormat="1" customHeight="1" s="12">
      <c r="A26" s="17" t="n">
        <v>21</v>
      </c>
      <c r="B26" s="25" t="inlineStr">
        <is>
          <t>2024.09.06</t>
        </is>
      </c>
      <c r="C26" s="141">
        <f>H26*I26</f>
        <v/>
      </c>
      <c r="D26" s="41" t="n">
        <v>0.8148</v>
      </c>
      <c r="E26" s="41" t="n">
        <v>3000</v>
      </c>
      <c r="F26" s="41" t="n"/>
      <c r="G26" s="42" t="n"/>
      <c r="H26" s="20" t="n">
        <v>114.89</v>
      </c>
      <c r="I26" s="20" t="n">
        <v>32.047</v>
      </c>
      <c r="J26" s="20" t="n">
        <v>93.61</v>
      </c>
    </row>
    <row r="27" ht="16.5" customFormat="1" customHeight="1" s="12">
      <c r="A27" s="17" t="n">
        <v>22</v>
      </c>
      <c r="B27" s="25" t="inlineStr">
        <is>
          <t>2024.09.27</t>
        </is>
      </c>
      <c r="C27" s="141">
        <f>H27*I27</f>
        <v/>
      </c>
      <c r="D27" s="41" t="n"/>
      <c r="E27" s="41" t="n"/>
      <c r="F27" s="41" t="n">
        <v>241</v>
      </c>
      <c r="G27" s="42" t="n"/>
      <c r="H27" s="20" t="n"/>
      <c r="I27" s="20" t="n"/>
      <c r="J27" s="20" t="n"/>
    </row>
    <row r="28" ht="16.5" customFormat="1" customHeight="1" s="12">
      <c r="A28" s="17" t="n">
        <v>23</v>
      </c>
      <c r="B28" s="25" t="inlineStr">
        <is>
          <t>2024.10.07</t>
        </is>
      </c>
      <c r="C28" s="141">
        <f>H28*I28</f>
        <v/>
      </c>
      <c r="D28" s="41" t="n">
        <v>0.78006</v>
      </c>
      <c r="E28" s="41" t="n">
        <v>3000</v>
      </c>
      <c r="F28" s="41" t="n"/>
      <c r="G28" s="42" t="n"/>
      <c r="H28" s="20" t="n">
        <v>119.31</v>
      </c>
      <c r="I28" s="20" t="n">
        <v>32.234</v>
      </c>
      <c r="J28" s="20" t="n">
        <v>93.06999999999999</v>
      </c>
    </row>
    <row r="29" ht="16.5" customFormat="1" customHeight="1" s="12">
      <c r="A29" s="17" t="n">
        <v>24</v>
      </c>
      <c r="B29" s="25" t="inlineStr">
        <is>
          <t>2024.11.06</t>
        </is>
      </c>
      <c r="C29" s="141">
        <f>H29*I29</f>
        <v/>
      </c>
      <c r="D29" s="41" t="n">
        <v>0.7771</v>
      </c>
      <c r="E29" s="41" t="n">
        <v>3000</v>
      </c>
      <c r="F29" s="41" t="n"/>
      <c r="G29" s="42" t="n"/>
      <c r="H29" s="20" t="n">
        <v>120</v>
      </c>
      <c r="I29" s="20" t="n">
        <v>32.173</v>
      </c>
      <c r="J29" s="20" t="n">
        <v>93.25</v>
      </c>
    </row>
    <row r="30" ht="16.5" customFormat="1" customHeight="1" s="12">
      <c r="A30" s="17" t="n">
        <v>25</v>
      </c>
      <c r="B30" s="25" t="inlineStr">
        <is>
          <t>2024.12.06</t>
        </is>
      </c>
      <c r="C30" s="141">
        <f>H30*I30</f>
        <v/>
      </c>
      <c r="D30" s="41" t="n">
        <v>0.7498</v>
      </c>
      <c r="E30" s="41" t="n">
        <v>3000</v>
      </c>
      <c r="F30" s="41" t="n"/>
      <c r="G30" s="42" t="n"/>
      <c r="H30" s="20" t="n">
        <v>123.3</v>
      </c>
      <c r="I30" s="20" t="n">
        <v>32.45</v>
      </c>
      <c r="J30" s="20" t="n">
        <v>92.45</v>
      </c>
    </row>
    <row r="31" ht="16.5" customFormat="1" customHeight="1" s="12">
      <c r="A31" s="17" t="n">
        <v>26</v>
      </c>
      <c r="B31" s="25" t="inlineStr">
        <is>
          <t>2024.12.30</t>
        </is>
      </c>
      <c r="C31" s="141">
        <f>H31*I31</f>
        <v/>
      </c>
      <c r="D31" s="41" t="n"/>
      <c r="E31" s="41" t="n"/>
      <c r="F31" s="41" t="n">
        <v>568</v>
      </c>
      <c r="G31" s="42" t="n"/>
      <c r="H31" s="20" t="n"/>
      <c r="I31" s="20" t="n"/>
      <c r="J31" s="20" t="n"/>
    </row>
    <row r="32" ht="16.5" customFormat="1" customHeight="1" s="12">
      <c r="A32" s="17" t="n">
        <v>27</v>
      </c>
      <c r="B32" s="25" t="inlineStr">
        <is>
          <t>2025.01.06</t>
        </is>
      </c>
      <c r="C32" s="141">
        <f>H32*I32</f>
        <v/>
      </c>
      <c r="D32" s="41" t="n">
        <v>0.76234</v>
      </c>
      <c r="E32" s="41" t="n">
        <v>3000</v>
      </c>
      <c r="F32" s="41" t="n"/>
      <c r="G32" s="42" t="n"/>
      <c r="H32" s="20" t="n">
        <v>119.39</v>
      </c>
      <c r="I32" s="20" t="n">
        <v>32.96</v>
      </c>
      <c r="J32" s="20" t="n">
        <v>91.02</v>
      </c>
    </row>
    <row r="33" ht="16.5" customFormat="1" customHeight="1" s="12">
      <c r="A33" s="17" t="n">
        <v>28</v>
      </c>
      <c r="B33" s="25" t="inlineStr">
        <is>
          <t>2025.02.06</t>
        </is>
      </c>
      <c r="C33" s="141">
        <f>H33*I33</f>
        <v/>
      </c>
      <c r="D33" s="41" t="n">
        <v>0.74614</v>
      </c>
      <c r="E33" s="41" t="n">
        <v>3000</v>
      </c>
      <c r="F33" s="41" t="n"/>
      <c r="G33" s="42" t="n"/>
      <c r="H33" s="20" t="n">
        <v>122.23</v>
      </c>
      <c r="I33" s="20" t="n">
        <v>32.895</v>
      </c>
      <c r="J33" s="20" t="n">
        <v>91.2</v>
      </c>
    </row>
    <row r="34" ht="16.5" customFormat="1" customHeight="1" s="12">
      <c r="A34" s="17" t="n">
        <v>29</v>
      </c>
      <c r="B34" s="25" t="inlineStr">
        <is>
          <t>2025.03.06</t>
        </is>
      </c>
      <c r="C34" s="141">
        <f>H34*I34</f>
        <v/>
      </c>
      <c r="D34" s="41" t="n">
        <v>0.76347</v>
      </c>
      <c r="E34" s="41" t="n">
        <v>3000</v>
      </c>
      <c r="F34" s="41" t="n"/>
      <c r="G34" s="42" t="n"/>
      <c r="H34" s="20" t="n">
        <v>119.39</v>
      </c>
      <c r="I34" s="20" t="n">
        <v>32.912</v>
      </c>
      <c r="J34" s="20" t="n">
        <v>91.15000000000001</v>
      </c>
    </row>
    <row r="35" ht="16.5" customFormat="1" customHeight="1" s="12">
      <c r="A35" s="17" t="n">
        <v>30</v>
      </c>
      <c r="B35" s="25" t="inlineStr">
        <is>
          <t>2025.03.28</t>
        </is>
      </c>
      <c r="C35" s="141">
        <f>H35*I35</f>
        <v/>
      </c>
      <c r="D35" s="41" t="n"/>
      <c r="E35" s="41" t="n"/>
      <c r="F35" s="41" t="n">
        <v>273</v>
      </c>
      <c r="G35" s="42" t="n"/>
      <c r="H35" s="20" t="n"/>
      <c r="I35" s="20" t="n"/>
      <c r="J35" s="20" t="n"/>
    </row>
    <row r="36" ht="16.5" customFormat="1" customHeight="1" s="12">
      <c r="A36" s="17" t="n">
        <v>31</v>
      </c>
      <c r="B36" s="25" t="inlineStr">
        <is>
          <t>2025.04.07</t>
        </is>
      </c>
      <c r="C36" s="141">
        <f>H36*I36</f>
        <v/>
      </c>
      <c r="D36" s="41" t="n">
        <v>0.88548</v>
      </c>
      <c r="E36" s="41" t="n">
        <v>3000</v>
      </c>
      <c r="F36" s="41" t="n"/>
      <c r="G36" s="42" t="n"/>
      <c r="H36" s="20" t="n">
        <v>102.09</v>
      </c>
      <c r="I36" s="20" t="n">
        <v>33.185</v>
      </c>
      <c r="J36" s="20" t="n">
        <v>90.40000000000001</v>
      </c>
    </row>
    <row r="37" ht="16.5" customFormat="1" customHeight="1" s="12">
      <c r="A37" s="17" t="n">
        <v>32</v>
      </c>
      <c r="B37" s="25" t="inlineStr">
        <is>
          <t>2025.05.06</t>
        </is>
      </c>
      <c r="C37" s="141">
        <f>H37*I37</f>
        <v/>
      </c>
      <c r="D37" s="41" t="n">
        <v>0.84048</v>
      </c>
      <c r="E37" s="41" t="n">
        <v>3000</v>
      </c>
      <c r="F37" s="41" t="n"/>
      <c r="G37" s="42" t="n"/>
      <c r="H37" s="20" t="n">
        <v>117.98</v>
      </c>
      <c r="I37" s="20" t="n">
        <v>30.255</v>
      </c>
      <c r="J37" s="20" t="n">
        <v>99.16</v>
      </c>
    </row>
    <row r="38" ht="16.5" customFormat="1" customHeight="1" s="12">
      <c r="A38" s="17" t="n">
        <v>33</v>
      </c>
      <c r="B38" s="25" t="inlineStr">
        <is>
          <t>2025.06.06</t>
        </is>
      </c>
      <c r="C38" s="141">
        <f>H38*I38</f>
        <v/>
      </c>
      <c r="D38" s="41" t="n">
        <v>0.7988499999999999</v>
      </c>
      <c r="E38" s="41" t="n">
        <v>3000</v>
      </c>
      <c r="F38" s="41" t="n"/>
      <c r="G38" s="42" t="n"/>
      <c r="H38" s="20" t="n">
        <v>125.33</v>
      </c>
      <c r="I38" s="20" t="n">
        <v>29.964</v>
      </c>
      <c r="J38" s="20" t="n">
        <v>100.12</v>
      </c>
    </row>
    <row r="39" ht="16.5" customFormat="1" customHeight="1" s="12">
      <c r="A39" s="17" t="n">
        <v>34</v>
      </c>
      <c r="B39" s="25" t="inlineStr">
        <is>
          <t>2025.06.27</t>
        </is>
      </c>
      <c r="C39" s="141">
        <f>H39*I39</f>
        <v/>
      </c>
      <c r="D39" s="41" t="n"/>
      <c r="E39" s="41" t="n"/>
      <c r="F39" s="41" t="n">
        <v>398</v>
      </c>
      <c r="G39" s="42" t="n"/>
      <c r="H39" s="20" t="n"/>
      <c r="I39" s="20" t="n"/>
      <c r="J39" s="20" t="n"/>
    </row>
    <row r="40" ht="16.5" customFormat="1" customHeight="1" s="12">
      <c r="A40" s="17" t="n">
        <v>35</v>
      </c>
      <c r="B40" s="25" t="inlineStr">
        <is>
          <t>2025.07.07</t>
        </is>
      </c>
      <c r="C40" s="141">
        <f>H40*I40</f>
        <v/>
      </c>
      <c r="D40" s="41" t="n">
        <v>1.00626</v>
      </c>
      <c r="E40" s="41" t="n">
        <v>3804.35055</v>
      </c>
      <c r="F40" s="41" t="n"/>
      <c r="G40" s="42" t="n"/>
      <c r="H40" s="20" t="n">
        <v>129.32</v>
      </c>
      <c r="I40" s="20" t="n">
        <v>29.235</v>
      </c>
      <c r="J40" s="20" t="n">
        <v>130.13</v>
      </c>
    </row>
    <row r="41" ht="16.5" customFormat="1" customHeight="1" s="12">
      <c r="A41" s="17" t="n">
        <v>36</v>
      </c>
      <c r="B41" s="25" t="inlineStr">
        <is>
          <t>2025.08.06</t>
        </is>
      </c>
      <c r="C41" s="141">
        <f>H41*I41</f>
        <v/>
      </c>
      <c r="D41" s="41" t="n">
        <v>0.99724</v>
      </c>
      <c r="E41" s="41" t="n">
        <v>3859.16037</v>
      </c>
      <c r="F41" s="41" t="n"/>
      <c r="G41" s="42" t="n"/>
      <c r="H41" s="20" t="n">
        <v>130.36</v>
      </c>
      <c r="I41" s="20" t="n">
        <v>29.679</v>
      </c>
      <c r="J41" s="20" t="n">
        <v>130.03</v>
      </c>
    </row>
    <row r="42" ht="16.5" customFormat="1" customHeight="1" s="12">
      <c r="A42" s="17" t="n">
        <v>37</v>
      </c>
      <c r="B42" s="25" t="inlineStr">
        <is>
          <t>2025.09.09</t>
        </is>
      </c>
      <c r="C42" s="141">
        <f>H42*I42</f>
        <v/>
      </c>
      <c r="D42" s="41" t="n">
        <v>0.96232</v>
      </c>
      <c r="E42" s="41" t="n">
        <v>3955.03421</v>
      </c>
      <c r="F42" s="41" t="n"/>
      <c r="G42" s="42" t="n"/>
      <c r="H42" s="20" t="n">
        <v>135.09</v>
      </c>
      <c r="I42" s="20" t="n">
        <v>30.421</v>
      </c>
      <c r="J42" s="20" t="n">
        <v>130.01</v>
      </c>
    </row>
    <row r="43" ht="16.5" customFormat="1" customHeight="1" s="12">
      <c r="A43" s="17" t="n">
        <v>38</v>
      </c>
      <c r="B43" s="25" t="inlineStr">
        <is>
          <t>2025.09.17</t>
        </is>
      </c>
      <c r="C43" s="141">
        <f>H43*I43</f>
        <v/>
      </c>
      <c r="D43" s="41" t="n">
        <v>-33.10018</v>
      </c>
      <c r="E43" s="41" t="n">
        <v>-135835</v>
      </c>
      <c r="F43" s="41" t="n"/>
      <c r="G43" s="42" t="n"/>
      <c r="H43" s="20" t="n">
        <v>137.16</v>
      </c>
      <c r="I43" s="20" t="n">
        <v>29.99</v>
      </c>
      <c r="J43" s="20" t="n">
        <v>-4540.02</v>
      </c>
    </row>
    <row r="44" ht="16.5" customFormat="1" customHeight="1" s="12">
      <c r="A44" s="17" t="n">
        <v>39</v>
      </c>
      <c r="B44" s="25" t="inlineStr">
        <is>
          <t>2025.09.19</t>
        </is>
      </c>
      <c r="C44" s="141">
        <f>H44*I44</f>
        <v/>
      </c>
      <c r="D44" s="41" t="n">
        <v>41.16668</v>
      </c>
      <c r="E44" s="41" t="n">
        <v>170451.20115</v>
      </c>
      <c r="F44" s="41" t="n"/>
      <c r="G44" s="42" t="n"/>
      <c r="H44" s="20" t="n">
        <v>137.49</v>
      </c>
      <c r="I44" s="20" t="n">
        <v>30.115</v>
      </c>
      <c r="J44" s="20" t="n">
        <v>5660.01</v>
      </c>
    </row>
    <row r="45" ht="16.5" customFormat="1" customHeight="1" s="12">
      <c r="A45" s="17" t="n">
        <v>40</v>
      </c>
      <c r="B45" s="25" t="inlineStr">
        <is>
          <t>2025.10.09</t>
        </is>
      </c>
      <c r="C45" s="141">
        <f>H45*I45</f>
        <v/>
      </c>
      <c r="D45" s="41" t="n">
        <v>0.93123</v>
      </c>
      <c r="E45" s="41" t="n">
        <v>3966.6051</v>
      </c>
      <c r="F45" s="41" t="n"/>
      <c r="G45" s="42" t="n"/>
      <c r="H45" s="20" t="n">
        <v>139.6</v>
      </c>
      <c r="I45" s="20" t="n">
        <v>30.51</v>
      </c>
      <c r="J45" s="20" t="n">
        <v>130.01</v>
      </c>
    </row>
    <row r="46" ht="16.5" customFormat="1" customHeight="1" s="12">
      <c r="A46" s="17" t="n">
        <v>41</v>
      </c>
      <c r="B46" s="25" t="inlineStr">
        <is>
          <t>2025.11.06</t>
        </is>
      </c>
      <c r="C46" s="141">
        <f>H46*I46</f>
        <v/>
      </c>
      <c r="D46" s="41" t="n">
        <v>0.93123</v>
      </c>
      <c r="E46" s="41" t="n">
        <v>4027</v>
      </c>
      <c r="F46" s="41" t="n"/>
      <c r="G46" s="42" t="n"/>
      <c r="H46" s="20" t="n">
        <v>139.6</v>
      </c>
      <c r="I46" s="20" t="n">
        <v>30.97</v>
      </c>
      <c r="J46" s="20" t="n">
        <v>130.01</v>
      </c>
    </row>
    <row r="47" ht="16.5" customFormat="1" customHeight="1" s="12">
      <c r="A47" s="17" t="n">
        <v>42</v>
      </c>
      <c r="B47" s="25" t="inlineStr">
        <is>
          <t>2025.12.08</t>
        </is>
      </c>
      <c r="C47" s="141">
        <f>H47*I47</f>
        <v/>
      </c>
      <c r="D47" s="41" t="n">
        <v>0.91691</v>
      </c>
      <c r="E47" s="41" t="n">
        <v>4075</v>
      </c>
      <c r="F47" s="41" t="n"/>
      <c r="G47" s="42" t="n"/>
      <c r="H47" s="20" t="n">
        <v>141.78</v>
      </c>
      <c r="I47" s="20" t="n">
        <v>31.25</v>
      </c>
      <c r="J47" s="20" t="n">
        <v>130.01</v>
      </c>
    </row>
    <row r="48" ht="16.5" customFormat="1" customHeight="1" s="12">
      <c r="A48" s="17" t="n">
        <v>43</v>
      </c>
      <c r="B48" s="25" t="inlineStr">
        <is>
          <t>2025.12.29</t>
        </is>
      </c>
      <c r="C48" s="141">
        <f>H48*I48</f>
        <v/>
      </c>
      <c r="D48" s="41" t="n"/>
      <c r="E48" s="41" t="n"/>
      <c r="F48" s="41">
        <f>36.62*投資!G2</f>
        <v/>
      </c>
      <c r="G48" s="42" t="n"/>
      <c r="H48" s="20" t="n"/>
      <c r="I48" s="20" t="n"/>
      <c r="J48" s="20" t="n"/>
    </row>
    <row r="49" ht="16.5" customFormat="1" customHeight="1" s="12">
      <c r="A49" s="17" t="n">
        <v>44</v>
      </c>
      <c r="B49" s="25" t="inlineStr">
        <is>
          <t>2026.01.05</t>
        </is>
      </c>
      <c r="C49" s="141">
        <f>H49*I49</f>
        <v/>
      </c>
      <c r="D49" s="41" t="n">
        <v>0.21018</v>
      </c>
      <c r="E49" s="41">
        <f>30.01*投資!G2</f>
        <v/>
      </c>
      <c r="F49" s="41" t="n"/>
      <c r="G49" s="42" t="n"/>
      <c r="H49" s="20" t="n">
        <v>142.73</v>
      </c>
      <c r="I49" s="20">
        <f>投資!G2</f>
        <v/>
      </c>
      <c r="J49" s="20" t="n">
        <v>30.01</v>
      </c>
    </row>
    <row r="50" ht="16.5" customFormat="1" customHeight="1" s="12">
      <c r="A50" s="17" t="n">
        <v>45</v>
      </c>
      <c r="B50" s="25" t="inlineStr">
        <is>
          <t>2026.01.06</t>
        </is>
      </c>
      <c r="C50" s="141">
        <f>H50*I50</f>
        <v/>
      </c>
      <c r="D50" s="41" t="n">
        <v>0.9056</v>
      </c>
      <c r="E50" s="41" t="n">
        <v>4090</v>
      </c>
      <c r="F50" s="41" t="n"/>
      <c r="G50" s="42" t="n"/>
      <c r="H50" s="20" t="n">
        <v>143.55</v>
      </c>
      <c r="I50" s="20" t="n">
        <v>31.46</v>
      </c>
      <c r="J50" s="20" t="n">
        <v>130.01</v>
      </c>
    </row>
    <row r="51" ht="16.5" customFormat="1" customHeight="1" s="12">
      <c r="A51" s="17" t="n">
        <v>46</v>
      </c>
      <c r="B51" s="25" t="inlineStr">
        <is>
          <t>2026.02.06</t>
        </is>
      </c>
      <c r="C51" s="141">
        <f>H51*I51</f>
        <v/>
      </c>
      <c r="D51" s="41" t="n">
        <v>0.89878</v>
      </c>
      <c r="E51" s="41" t="n">
        <v>4121</v>
      </c>
      <c r="F51" s="41" t="n"/>
      <c r="G51" s="42" t="n"/>
      <c r="H51" s="20" t="n">
        <v>144.64</v>
      </c>
      <c r="I51" s="20" t="n">
        <v>31.665</v>
      </c>
      <c r="J51" s="20" t="n">
        <v>130.01</v>
      </c>
    </row>
    <row r="52" ht="16.5" customFormat="1" customHeight="1" s="12">
      <c r="A52" s="17" t="n">
        <v>47</v>
      </c>
      <c r="B52" s="25" t="inlineStr">
        <is>
          <t>2026.03.06</t>
        </is>
      </c>
      <c r="C52" s="141">
        <f>H52*I52</f>
        <v/>
      </c>
      <c r="D52" s="41" t="n">
        <v>0.91749</v>
      </c>
      <c r="E52" s="41" t="n">
        <v>4105</v>
      </c>
      <c r="F52" s="41" t="n"/>
      <c r="G52" s="42" t="n"/>
      <c r="H52" s="20" t="n">
        <v>141.69</v>
      </c>
      <c r="I52" s="20" t="n">
        <v>31.548</v>
      </c>
      <c r="J52" s="20" t="n">
        <v>130.01</v>
      </c>
    </row>
    <row r="53" ht="16.5" customFormat="1" customHeight="1" s="12">
      <c r="A53" s="17" t="n">
        <v>48</v>
      </c>
      <c r="B53" s="25" t="inlineStr">
        <is>
          <t>2026.03.27</t>
        </is>
      </c>
      <c r="C53" s="141">
        <f>H53*I53</f>
        <v/>
      </c>
      <c r="D53" s="41" t="n"/>
      <c r="E53" s="41" t="n"/>
      <c r="F53" s="41">
        <f>11.42*投資!G2</f>
        <v/>
      </c>
      <c r="G53" s="42" t="n"/>
      <c r="H53" s="20" t="n"/>
      <c r="I53" s="20" t="n"/>
      <c r="J53" s="20" t="n"/>
    </row>
    <row r="54" ht="16.5" customFormat="1" customHeight="1" s="12">
      <c r="A54" s="17" t="n">
        <v>49</v>
      </c>
      <c r="B54" s="25" t="inlineStr">
        <is>
          <t>2026.04.09</t>
        </is>
      </c>
      <c r="C54" s="141">
        <f>H54*I54</f>
        <v/>
      </c>
      <c r="D54" s="41" t="n">
        <v>0.97215</v>
      </c>
      <c r="E54" s="41" t="n">
        <v>4165</v>
      </c>
      <c r="F54" s="41" t="n"/>
      <c r="G54" s="42" t="n"/>
      <c r="H54" s="20" t="n">
        <v>144.01</v>
      </c>
      <c r="I54" s="20" t="n">
        <v>32.01</v>
      </c>
      <c r="J54" s="20" t="n">
        <v>140.01</v>
      </c>
    </row>
    <row r="55" ht="16.5" customFormat="1" customHeight="1" s="12">
      <c r="A55" s="17" t="n">
        <v>50</v>
      </c>
      <c r="B55" s="25" t="inlineStr">
        <is>
          <t>2026.05.06</t>
        </is>
      </c>
      <c r="C55" s="141">
        <f>H55*I55</f>
        <v/>
      </c>
      <c r="D55" s="41" t="n">
        <v>0.84398</v>
      </c>
      <c r="E55" s="41" t="n">
        <v>4119</v>
      </c>
      <c r="F55" s="41" t="n"/>
      <c r="G55" s="42" t="n"/>
      <c r="H55" s="20" t="n">
        <v>154.03</v>
      </c>
      <c r="I55" s="20" t="n">
        <v>31.65</v>
      </c>
      <c r="J55" s="20" t="n">
        <v>130.01</v>
      </c>
    </row>
    <row r="56" ht="16.5" customFormat="1" customHeight="1" s="12">
      <c r="A56" s="17" t="n">
        <v>51</v>
      </c>
      <c r="B56" s="25" t="inlineStr">
        <is>
          <t>2026.06.08</t>
        </is>
      </c>
      <c r="C56" s="141">
        <f>H56*I56</f>
        <v/>
      </c>
      <c r="D56" s="41" t="n">
        <v>0.83784</v>
      </c>
      <c r="E56" s="41" t="n">
        <v>4098</v>
      </c>
      <c r="F56" s="41" t="n"/>
      <c r="G56" s="42" t="n"/>
      <c r="H56" s="20" t="n">
        <v>155.16</v>
      </c>
      <c r="I56" s="20" t="n">
        <v>31.52</v>
      </c>
      <c r="J56" s="20" t="n">
        <v>130.01</v>
      </c>
    </row>
    <row r="57" ht="16.5" customFormat="1" customHeight="1" s="12">
      <c r="A57" s="17" t="n">
        <v>52</v>
      </c>
      <c r="B57" s="25" t="inlineStr">
        <is>
          <t>2026.06.26</t>
        </is>
      </c>
      <c r="C57" s="141">
        <f>H57*I57</f>
        <v/>
      </c>
      <c r="D57" s="41" t="n"/>
      <c r="E57" s="41" t="n"/>
      <c r="F57" s="41">
        <f>20.68 * 投資!G2</f>
        <v/>
      </c>
      <c r="G57" s="42" t="n"/>
      <c r="H57" s="20" t="n"/>
      <c r="I57" s="20" t="n"/>
      <c r="J57" s="20" t="n"/>
    </row>
    <row r="58" ht="16.5" customFormat="1" customHeight="1" s="12">
      <c r="A58" s="17" t="n">
        <v>53</v>
      </c>
      <c r="B58" s="25" t="inlineStr">
        <is>
          <t>2026.07.06</t>
        </is>
      </c>
      <c r="C58" s="141">
        <f>H58*I58</f>
        <v/>
      </c>
      <c r="D58" s="41" t="n">
        <v>0.1272</v>
      </c>
      <c r="E58" s="41" t="n">
        <v>660</v>
      </c>
      <c r="F58" s="41" t="n"/>
      <c r="G58" s="42" t="n"/>
      <c r="H58" s="20" t="n">
        <v>157.23</v>
      </c>
      <c r="I58" s="20" t="n">
        <v>31.93</v>
      </c>
      <c r="J58" s="20" t="n">
        <v>20.01</v>
      </c>
    </row>
    <row r="59" ht="16.5" customFormat="1" customHeight="1" s="12">
      <c r="A59" s="17" t="n">
        <v>54</v>
      </c>
      <c r="B59" s="25" t="inlineStr">
        <is>
          <t>2026.09.29</t>
        </is>
      </c>
      <c r="C59" s="141">
        <f>H59*I59</f>
        <v/>
      </c>
      <c r="D59" s="41" t="n"/>
      <c r="E59" s="41" t="n"/>
      <c r="F59" s="41" t="n">
        <v>478.42</v>
      </c>
      <c r="G59" s="42" t="n"/>
      <c r="H59" s="20" t="n"/>
      <c r="I59" s="20" t="n"/>
      <c r="J59" s="20" t="n"/>
    </row>
    <row r="60" ht="16.5" customFormat="1" customHeight="1" s="12">
      <c r="A60" s="17" t="n">
        <v>55</v>
      </c>
      <c r="B60" s="25" t="inlineStr">
        <is>
          <t>2026.10.05</t>
        </is>
      </c>
      <c r="C60" s="141">
        <f>H60*I60</f>
        <v/>
      </c>
      <c r="D60" s="41" t="n">
        <v>0.06276</v>
      </c>
      <c r="E60" s="41" t="n">
        <v>319</v>
      </c>
      <c r="F60" s="41" t="n"/>
      <c r="G60" s="42" t="n"/>
      <c r="H60" s="20" t="n">
        <v>159.33</v>
      </c>
      <c r="I60" s="20" t="n">
        <v>31.92</v>
      </c>
      <c r="J60" s="20" t="n">
        <v>10.01</v>
      </c>
    </row>
    <row r="61" ht="16.5" customFormat="1" customHeight="1" s="12">
      <c r="A61" s="17" t="n">
        <v>56</v>
      </c>
      <c r="B61" s="25" t="n"/>
      <c r="C61" s="141">
        <f>H61*I61</f>
        <v/>
      </c>
      <c r="D61" s="41" t="n"/>
      <c r="E61" s="41" t="n"/>
      <c r="F61" s="41" t="n"/>
      <c r="G61" s="42" t="n"/>
      <c r="H61" s="20" t="n"/>
      <c r="I61" s="20" t="n"/>
      <c r="J61" s="20" t="n"/>
    </row>
    <row r="62" ht="16.5" customFormat="1" customHeight="1" s="12">
      <c r="A62" s="17" t="n">
        <v>57</v>
      </c>
      <c r="B62" s="25" t="n"/>
      <c r="C62" s="141">
        <f>H62*I62</f>
        <v/>
      </c>
      <c r="D62" s="41" t="n"/>
      <c r="E62" s="41" t="n"/>
      <c r="F62" s="41" t="n"/>
      <c r="G62" s="42" t="n"/>
      <c r="H62" s="20" t="n"/>
      <c r="I62" s="20" t="n"/>
      <c r="J62" s="20" t="n"/>
    </row>
    <row r="63" ht="16.5" customFormat="1" customHeight="1" s="12">
      <c r="A63" s="17" t="n">
        <v>58</v>
      </c>
      <c r="B63" s="25" t="n"/>
      <c r="C63" s="141">
        <f>H63*I63</f>
        <v/>
      </c>
      <c r="D63" s="41" t="n"/>
      <c r="E63" s="41" t="n"/>
      <c r="F63" s="41" t="n"/>
      <c r="G63" s="42" t="n"/>
      <c r="H63" s="20" t="n"/>
      <c r="I63" s="20" t="n"/>
      <c r="J63" s="20" t="n"/>
    </row>
    <row r="64" ht="16.5" customFormat="1" customHeight="1" s="12">
      <c r="A64" s="17" t="n">
        <v>59</v>
      </c>
      <c r="B64" s="25" t="n"/>
      <c r="C64" s="141">
        <f>H64*I64</f>
        <v/>
      </c>
      <c r="D64" s="41" t="n"/>
      <c r="E64" s="41" t="n"/>
      <c r="F64" s="41" t="n"/>
      <c r="G64" s="42" t="n"/>
      <c r="H64" s="20" t="n"/>
      <c r="I64" s="20" t="n"/>
      <c r="J64" s="20" t="n"/>
    </row>
    <row r="65" ht="16.5" customFormat="1" customHeight="1" s="12">
      <c r="A65" s="17" t="n">
        <v>60</v>
      </c>
      <c r="B65" s="25" t="n"/>
      <c r="C65" s="141">
        <f>H65*I65</f>
        <v/>
      </c>
      <c r="D65" s="41" t="n"/>
      <c r="E65" s="41" t="n"/>
      <c r="F65" s="41" t="n"/>
      <c r="G65" s="42" t="n"/>
      <c r="H65" s="20" t="n"/>
      <c r="I65" s="20" t="n"/>
      <c r="J65" s="20" t="n"/>
    </row>
    <row r="66" ht="16.5" customFormat="1" customHeight="1" s="12">
      <c r="A66" s="17" t="n">
        <v>61</v>
      </c>
      <c r="B66" s="25" t="n"/>
      <c r="C66" s="141">
        <f>H66*I66</f>
        <v/>
      </c>
      <c r="D66" s="41" t="n"/>
      <c r="E66" s="41" t="n"/>
      <c r="F66" s="41" t="n"/>
      <c r="G66" s="42" t="n"/>
      <c r="H66" s="20" t="n"/>
      <c r="I66" s="20" t="n"/>
      <c r="J66" s="20" t="n"/>
    </row>
    <row r="67" ht="16.5" customFormat="1" customHeight="1" s="12">
      <c r="A67" s="17" t="n">
        <v>62</v>
      </c>
      <c r="B67" s="25" t="n"/>
      <c r="C67" s="141">
        <f>H67*I67</f>
        <v/>
      </c>
      <c r="D67" s="41" t="n"/>
      <c r="E67" s="41" t="n"/>
      <c r="F67" s="41" t="n"/>
      <c r="G67" s="42" t="n"/>
      <c r="H67" s="20" t="n"/>
      <c r="I67" s="20" t="n"/>
      <c r="J67" s="20" t="n"/>
    </row>
    <row r="68" ht="16.5" customFormat="1" customHeight="1" s="12">
      <c r="A68" s="17" t="n">
        <v>63</v>
      </c>
      <c r="B68" s="25" t="n"/>
      <c r="C68" s="141">
        <f>H68*I68</f>
        <v/>
      </c>
      <c r="D68" s="41" t="n"/>
      <c r="E68" s="41" t="n"/>
      <c r="F68" s="41" t="n"/>
      <c r="G68" s="42" t="n"/>
      <c r="H68" s="20" t="n"/>
      <c r="I68" s="20" t="n"/>
      <c r="J68" s="20" t="n"/>
    </row>
    <row r="69" ht="16.5" customFormat="1" customHeight="1" s="12">
      <c r="A69" s="17" t="n">
        <v>64</v>
      </c>
      <c r="B69" s="25" t="n"/>
      <c r="C69" s="141">
        <f>H69*I69</f>
        <v/>
      </c>
      <c r="D69" s="41" t="n"/>
      <c r="E69" s="41" t="n"/>
      <c r="F69" s="41" t="n"/>
      <c r="G69" s="42" t="n"/>
      <c r="H69" s="20" t="n"/>
      <c r="I69" s="20" t="n"/>
      <c r="J69" s="20" t="n"/>
    </row>
    <row r="70" ht="16.5" customFormat="1" customHeight="1" s="12">
      <c r="A70" s="17" t="n">
        <v>65</v>
      </c>
      <c r="B70" s="25" t="n"/>
      <c r="C70" s="141">
        <f>H70*I70</f>
        <v/>
      </c>
      <c r="D70" s="41" t="n"/>
      <c r="E70" s="41" t="n"/>
      <c r="F70" s="41" t="n"/>
      <c r="G70" s="42" t="n"/>
      <c r="H70" s="20" t="n"/>
      <c r="I70" s="20" t="n"/>
      <c r="J70" s="20" t="n"/>
    </row>
    <row r="71" ht="16.5" customFormat="1" customHeight="1" s="12">
      <c r="A71" s="17" t="n">
        <v>66</v>
      </c>
      <c r="B71" s="25" t="n"/>
      <c r="C71" s="141">
        <f>H71*I71</f>
        <v/>
      </c>
      <c r="D71" s="41" t="n"/>
      <c r="E71" s="41" t="n"/>
      <c r="F71" s="41" t="n"/>
      <c r="G71" s="42" t="n"/>
      <c r="H71" s="20" t="n"/>
      <c r="I71" s="20" t="n"/>
      <c r="J71" s="20" t="n"/>
    </row>
    <row r="72" ht="16.5" customFormat="1" customHeight="1" s="12">
      <c r="A72" s="17" t="n">
        <v>67</v>
      </c>
      <c r="B72" s="25" t="n"/>
      <c r="C72" s="141">
        <f>H72*I72</f>
        <v/>
      </c>
      <c r="D72" s="41" t="n"/>
      <c r="E72" s="41" t="n"/>
      <c r="F72" s="41" t="n"/>
      <c r="G72" s="42" t="n"/>
      <c r="H72" s="20" t="n"/>
      <c r="I72" s="20" t="n"/>
      <c r="J72" s="20" t="n"/>
    </row>
    <row r="73" ht="16.5" customFormat="1" customHeight="1" s="12">
      <c r="A73" s="17" t="n">
        <v>68</v>
      </c>
      <c r="B73" s="25" t="n"/>
      <c r="C73" s="141">
        <f>H73*I73</f>
        <v/>
      </c>
      <c r="D73" s="41" t="n"/>
      <c r="E73" s="41" t="n"/>
      <c r="F73" s="41" t="n"/>
      <c r="G73" s="42" t="n"/>
      <c r="H73" s="20" t="n"/>
      <c r="I73" s="20" t="n"/>
      <c r="J73" s="20" t="n"/>
    </row>
    <row r="74" ht="16.5" customFormat="1" customHeight="1" s="12">
      <c r="A74" s="17" t="n">
        <v>69</v>
      </c>
      <c r="B74" s="25" t="n"/>
      <c r="C74" s="141">
        <f>H74*I74</f>
        <v/>
      </c>
      <c r="D74" s="41" t="n"/>
      <c r="E74" s="41" t="n"/>
      <c r="F74" s="41" t="n"/>
      <c r="G74" s="42" t="n"/>
      <c r="H74" s="20" t="n"/>
      <c r="I74" s="20" t="n"/>
      <c r="J74" s="20" t="n"/>
    </row>
    <row r="75" ht="16.5" customFormat="1" customHeight="1" s="12">
      <c r="A75" s="17" t="n">
        <v>70</v>
      </c>
      <c r="B75" s="25" t="n"/>
      <c r="C75" s="141">
        <f>H75*I75</f>
        <v/>
      </c>
      <c r="D75" s="41" t="n"/>
      <c r="E75" s="41" t="n"/>
      <c r="F75" s="41" t="n"/>
      <c r="G75" s="42" t="n"/>
      <c r="H75" s="20" t="n"/>
      <c r="I75" s="20" t="n"/>
      <c r="J75" s="20" t="n"/>
    </row>
    <row r="76" ht="16.5" customFormat="1" customHeight="1" s="12">
      <c r="A76" s="17" t="n">
        <v>71</v>
      </c>
      <c r="B76" s="25" t="n"/>
      <c r="C76" s="141">
        <f>H76*I76</f>
        <v/>
      </c>
      <c r="D76" s="41" t="n"/>
      <c r="E76" s="41" t="n"/>
      <c r="F76" s="41" t="n"/>
      <c r="G76" s="42" t="n"/>
      <c r="H76" s="20" t="n"/>
      <c r="I76" s="20" t="n"/>
      <c r="J76" s="20" t="n"/>
    </row>
    <row r="77" ht="16.5" customFormat="1" customHeight="1" s="12">
      <c r="A77" s="17" t="n">
        <v>72</v>
      </c>
      <c r="B77" s="25" t="n"/>
      <c r="C77" s="141">
        <f>H77*I77</f>
        <v/>
      </c>
      <c r="D77" s="41" t="n"/>
      <c r="E77" s="41" t="n"/>
      <c r="F77" s="41" t="n"/>
      <c r="G77" s="42" t="n"/>
      <c r="H77" s="20" t="n"/>
      <c r="I77" s="20" t="n"/>
      <c r="J77" s="20" t="n"/>
    </row>
    <row r="78" ht="16.5" customFormat="1" customHeight="1" s="12">
      <c r="A78" s="17" t="n">
        <v>73</v>
      </c>
      <c r="B78" s="25" t="n"/>
      <c r="C78" s="141">
        <f>H78*I78</f>
        <v/>
      </c>
      <c r="D78" s="41" t="n"/>
      <c r="E78" s="41" t="n"/>
      <c r="F78" s="41" t="n"/>
      <c r="G78" s="42" t="n"/>
      <c r="H78" s="20" t="n"/>
      <c r="I78" s="20" t="n"/>
      <c r="J78" s="20" t="n"/>
    </row>
    <row r="79" ht="16.5" customFormat="1" customHeight="1" s="12">
      <c r="A79" s="17" t="n">
        <v>74</v>
      </c>
      <c r="B79" s="25" t="n"/>
      <c r="C79" s="141">
        <f>H79*I79</f>
        <v/>
      </c>
      <c r="D79" s="41" t="n"/>
      <c r="E79" s="41" t="n"/>
      <c r="F79" s="41" t="n"/>
      <c r="G79" s="42" t="n"/>
      <c r="H79" s="20" t="n"/>
      <c r="I79" s="20" t="n"/>
      <c r="J79" s="20" t="n"/>
    </row>
    <row r="80" ht="16.5" customFormat="1" customHeight="1" s="12">
      <c r="A80" s="17" t="n">
        <v>75</v>
      </c>
      <c r="B80" s="25" t="n"/>
      <c r="C80" s="141">
        <f>H80*I80</f>
        <v/>
      </c>
      <c r="D80" s="41" t="n"/>
      <c r="E80" s="41" t="n"/>
      <c r="F80" s="41" t="n"/>
      <c r="G80" s="42" t="n"/>
      <c r="H80" s="20" t="n"/>
      <c r="I80" s="20" t="n"/>
      <c r="J80" s="20" t="n"/>
    </row>
    <row r="81" ht="16.5" customFormat="1" customHeight="1" s="12">
      <c r="A81" s="17" t="n">
        <v>76</v>
      </c>
      <c r="B81" s="25" t="n"/>
      <c r="C81" s="141">
        <f>H81*I81</f>
        <v/>
      </c>
      <c r="D81" s="41" t="n"/>
      <c r="E81" s="41" t="n"/>
      <c r="F81" s="41" t="n"/>
      <c r="G81" s="42" t="n"/>
      <c r="H81" s="20" t="n"/>
      <c r="I81" s="20" t="n"/>
      <c r="J81" s="20" t="n"/>
    </row>
    <row r="82" ht="16.5" customFormat="1" customHeight="1" s="12">
      <c r="A82" s="17" t="n">
        <v>77</v>
      </c>
      <c r="B82" s="25" t="n"/>
      <c r="C82" s="141">
        <f>H82*I82</f>
        <v/>
      </c>
      <c r="D82" s="41" t="n"/>
      <c r="E82" s="41" t="n"/>
      <c r="F82" s="41" t="n"/>
      <c r="G82" s="42" t="n"/>
      <c r="H82" s="20" t="n"/>
      <c r="I82" s="20" t="n"/>
      <c r="J82" s="20" t="n"/>
    </row>
    <row r="83" ht="16.5" customFormat="1" customHeight="1" s="12">
      <c r="A83" s="17" t="n">
        <v>78</v>
      </c>
      <c r="B83" s="25" t="n"/>
      <c r="C83" s="141">
        <f>H83*I83</f>
        <v/>
      </c>
      <c r="D83" s="41" t="n"/>
      <c r="E83" s="41" t="n"/>
      <c r="F83" s="41" t="n"/>
      <c r="G83" s="42" t="n"/>
      <c r="H83" s="20" t="n"/>
      <c r="I83" s="20" t="n"/>
      <c r="J83" s="20" t="n"/>
    </row>
    <row r="84" ht="16.5" customFormat="1" customHeight="1" s="12">
      <c r="A84" s="17" t="n">
        <v>79</v>
      </c>
      <c r="B84" s="25" t="n"/>
      <c r="C84" s="141">
        <f>H84*I84</f>
        <v/>
      </c>
      <c r="D84" s="41" t="n"/>
      <c r="E84" s="41" t="n"/>
      <c r="F84" s="41" t="n"/>
      <c r="G84" s="42" t="n"/>
      <c r="H84" s="20" t="n"/>
      <c r="I84" s="20" t="n"/>
      <c r="J84" s="20" t="n"/>
    </row>
    <row r="85" ht="16.5" customFormat="1" customHeight="1" s="12">
      <c r="A85" s="17" t="n">
        <v>80</v>
      </c>
      <c r="B85" s="25" t="n"/>
      <c r="C85" s="141">
        <f>H85*I85</f>
        <v/>
      </c>
      <c r="D85" s="41" t="n"/>
      <c r="E85" s="41" t="n"/>
      <c r="F85" s="41" t="n"/>
      <c r="G85" s="42" t="n"/>
      <c r="H85" s="20" t="n"/>
      <c r="I85" s="20" t="n"/>
      <c r="J85" s="20" t="n"/>
    </row>
    <row r="86" ht="16.5" customFormat="1" customHeight="1" s="12">
      <c r="A86" s="17" t="n">
        <v>81</v>
      </c>
      <c r="B86" s="25" t="n"/>
      <c r="C86" s="141">
        <f>H86*I86</f>
        <v/>
      </c>
      <c r="D86" s="41" t="n"/>
      <c r="E86" s="41" t="n"/>
      <c r="F86" s="41" t="n"/>
      <c r="G86" s="42" t="n"/>
      <c r="H86" s="20" t="n"/>
      <c r="I86" s="20" t="n"/>
      <c r="J86" s="20" t="n"/>
    </row>
    <row r="87" ht="16.5" customFormat="1" customHeight="1" s="12">
      <c r="A87" s="17" t="n">
        <v>82</v>
      </c>
      <c r="B87" s="25" t="n"/>
      <c r="C87" s="141">
        <f>H87*I87</f>
        <v/>
      </c>
      <c r="D87" s="41" t="n"/>
      <c r="E87" s="41" t="n"/>
      <c r="F87" s="41" t="n"/>
      <c r="G87" s="42" t="n"/>
      <c r="H87" s="20" t="n"/>
      <c r="I87" s="20" t="n"/>
      <c r="J87" s="20" t="n"/>
    </row>
    <row r="88" ht="16.5" customFormat="1" customHeight="1" s="12">
      <c r="A88" s="17" t="n">
        <v>83</v>
      </c>
      <c r="B88" s="25" t="n"/>
      <c r="C88" s="141">
        <f>H88*I88</f>
        <v/>
      </c>
      <c r="D88" s="41" t="n"/>
      <c r="E88" s="41" t="n"/>
      <c r="F88" s="41" t="n"/>
      <c r="G88" s="42" t="n"/>
      <c r="H88" s="20" t="n"/>
      <c r="I88" s="20" t="n"/>
      <c r="J88" s="20" t="n"/>
    </row>
    <row r="89" ht="16.5" customFormat="1" customHeight="1" s="12">
      <c r="A89" s="17" t="n">
        <v>84</v>
      </c>
      <c r="B89" s="25" t="n"/>
      <c r="C89" s="141">
        <f>H89*I89</f>
        <v/>
      </c>
      <c r="D89" s="41" t="n"/>
      <c r="E89" s="41" t="n"/>
      <c r="F89" s="41" t="n"/>
      <c r="G89" s="42" t="n"/>
      <c r="H89" s="20" t="n"/>
      <c r="I89" s="20" t="n"/>
      <c r="J89" s="20" t="n"/>
    </row>
    <row r="90" ht="16.5" customFormat="1" customHeight="1" s="12">
      <c r="A90" s="17" t="n">
        <v>85</v>
      </c>
      <c r="B90" s="25" t="n"/>
      <c r="C90" s="141">
        <f>H90*I90</f>
        <v/>
      </c>
      <c r="D90" s="41" t="n"/>
      <c r="E90" s="41" t="n"/>
      <c r="F90" s="41" t="n"/>
      <c r="G90" s="42" t="n"/>
      <c r="H90" s="20" t="n"/>
      <c r="I90" s="20" t="n"/>
      <c r="J90" s="20" t="n"/>
    </row>
    <row r="91" ht="16.5" customFormat="1" customHeight="1" s="12">
      <c r="A91" s="17" t="n">
        <v>86</v>
      </c>
      <c r="B91" s="25" t="n"/>
      <c r="C91" s="141">
        <f>H91*I91</f>
        <v/>
      </c>
      <c r="D91" s="41" t="n"/>
      <c r="E91" s="41" t="n"/>
      <c r="F91" s="41" t="n"/>
      <c r="G91" s="42" t="n"/>
      <c r="H91" s="20" t="n"/>
      <c r="I91" s="20" t="n"/>
      <c r="J91" s="20" t="n"/>
    </row>
    <row r="92" ht="16.5" customFormat="1" customHeight="1" s="12">
      <c r="A92" s="17" t="n">
        <v>87</v>
      </c>
      <c r="B92" s="25" t="n"/>
      <c r="C92" s="141">
        <f>H92*I92</f>
        <v/>
      </c>
      <c r="D92" s="41" t="n"/>
      <c r="E92" s="41" t="n"/>
      <c r="F92" s="41" t="n"/>
      <c r="G92" s="42" t="n"/>
      <c r="H92" s="20" t="n"/>
      <c r="I92" s="20" t="n"/>
      <c r="J92" s="20" t="n"/>
    </row>
    <row r="93" ht="16.5" customFormat="1" customHeight="1" s="12">
      <c r="A93" s="17" t="n">
        <v>88</v>
      </c>
      <c r="B93" s="25" t="n"/>
      <c r="C93" s="141">
        <f>H93*I93</f>
        <v/>
      </c>
      <c r="D93" s="41" t="n"/>
      <c r="E93" s="41" t="n"/>
      <c r="F93" s="41" t="n"/>
      <c r="G93" s="42" t="n"/>
      <c r="H93" s="20" t="n"/>
      <c r="I93" s="20" t="n"/>
      <c r="J93" s="20" t="n"/>
    </row>
    <row r="94" ht="16.5" customFormat="1" customHeight="1" s="12">
      <c r="A94" s="17" t="n">
        <v>89</v>
      </c>
      <c r="B94" s="25" t="n"/>
      <c r="C94" s="141">
        <f>H94*I94</f>
        <v/>
      </c>
      <c r="D94" s="41" t="n"/>
      <c r="E94" s="41" t="n"/>
      <c r="F94" s="41" t="n"/>
      <c r="G94" s="42" t="n"/>
      <c r="H94" s="20" t="n"/>
      <c r="I94" s="20" t="n"/>
      <c r="J94" s="20" t="n"/>
    </row>
    <row r="95" ht="16.5" customFormat="1" customHeight="1" s="12">
      <c r="A95" s="17" t="n">
        <v>90</v>
      </c>
      <c r="B95" s="25" t="n"/>
      <c r="C95" s="141">
        <f>H95*I95</f>
        <v/>
      </c>
      <c r="D95" s="41" t="n"/>
      <c r="E95" s="41" t="n"/>
      <c r="F95" s="41" t="n"/>
      <c r="G95" s="42" t="n"/>
      <c r="H95" s="20" t="n"/>
      <c r="I95" s="20" t="n"/>
      <c r="J95" s="20" t="n"/>
    </row>
    <row r="96" ht="16.5" customFormat="1" customHeight="1" s="12">
      <c r="A96" s="17" t="n">
        <v>91</v>
      </c>
      <c r="B96" s="25" t="n"/>
      <c r="C96" s="141">
        <f>H96*I96</f>
        <v/>
      </c>
      <c r="D96" s="41" t="n"/>
      <c r="E96" s="41" t="n"/>
      <c r="F96" s="41" t="n"/>
      <c r="G96" s="42" t="n"/>
      <c r="H96" s="20" t="n"/>
      <c r="I96" s="20" t="n"/>
      <c r="J96" s="20" t="n"/>
    </row>
    <row r="97" ht="16.5" customFormat="1" customHeight="1" s="12">
      <c r="A97" s="17" t="n">
        <v>92</v>
      </c>
      <c r="B97" s="25" t="n"/>
      <c r="C97" s="141">
        <f>H97*I97</f>
        <v/>
      </c>
      <c r="D97" s="41" t="n"/>
      <c r="E97" s="41" t="n"/>
      <c r="F97" s="41" t="n"/>
      <c r="G97" s="42" t="n"/>
      <c r="H97" s="20" t="n"/>
      <c r="I97" s="20" t="n"/>
      <c r="J97" s="20" t="n"/>
    </row>
    <row r="98" ht="16.5" customFormat="1" customHeight="1" s="12">
      <c r="A98" s="17" t="n">
        <v>93</v>
      </c>
      <c r="B98" s="25" t="n"/>
      <c r="C98" s="141">
        <f>H98*I98</f>
        <v/>
      </c>
      <c r="D98" s="41" t="n"/>
      <c r="E98" s="41" t="n"/>
      <c r="F98" s="41" t="n"/>
      <c r="G98" s="42" t="n"/>
      <c r="H98" s="20" t="n"/>
      <c r="I98" s="20" t="n"/>
      <c r="J98" s="20" t="n"/>
    </row>
    <row r="99" ht="16.5" customFormat="1" customHeight="1" s="12">
      <c r="A99" s="17" t="n">
        <v>94</v>
      </c>
      <c r="B99" s="25" t="n"/>
      <c r="C99" s="141">
        <f>H99*I99</f>
        <v/>
      </c>
      <c r="D99" s="41" t="n"/>
      <c r="E99" s="41" t="n"/>
      <c r="F99" s="41" t="n"/>
      <c r="G99" s="42" t="n"/>
      <c r="H99" s="20" t="n"/>
      <c r="I99" s="20" t="n"/>
      <c r="J99" s="20" t="n"/>
    </row>
    <row r="100" ht="16.5" customFormat="1" customHeight="1" s="12">
      <c r="A100" s="17" t="n">
        <v>95</v>
      </c>
      <c r="B100" s="25" t="n"/>
      <c r="C100" s="141">
        <f>H100*I100</f>
        <v/>
      </c>
      <c r="D100" s="41" t="n"/>
      <c r="E100" s="41" t="n"/>
      <c r="F100" s="41" t="n"/>
      <c r="G100" s="42" t="n"/>
      <c r="H100" s="20" t="n"/>
      <c r="I100" s="20" t="n"/>
      <c r="J100" s="20" t="n"/>
    </row>
    <row r="101" ht="16.5" customFormat="1" customHeight="1" s="12">
      <c r="A101" s="17" t="n">
        <v>96</v>
      </c>
      <c r="B101" s="25" t="n"/>
      <c r="C101" s="141">
        <f>H101*I101</f>
        <v/>
      </c>
      <c r="D101" s="41" t="n"/>
      <c r="E101" s="41" t="n"/>
      <c r="F101" s="41" t="n"/>
      <c r="G101" s="42" t="n"/>
      <c r="H101" s="20" t="n"/>
      <c r="I101" s="20" t="n"/>
      <c r="J101" s="20" t="n"/>
    </row>
    <row r="102" ht="16.5" customFormat="1" customHeight="1" s="12">
      <c r="A102" s="17" t="n">
        <v>97</v>
      </c>
      <c r="B102" s="25" t="n"/>
      <c r="C102" s="141">
        <f>H102*I102</f>
        <v/>
      </c>
      <c r="D102" s="41" t="n"/>
      <c r="E102" s="41" t="n"/>
      <c r="F102" s="41" t="n"/>
      <c r="G102" s="42" t="n"/>
      <c r="H102" s="20" t="n"/>
      <c r="I102" s="20" t="n"/>
      <c r="J102" s="20" t="n"/>
    </row>
    <row r="103" ht="16.5" customFormat="1" customHeight="1" s="12">
      <c r="A103" s="17" t="n">
        <v>98</v>
      </c>
      <c r="B103" s="25" t="n"/>
      <c r="C103" s="141">
        <f>H103*I103</f>
        <v/>
      </c>
      <c r="D103" s="41" t="n"/>
      <c r="E103" s="41" t="n"/>
      <c r="F103" s="41" t="n"/>
      <c r="G103" s="42" t="n"/>
      <c r="H103" s="20" t="n"/>
      <c r="I103" s="20" t="n"/>
      <c r="J103" s="20" t="n"/>
    </row>
    <row r="104" ht="16.5" customFormat="1" customHeight="1" s="12">
      <c r="A104" s="17" t="n">
        <v>99</v>
      </c>
      <c r="B104" s="25" t="n"/>
      <c r="C104" s="141">
        <f>H104*I104</f>
        <v/>
      </c>
      <c r="D104" s="41" t="n"/>
      <c r="E104" s="41" t="n"/>
      <c r="F104" s="41" t="n"/>
      <c r="G104" s="42" t="n"/>
      <c r="H104" s="20" t="n"/>
      <c r="I104" s="20" t="n"/>
      <c r="J104" s="20" t="n"/>
    </row>
    <row r="105" ht="16.5" customFormat="1" customHeight="1" s="12">
      <c r="A105" s="17" t="n">
        <v>100</v>
      </c>
      <c r="B105" s="25" t="n"/>
      <c r="C105" s="141">
        <f>H105*I105</f>
        <v/>
      </c>
      <c r="D105" s="41" t="n"/>
      <c r="E105" s="41" t="n"/>
      <c r="F105" s="41" t="n"/>
      <c r="G105" s="42" t="n"/>
      <c r="H105" s="20" t="n"/>
      <c r="I105" s="20" t="n"/>
      <c r="J105" s="20" t="n"/>
    </row>
    <row r="106" ht="16.5" customFormat="1" customHeight="1" s="12">
      <c r="A106" s="17" t="n">
        <v>101</v>
      </c>
      <c r="B106" s="25" t="n"/>
      <c r="C106" s="141">
        <f>H106*I106</f>
        <v/>
      </c>
      <c r="D106" s="41" t="n"/>
      <c r="E106" s="41" t="n"/>
      <c r="F106" s="41" t="n"/>
      <c r="G106" s="42" t="n"/>
      <c r="H106" s="20" t="n"/>
      <c r="I106" s="20" t="n"/>
      <c r="J106" s="20" t="n"/>
    </row>
    <row r="107" ht="16.5" customFormat="1" customHeight="1" s="12">
      <c r="A107" s="17" t="n">
        <v>102</v>
      </c>
      <c r="B107" s="25" t="n"/>
      <c r="C107" s="141">
        <f>H107*I107</f>
        <v/>
      </c>
      <c r="D107" s="41" t="n"/>
      <c r="E107" s="41" t="n"/>
      <c r="F107" s="41" t="n"/>
      <c r="G107" s="42" t="n"/>
      <c r="H107" s="20" t="n"/>
      <c r="I107" s="20" t="n"/>
      <c r="J107" s="20" t="n"/>
    </row>
    <row r="108" ht="16.5" customFormat="1" customHeight="1" s="12">
      <c r="A108" s="17" t="n">
        <v>103</v>
      </c>
      <c r="B108" s="25" t="n"/>
      <c r="C108" s="141">
        <f>H108*I108</f>
        <v/>
      </c>
      <c r="D108" s="41" t="n"/>
      <c r="E108" s="41" t="n"/>
      <c r="F108" s="41" t="n"/>
      <c r="G108" s="42" t="n"/>
      <c r="H108" s="20" t="n"/>
      <c r="I108" s="20" t="n"/>
      <c r="J108" s="20" t="n"/>
    </row>
    <row r="109" ht="16.5" customFormat="1" customHeight="1" s="12">
      <c r="A109" s="17" t="n">
        <v>104</v>
      </c>
      <c r="B109" s="25" t="n"/>
      <c r="C109" s="141">
        <f>H109*I109</f>
        <v/>
      </c>
      <c r="D109" s="41" t="n"/>
      <c r="E109" s="41" t="n"/>
      <c r="F109" s="41" t="n"/>
      <c r="G109" s="42" t="n"/>
      <c r="H109" s="20" t="n"/>
      <c r="I109" s="20" t="n"/>
      <c r="J109" s="20" t="n"/>
    </row>
    <row r="110" ht="16.5" customFormat="1" customHeight="1" s="12">
      <c r="A110" s="17" t="n">
        <v>105</v>
      </c>
      <c r="B110" s="25" t="n"/>
      <c r="C110" s="141">
        <f>H110*I110</f>
        <v/>
      </c>
      <c r="D110" s="41" t="n"/>
      <c r="E110" s="41" t="n"/>
      <c r="F110" s="41" t="n"/>
      <c r="G110" s="42" t="n"/>
      <c r="H110" s="20" t="n"/>
      <c r="I110" s="20" t="n"/>
      <c r="J110" s="20" t="n"/>
    </row>
    <row r="111" ht="16.5" customFormat="1" customHeight="1" s="12">
      <c r="A111" s="17" t="n">
        <v>106</v>
      </c>
      <c r="B111" s="25" t="n"/>
      <c r="C111" s="141">
        <f>H111*I111</f>
        <v/>
      </c>
      <c r="D111" s="41" t="n"/>
      <c r="E111" s="41" t="n"/>
      <c r="F111" s="41" t="n"/>
      <c r="G111" s="42" t="n"/>
      <c r="H111" s="20" t="n"/>
      <c r="I111" s="20" t="n"/>
      <c r="J111" s="20" t="n"/>
    </row>
    <row r="112" ht="16.5" customFormat="1" customHeight="1" s="12">
      <c r="A112" s="17" t="n">
        <v>107</v>
      </c>
      <c r="B112" s="25" t="n"/>
      <c r="C112" s="141">
        <f>H112*I112</f>
        <v/>
      </c>
      <c r="D112" s="41" t="n"/>
      <c r="E112" s="41" t="n"/>
      <c r="F112" s="41" t="n"/>
      <c r="G112" s="42" t="n"/>
      <c r="H112" s="20" t="n"/>
      <c r="I112" s="20" t="n"/>
      <c r="J112" s="20" t="n"/>
    </row>
    <row r="113" ht="16.5" customFormat="1" customHeight="1" s="12">
      <c r="A113" s="17" t="n">
        <v>108</v>
      </c>
      <c r="B113" s="25" t="n"/>
      <c r="C113" s="141">
        <f>H113*I113</f>
        <v/>
      </c>
      <c r="D113" s="41" t="n"/>
      <c r="E113" s="41" t="n"/>
      <c r="F113" s="41" t="n"/>
      <c r="G113" s="42" t="n"/>
      <c r="H113" s="20" t="n"/>
      <c r="I113" s="20" t="n"/>
      <c r="J113" s="20" t="n"/>
    </row>
    <row r="114" ht="16.5" customFormat="1" customHeight="1" s="12">
      <c r="A114" s="17" t="n">
        <v>109</v>
      </c>
      <c r="B114" s="25" t="n"/>
      <c r="C114" s="141">
        <f>H114*I114</f>
        <v/>
      </c>
      <c r="D114" s="41" t="n"/>
      <c r="E114" s="41" t="n"/>
      <c r="F114" s="41" t="n"/>
      <c r="G114" s="42" t="n"/>
      <c r="H114" s="20" t="n"/>
      <c r="I114" s="20" t="n"/>
      <c r="J114" s="20" t="n"/>
    </row>
    <row r="115" ht="16.5" customFormat="1" customHeight="1" s="12">
      <c r="A115" s="17" t="n">
        <v>110</v>
      </c>
      <c r="B115" s="25" t="n"/>
      <c r="C115" s="141">
        <f>H115*I115</f>
        <v/>
      </c>
      <c r="D115" s="41" t="n"/>
      <c r="E115" s="41" t="n"/>
      <c r="F115" s="41" t="n"/>
      <c r="G115" s="42" t="n"/>
      <c r="H115" s="20" t="n"/>
      <c r="I115" s="20" t="n"/>
      <c r="J115" s="20" t="n"/>
    </row>
    <row r="116" ht="16.5" customFormat="1" customHeight="1" s="12">
      <c r="A116" s="17" t="n">
        <v>111</v>
      </c>
      <c r="B116" s="25" t="n"/>
      <c r="C116" s="141">
        <f>H116*I116</f>
        <v/>
      </c>
      <c r="D116" s="41" t="n"/>
      <c r="E116" s="41" t="n"/>
      <c r="F116" s="41" t="n"/>
      <c r="G116" s="42" t="n"/>
      <c r="H116" s="20" t="n"/>
      <c r="I116" s="20" t="n"/>
      <c r="J116" s="20" t="n"/>
    </row>
    <row r="117" ht="16.5" customFormat="1" customHeight="1" s="12">
      <c r="A117" s="17" t="n">
        <v>112</v>
      </c>
      <c r="B117" s="25" t="n"/>
      <c r="C117" s="141">
        <f>H117*I117</f>
        <v/>
      </c>
      <c r="D117" s="41" t="n"/>
      <c r="E117" s="41" t="n"/>
      <c r="F117" s="41" t="n"/>
      <c r="G117" s="42" t="n"/>
      <c r="H117" s="20" t="n"/>
      <c r="I117" s="20" t="n"/>
      <c r="J117" s="20" t="n"/>
    </row>
    <row r="118" ht="16.5" customFormat="1" customHeight="1" s="12">
      <c r="A118" s="17" t="n">
        <v>113</v>
      </c>
      <c r="B118" s="25" t="n"/>
      <c r="C118" s="141">
        <f>H118*I118</f>
        <v/>
      </c>
      <c r="D118" s="41" t="n"/>
      <c r="E118" s="41" t="n"/>
      <c r="F118" s="41" t="n"/>
      <c r="G118" s="42" t="n"/>
      <c r="H118" s="20" t="n"/>
      <c r="I118" s="20" t="n"/>
      <c r="J118" s="20" t="n"/>
    </row>
    <row r="119" ht="16.5" customFormat="1" customHeight="1" s="12">
      <c r="A119" s="17" t="n">
        <v>114</v>
      </c>
      <c r="B119" s="25" t="n"/>
      <c r="C119" s="141">
        <f>H119*I119</f>
        <v/>
      </c>
      <c r="D119" s="41" t="n"/>
      <c r="E119" s="41" t="n"/>
      <c r="F119" s="41" t="n"/>
      <c r="G119" s="42" t="n"/>
      <c r="H119" s="20" t="n"/>
      <c r="I119" s="20" t="n"/>
      <c r="J119" s="20" t="n"/>
    </row>
    <row r="120" ht="16.5" customFormat="1" customHeight="1" s="12">
      <c r="A120" s="17" t="n">
        <v>115</v>
      </c>
      <c r="B120" s="25" t="n"/>
      <c r="C120" s="141">
        <f>H120*I120</f>
        <v/>
      </c>
      <c r="D120" s="41" t="n"/>
      <c r="E120" s="41" t="n"/>
      <c r="F120" s="41" t="n"/>
      <c r="G120" s="42" t="n"/>
      <c r="H120" s="20" t="n"/>
      <c r="I120" s="20" t="n"/>
      <c r="J120" s="20" t="n"/>
    </row>
    <row r="121" ht="16.5" customFormat="1" customHeight="1" s="12">
      <c r="A121" s="17" t="n">
        <v>116</v>
      </c>
      <c r="B121" s="25" t="n"/>
      <c r="C121" s="141">
        <f>H121*I121</f>
        <v/>
      </c>
      <c r="D121" s="41" t="n"/>
      <c r="E121" s="41" t="n"/>
      <c r="F121" s="41" t="n"/>
      <c r="G121" s="42" t="n"/>
      <c r="H121" s="20" t="n"/>
      <c r="I121" s="20" t="n"/>
      <c r="J121" s="20" t="n"/>
    </row>
    <row r="122" ht="16.5" customFormat="1" customHeight="1" s="12">
      <c r="A122" s="17" t="n">
        <v>117</v>
      </c>
      <c r="B122" s="25" t="n"/>
      <c r="C122" s="141">
        <f>H122*I122</f>
        <v/>
      </c>
      <c r="D122" s="41" t="n"/>
      <c r="E122" s="41" t="n"/>
      <c r="F122" s="41" t="n"/>
      <c r="G122" s="42" t="n"/>
      <c r="H122" s="20" t="n"/>
      <c r="I122" s="20" t="n"/>
      <c r="J122" s="20" t="n"/>
    </row>
    <row r="123" ht="16.5" customFormat="1" customHeight="1" s="12">
      <c r="A123" s="17" t="n">
        <v>118</v>
      </c>
      <c r="B123" s="25" t="n"/>
      <c r="C123" s="141">
        <f>H123*I123</f>
        <v/>
      </c>
      <c r="D123" s="41" t="n"/>
      <c r="E123" s="41" t="n"/>
      <c r="F123" s="41" t="n"/>
      <c r="G123" s="42" t="n"/>
      <c r="H123" s="20" t="n"/>
      <c r="I123" s="20" t="n"/>
      <c r="J123" s="20" t="n"/>
    </row>
    <row r="124" ht="16.5" customFormat="1" customHeight="1" s="12">
      <c r="A124" s="17" t="n">
        <v>119</v>
      </c>
      <c r="B124" s="25" t="n"/>
      <c r="C124" s="141">
        <f>H124*I124</f>
        <v/>
      </c>
      <c r="D124" s="41" t="n"/>
      <c r="E124" s="41" t="n"/>
      <c r="F124" s="41" t="n"/>
      <c r="G124" s="42" t="n"/>
      <c r="H124" s="20" t="n"/>
      <c r="I124" s="20" t="n"/>
      <c r="J124" s="20" t="n"/>
    </row>
    <row r="125" ht="16.5" customFormat="1" customHeight="1" s="12">
      <c r="A125" s="17" t="n">
        <v>120</v>
      </c>
      <c r="B125" s="25" t="n"/>
      <c r="C125" s="141">
        <f>H125*I125</f>
        <v/>
      </c>
      <c r="D125" s="41" t="n"/>
      <c r="E125" s="41" t="n"/>
      <c r="F125" s="41" t="n"/>
      <c r="G125" s="42" t="n"/>
      <c r="H125" s="20" t="n"/>
      <c r="I125" s="20" t="n"/>
      <c r="J125" s="20" t="n"/>
    </row>
    <row r="126" ht="16.5" customFormat="1" customHeight="1" s="12">
      <c r="A126" s="17" t="n">
        <v>121</v>
      </c>
      <c r="B126" s="25" t="n"/>
      <c r="C126" s="141">
        <f>H126*I126</f>
        <v/>
      </c>
      <c r="D126" s="41" t="n"/>
      <c r="E126" s="41" t="n"/>
      <c r="F126" s="41" t="n"/>
      <c r="G126" s="42" t="n"/>
      <c r="H126" s="20" t="n"/>
      <c r="I126" s="20" t="n"/>
      <c r="J126" s="20" t="n"/>
    </row>
    <row r="127" ht="16.5" customFormat="1" customHeight="1" s="12">
      <c r="A127" s="17" t="n">
        <v>122</v>
      </c>
      <c r="B127" s="25" t="n"/>
      <c r="C127" s="141">
        <f>H127*I127</f>
        <v/>
      </c>
      <c r="D127" s="41" t="n"/>
      <c r="E127" s="41" t="n"/>
      <c r="F127" s="41" t="n"/>
      <c r="G127" s="42" t="n"/>
      <c r="H127" s="20" t="n"/>
      <c r="I127" s="20" t="n"/>
      <c r="J127" s="20" t="n"/>
    </row>
    <row r="128" ht="16.5" customFormat="1" customHeight="1" s="12">
      <c r="A128" s="17" t="n">
        <v>123</v>
      </c>
      <c r="B128" s="25" t="n"/>
      <c r="C128" s="141">
        <f>H128*I128</f>
        <v/>
      </c>
      <c r="D128" s="41" t="n"/>
      <c r="E128" s="41" t="n"/>
      <c r="F128" s="41" t="n"/>
      <c r="G128" s="42" t="n"/>
      <c r="H128" s="20" t="n"/>
      <c r="I128" s="20" t="n"/>
      <c r="J128" s="20" t="n"/>
    </row>
    <row r="129" ht="16.5" customFormat="1" customHeight="1" s="12">
      <c r="A129" s="17" t="n">
        <v>124</v>
      </c>
      <c r="B129" s="25" t="n"/>
      <c r="C129" s="141">
        <f>H129*I129</f>
        <v/>
      </c>
      <c r="D129" s="41" t="n"/>
      <c r="E129" s="41" t="n"/>
      <c r="F129" s="41" t="n"/>
      <c r="G129" s="42" t="n"/>
      <c r="H129" s="20" t="n"/>
      <c r="I129" s="20" t="n"/>
      <c r="J129" s="20" t="n"/>
    </row>
    <row r="130" ht="16.5" customFormat="1" customHeight="1" s="12">
      <c r="A130" s="17" t="n">
        <v>125</v>
      </c>
      <c r="B130" s="25" t="n"/>
      <c r="C130" s="141">
        <f>H130*I130</f>
        <v/>
      </c>
      <c r="D130" s="41" t="n"/>
      <c r="E130" s="41" t="n"/>
      <c r="F130" s="41" t="n"/>
      <c r="G130" s="42" t="n"/>
      <c r="H130" s="20" t="n"/>
      <c r="I130" s="20" t="n"/>
      <c r="J130" s="20" t="n"/>
    </row>
    <row r="131" ht="16.5" customFormat="1" customHeight="1" s="12">
      <c r="A131" s="17" t="n">
        <v>126</v>
      </c>
      <c r="B131" s="25" t="n"/>
      <c r="C131" s="141">
        <f>H131*I131</f>
        <v/>
      </c>
      <c r="D131" s="41" t="n"/>
      <c r="E131" s="41" t="n"/>
      <c r="F131" s="41" t="n"/>
      <c r="G131" s="42" t="n"/>
      <c r="H131" s="20" t="n"/>
      <c r="I131" s="20" t="n"/>
      <c r="J131" s="20" t="n"/>
    </row>
    <row r="132" ht="16.5" customFormat="1" customHeight="1" s="12">
      <c r="A132" s="17" t="n">
        <v>127</v>
      </c>
      <c r="B132" s="25" t="n"/>
      <c r="C132" s="141">
        <f>H132*I132</f>
        <v/>
      </c>
      <c r="D132" s="41" t="n"/>
      <c r="E132" s="41" t="n"/>
      <c r="F132" s="41" t="n"/>
      <c r="G132" s="42" t="n"/>
      <c r="H132" s="20" t="n"/>
      <c r="I132" s="20" t="n"/>
      <c r="J132" s="20" t="n"/>
    </row>
    <row r="133" ht="16.5" customFormat="1" customHeight="1" s="12">
      <c r="A133" s="17" t="n">
        <v>128</v>
      </c>
      <c r="B133" s="25" t="n"/>
      <c r="C133" s="141">
        <f>H133*I133</f>
        <v/>
      </c>
      <c r="D133" s="41" t="n"/>
      <c r="E133" s="41" t="n"/>
      <c r="F133" s="41" t="n"/>
      <c r="G133" s="42" t="n"/>
      <c r="H133" s="20" t="n"/>
      <c r="I133" s="20" t="n"/>
      <c r="J133" s="20" t="n"/>
    </row>
    <row r="134" ht="16.5" customFormat="1" customHeight="1" s="12">
      <c r="A134" s="17" t="n">
        <v>129</v>
      </c>
      <c r="B134" s="25" t="n"/>
      <c r="C134" s="141">
        <f>H134*I134</f>
        <v/>
      </c>
      <c r="D134" s="41" t="n"/>
      <c r="E134" s="41" t="n"/>
      <c r="F134" s="41" t="n"/>
      <c r="G134" s="42" t="n"/>
      <c r="H134" s="20" t="n"/>
      <c r="I134" s="20" t="n"/>
      <c r="J134" s="20" t="n"/>
    </row>
    <row r="135" ht="16.5" customFormat="1" customHeight="1" s="12">
      <c r="A135" s="17" t="n">
        <v>130</v>
      </c>
      <c r="B135" s="25" t="n"/>
      <c r="C135" s="141">
        <f>H135*I135</f>
        <v/>
      </c>
      <c r="D135" s="41" t="n"/>
      <c r="E135" s="41" t="n"/>
      <c r="F135" s="41" t="n"/>
      <c r="G135" s="42" t="n"/>
      <c r="H135" s="20" t="n"/>
      <c r="I135" s="20" t="n"/>
      <c r="J135" s="20" t="n"/>
    </row>
    <row r="136" ht="16.5" customFormat="1" customHeight="1" s="12">
      <c r="A136" s="17" t="n">
        <v>131</v>
      </c>
      <c r="B136" s="25" t="n"/>
      <c r="C136" s="141">
        <f>H136*I136</f>
        <v/>
      </c>
      <c r="D136" s="41" t="n"/>
      <c r="E136" s="41" t="n"/>
      <c r="F136" s="41" t="n"/>
      <c r="G136" s="42" t="n"/>
      <c r="H136" s="20" t="n"/>
      <c r="I136" s="20" t="n"/>
      <c r="J136" s="20" t="n"/>
    </row>
    <row r="137" ht="16.5" customFormat="1" customHeight="1" s="12">
      <c r="A137" s="17" t="n">
        <v>132</v>
      </c>
      <c r="B137" s="25" t="n"/>
      <c r="C137" s="141">
        <f>H137*I137</f>
        <v/>
      </c>
      <c r="D137" s="41" t="n"/>
      <c r="E137" s="41" t="n"/>
      <c r="F137" s="41" t="n"/>
      <c r="G137" s="42" t="n"/>
      <c r="H137" s="20" t="n"/>
      <c r="I137" s="20" t="n"/>
      <c r="J137" s="20" t="n"/>
    </row>
    <row r="138" ht="16.5" customFormat="1" customHeight="1" s="12">
      <c r="A138" s="17" t="n">
        <v>133</v>
      </c>
      <c r="B138" s="25" t="n"/>
      <c r="C138" s="141">
        <f>H138*I138</f>
        <v/>
      </c>
      <c r="D138" s="41" t="n"/>
      <c r="E138" s="41" t="n"/>
      <c r="F138" s="41" t="n"/>
      <c r="G138" s="42" t="n"/>
      <c r="H138" s="20" t="n"/>
      <c r="I138" s="20" t="n"/>
      <c r="J138" s="20" t="n"/>
    </row>
    <row r="139" ht="16.5" customFormat="1" customHeight="1" s="12">
      <c r="A139" s="17" t="n">
        <v>134</v>
      </c>
      <c r="B139" s="25" t="n"/>
      <c r="C139" s="141">
        <f>H139*I139</f>
        <v/>
      </c>
      <c r="D139" s="41" t="n"/>
      <c r="E139" s="41" t="n"/>
      <c r="F139" s="41" t="n"/>
      <c r="G139" s="42" t="n"/>
      <c r="H139" s="20" t="n"/>
      <c r="I139" s="20" t="n"/>
      <c r="J139" s="20" t="n"/>
    </row>
    <row r="140" ht="16.5" customFormat="1" customHeight="1" s="12">
      <c r="A140" s="17" t="n">
        <v>135</v>
      </c>
      <c r="B140" s="25" t="n"/>
      <c r="C140" s="141">
        <f>H140*I140</f>
        <v/>
      </c>
      <c r="D140" s="41" t="n"/>
      <c r="E140" s="41" t="n"/>
      <c r="F140" s="41" t="n"/>
      <c r="G140" s="42" t="n"/>
      <c r="H140" s="20" t="n"/>
      <c r="I140" s="20" t="n"/>
      <c r="J140" s="20" t="n"/>
    </row>
    <row r="141" ht="16.5" customFormat="1" customHeight="1" s="12">
      <c r="A141" s="17" t="n">
        <v>136</v>
      </c>
      <c r="B141" s="25" t="n"/>
      <c r="C141" s="141">
        <f>H141*I141</f>
        <v/>
      </c>
      <c r="D141" s="41" t="n"/>
      <c r="E141" s="41" t="n"/>
      <c r="F141" s="41" t="n"/>
      <c r="G141" s="42" t="n"/>
      <c r="H141" s="20" t="n"/>
      <c r="I141" s="20" t="n"/>
      <c r="J141" s="20" t="n"/>
    </row>
    <row r="142" ht="16.5" customFormat="1" customHeight="1" s="12">
      <c r="A142" s="17" t="n">
        <v>137</v>
      </c>
      <c r="B142" s="25" t="n"/>
      <c r="C142" s="141">
        <f>H142*I142</f>
        <v/>
      </c>
      <c r="D142" s="41" t="n"/>
      <c r="E142" s="41" t="n"/>
      <c r="F142" s="41" t="n"/>
      <c r="G142" s="42" t="n"/>
      <c r="H142" s="20" t="n"/>
      <c r="I142" s="20" t="n"/>
      <c r="J142" s="20" t="n"/>
    </row>
    <row r="143" ht="16.5" customFormat="1" customHeight="1" s="12">
      <c r="A143" s="17" t="n">
        <v>138</v>
      </c>
      <c r="B143" s="25" t="n"/>
      <c r="C143" s="141">
        <f>H143*I143</f>
        <v/>
      </c>
      <c r="D143" s="41" t="n"/>
      <c r="E143" s="41" t="n"/>
      <c r="F143" s="41" t="n"/>
      <c r="G143" s="42" t="n"/>
      <c r="H143" s="20" t="n"/>
      <c r="I143" s="20" t="n"/>
      <c r="J143" s="20" t="n"/>
    </row>
    <row r="144" ht="16.5" customFormat="1" customHeight="1" s="12">
      <c r="A144" s="17" t="n">
        <v>139</v>
      </c>
      <c r="B144" s="25" t="n"/>
      <c r="C144" s="141">
        <f>H144*I144</f>
        <v/>
      </c>
      <c r="D144" s="41" t="n"/>
      <c r="E144" s="41" t="n"/>
      <c r="F144" s="41" t="n"/>
      <c r="G144" s="42" t="n"/>
      <c r="H144" s="20" t="n"/>
      <c r="I144" s="20" t="n"/>
      <c r="J144" s="20" t="n"/>
    </row>
    <row r="145" ht="16.5" customFormat="1" customHeight="1" s="12">
      <c r="A145" s="17" t="n">
        <v>140</v>
      </c>
      <c r="B145" s="25" t="n"/>
      <c r="C145" s="141">
        <f>H145*I145</f>
        <v/>
      </c>
      <c r="D145" s="41" t="n"/>
      <c r="E145" s="41" t="n"/>
      <c r="F145" s="41" t="n"/>
      <c r="G145" s="42" t="n"/>
      <c r="H145" s="20" t="n"/>
      <c r="I145" s="20" t="n"/>
      <c r="J145" s="20" t="n"/>
    </row>
    <row r="146" ht="16.5" customFormat="1" customHeight="1" s="12">
      <c r="A146" s="17" t="n">
        <v>141</v>
      </c>
      <c r="B146" s="25" t="n"/>
      <c r="C146" s="141">
        <f>H146*I146</f>
        <v/>
      </c>
      <c r="D146" s="41" t="n"/>
      <c r="E146" s="41" t="n"/>
      <c r="F146" s="41" t="n"/>
      <c r="G146" s="42" t="n"/>
      <c r="H146" s="20" t="n"/>
      <c r="I146" s="20" t="n"/>
      <c r="J146" s="20" t="n"/>
    </row>
    <row r="147" ht="16.5" customFormat="1" customHeight="1" s="12">
      <c r="A147" s="17" t="n">
        <v>142</v>
      </c>
      <c r="B147" s="25" t="n"/>
      <c r="C147" s="141">
        <f>H147*I147</f>
        <v/>
      </c>
      <c r="D147" s="41" t="n"/>
      <c r="E147" s="41" t="n"/>
      <c r="F147" s="41" t="n"/>
      <c r="G147" s="42" t="n"/>
      <c r="H147" s="20" t="n"/>
      <c r="I147" s="20" t="n"/>
      <c r="J147" s="20" t="n"/>
    </row>
    <row r="148" ht="16.5" customFormat="1" customHeight="1" s="12">
      <c r="A148" s="17" t="n">
        <v>143</v>
      </c>
      <c r="B148" s="25" t="n"/>
      <c r="C148" s="141">
        <f>H148*I148</f>
        <v/>
      </c>
      <c r="D148" s="41" t="n"/>
      <c r="E148" s="41" t="n"/>
      <c r="F148" s="41" t="n"/>
      <c r="G148" s="42" t="n"/>
      <c r="H148" s="20" t="n"/>
      <c r="I148" s="20" t="n"/>
      <c r="J148" s="20" t="n"/>
    </row>
    <row r="149" ht="16.5" customFormat="1" customHeight="1" s="12">
      <c r="A149" s="17" t="n">
        <v>144</v>
      </c>
      <c r="B149" s="25" t="n"/>
      <c r="C149" s="141">
        <f>H149*I149</f>
        <v/>
      </c>
      <c r="D149" s="41" t="n"/>
      <c r="E149" s="41" t="n"/>
      <c r="F149" s="41" t="n"/>
      <c r="G149" s="42" t="n"/>
      <c r="H149" s="20" t="n"/>
      <c r="I149" s="20" t="n"/>
      <c r="J149" s="20" t="n"/>
    </row>
    <row r="150" ht="16.5" customFormat="1" customHeight="1" s="12">
      <c r="A150" s="17" t="n">
        <v>145</v>
      </c>
      <c r="B150" s="25" t="n"/>
      <c r="C150" s="141">
        <f>H150*I150</f>
        <v/>
      </c>
      <c r="D150" s="41" t="n"/>
      <c r="E150" s="41" t="n"/>
      <c r="F150" s="41" t="n"/>
      <c r="G150" s="42" t="n"/>
      <c r="H150" s="20" t="n"/>
      <c r="I150" s="20" t="n"/>
      <c r="J150" s="20" t="n"/>
    </row>
    <row r="151" ht="16.5" customFormat="1" customHeight="1" s="12">
      <c r="A151" s="17" t="n">
        <v>146</v>
      </c>
      <c r="B151" s="25" t="n"/>
      <c r="C151" s="141">
        <f>H151*I151</f>
        <v/>
      </c>
      <c r="D151" s="41" t="n"/>
      <c r="E151" s="41" t="n"/>
      <c r="F151" s="41" t="n"/>
      <c r="G151" s="42" t="n"/>
      <c r="H151" s="20" t="n"/>
      <c r="I151" s="20" t="n"/>
      <c r="J151" s="20" t="n"/>
    </row>
    <row r="152" ht="16.5" customFormat="1" customHeight="1" s="12">
      <c r="A152" s="17" t="n">
        <v>147</v>
      </c>
      <c r="B152" s="25" t="n"/>
      <c r="C152" s="141">
        <f>H152*I152</f>
        <v/>
      </c>
      <c r="D152" s="41" t="n"/>
      <c r="E152" s="41" t="n"/>
      <c r="F152" s="41" t="n"/>
      <c r="G152" s="42" t="n"/>
      <c r="H152" s="20" t="n"/>
      <c r="I152" s="20" t="n"/>
      <c r="J152" s="20" t="n"/>
    </row>
    <row r="153" ht="16.5" customFormat="1" customHeight="1" s="12">
      <c r="A153" s="17" t="n">
        <v>148</v>
      </c>
      <c r="B153" s="25" t="n"/>
      <c r="C153" s="141">
        <f>H153*I153</f>
        <v/>
      </c>
      <c r="D153" s="41" t="n"/>
      <c r="E153" s="41" t="n"/>
      <c r="F153" s="41" t="n"/>
      <c r="G153" s="42" t="n"/>
      <c r="H153" s="20" t="n"/>
      <c r="I153" s="20" t="n"/>
      <c r="J153" s="20" t="n"/>
    </row>
    <row r="154" ht="16.5" customFormat="1" customHeight="1" s="12">
      <c r="A154" s="17" t="n">
        <v>149</v>
      </c>
      <c r="B154" s="25" t="n"/>
      <c r="C154" s="141">
        <f>H154*I154</f>
        <v/>
      </c>
      <c r="D154" s="41" t="n"/>
      <c r="E154" s="41" t="n"/>
      <c r="F154" s="41" t="n"/>
      <c r="G154" s="42" t="n"/>
      <c r="H154" s="20" t="n"/>
      <c r="I154" s="20" t="n"/>
      <c r="J154" s="20" t="n"/>
    </row>
    <row r="155" ht="16.5" customFormat="1" customHeight="1" s="12">
      <c r="A155" s="17" t="n">
        <v>150</v>
      </c>
      <c r="B155" s="25" t="n"/>
      <c r="C155" s="141">
        <f>H155*I155</f>
        <v/>
      </c>
      <c r="D155" s="41" t="n"/>
      <c r="E155" s="41" t="n"/>
      <c r="F155" s="41" t="n"/>
      <c r="G155" s="42" t="n"/>
      <c r="H155" s="20" t="n"/>
      <c r="I155" s="20" t="n"/>
      <c r="J155" s="20" t="n"/>
    </row>
    <row r="156" ht="16.5" customFormat="1" customHeight="1" s="12">
      <c r="A156" s="17" t="n">
        <v>151</v>
      </c>
      <c r="B156" s="25" t="n"/>
      <c r="C156" s="141">
        <f>H156*I156</f>
        <v/>
      </c>
      <c r="D156" s="41" t="n"/>
      <c r="E156" s="41" t="n"/>
      <c r="F156" s="41" t="n"/>
      <c r="G156" s="42" t="n"/>
      <c r="H156" s="20" t="n"/>
      <c r="I156" s="20" t="n"/>
      <c r="J156" s="20" t="n"/>
    </row>
    <row r="157" ht="16.5" customFormat="1" customHeight="1" s="12">
      <c r="A157" s="17" t="n">
        <v>152</v>
      </c>
      <c r="B157" s="25" t="n"/>
      <c r="C157" s="141">
        <f>H157*I157</f>
        <v/>
      </c>
      <c r="D157" s="41" t="n"/>
      <c r="E157" s="41" t="n"/>
      <c r="F157" s="41" t="n"/>
      <c r="G157" s="42" t="n"/>
      <c r="H157" s="20" t="n"/>
      <c r="I157" s="20" t="n"/>
      <c r="J157" s="20" t="n"/>
    </row>
    <row r="158" ht="16.5" customFormat="1" customHeight="1" s="12">
      <c r="A158" s="17" t="n">
        <v>153</v>
      </c>
      <c r="B158" s="25" t="n"/>
      <c r="C158" s="141">
        <f>H158*I158</f>
        <v/>
      </c>
      <c r="D158" s="41" t="n"/>
      <c r="E158" s="41" t="n"/>
      <c r="F158" s="41" t="n"/>
      <c r="G158" s="42" t="n"/>
      <c r="H158" s="20" t="n"/>
      <c r="I158" s="20" t="n"/>
      <c r="J158" s="20" t="n"/>
    </row>
    <row r="159" ht="16.5" customFormat="1" customHeight="1" s="12">
      <c r="A159" s="17" t="n">
        <v>154</v>
      </c>
      <c r="B159" s="25" t="n"/>
      <c r="C159" s="141">
        <f>H159*I159</f>
        <v/>
      </c>
      <c r="D159" s="41" t="n"/>
      <c r="E159" s="41" t="n"/>
      <c r="F159" s="41" t="n"/>
      <c r="G159" s="42" t="n"/>
      <c r="H159" s="20" t="n"/>
      <c r="I159" s="20" t="n"/>
      <c r="J159" s="20" t="n"/>
    </row>
    <row r="160" ht="16.5" customFormat="1" customHeight="1" s="12">
      <c r="A160" s="17" t="n">
        <v>155</v>
      </c>
      <c r="B160" s="25" t="n"/>
      <c r="C160" s="141">
        <f>H160*I160</f>
        <v/>
      </c>
      <c r="D160" s="41" t="n"/>
      <c r="E160" s="41" t="n"/>
      <c r="F160" s="41" t="n"/>
      <c r="G160" s="42" t="n"/>
      <c r="H160" s="20" t="n"/>
      <c r="I160" s="20" t="n"/>
      <c r="J160" s="20" t="n"/>
    </row>
    <row r="161" ht="16.5" customFormat="1" customHeight="1" s="12">
      <c r="A161" s="17" t="n">
        <v>156</v>
      </c>
      <c r="B161" s="25" t="n"/>
      <c r="C161" s="141">
        <f>H161*I161</f>
        <v/>
      </c>
      <c r="D161" s="41" t="n"/>
      <c r="E161" s="41" t="n"/>
      <c r="F161" s="41" t="n"/>
      <c r="G161" s="42" t="n"/>
      <c r="H161" s="20" t="n"/>
      <c r="I161" s="20" t="n"/>
      <c r="J161" s="20" t="n"/>
    </row>
    <row r="162" ht="16.5" customFormat="1" customHeight="1" s="12">
      <c r="A162" s="17" t="n">
        <v>157</v>
      </c>
      <c r="B162" s="25" t="n"/>
      <c r="C162" s="141">
        <f>H162*I162</f>
        <v/>
      </c>
      <c r="D162" s="41" t="n"/>
      <c r="E162" s="41" t="n"/>
      <c r="F162" s="41" t="n"/>
      <c r="G162" s="42" t="n"/>
      <c r="H162" s="20" t="n"/>
      <c r="I162" s="20" t="n"/>
      <c r="J162" s="20" t="n"/>
    </row>
    <row r="163" ht="16.5" customFormat="1" customHeight="1" s="12">
      <c r="A163" s="17" t="n">
        <v>158</v>
      </c>
      <c r="B163" s="25" t="n"/>
      <c r="C163" s="141">
        <f>H163*I163</f>
        <v/>
      </c>
      <c r="D163" s="41" t="n"/>
      <c r="E163" s="41" t="n"/>
      <c r="F163" s="41" t="n"/>
      <c r="G163" s="42" t="n"/>
      <c r="H163" s="20" t="n"/>
      <c r="I163" s="20" t="n"/>
      <c r="J163" s="20" t="n"/>
    </row>
    <row r="164" ht="16.5" customFormat="1" customHeight="1" s="12">
      <c r="A164" s="17" t="n">
        <v>159</v>
      </c>
      <c r="B164" s="25" t="n"/>
      <c r="C164" s="141">
        <f>H164*I164</f>
        <v/>
      </c>
      <c r="D164" s="41" t="n"/>
      <c r="E164" s="41" t="n"/>
      <c r="F164" s="41" t="n"/>
      <c r="G164" s="42" t="n"/>
      <c r="H164" s="20" t="n"/>
      <c r="I164" s="20" t="n"/>
      <c r="J164" s="20" t="n"/>
    </row>
    <row r="165" ht="16.5" customFormat="1" customHeight="1" s="12">
      <c r="A165" s="17" t="n">
        <v>160</v>
      </c>
      <c r="B165" s="25" t="n"/>
      <c r="C165" s="141">
        <f>H165*I165</f>
        <v/>
      </c>
      <c r="D165" s="41" t="n"/>
      <c r="E165" s="41" t="n"/>
      <c r="F165" s="41" t="n"/>
      <c r="G165" s="42" t="n"/>
      <c r="H165" s="20" t="n"/>
      <c r="I165" s="20" t="n"/>
      <c r="J165" s="20" t="n"/>
    </row>
    <row r="166" ht="16.5" customFormat="1" customHeight="1" s="12">
      <c r="A166" s="17" t="n">
        <v>161</v>
      </c>
      <c r="B166" s="25" t="n"/>
      <c r="C166" s="141">
        <f>H166*I166</f>
        <v/>
      </c>
      <c r="D166" s="41" t="n"/>
      <c r="E166" s="41" t="n"/>
      <c r="F166" s="41" t="n"/>
      <c r="G166" s="42" t="n"/>
      <c r="H166" s="20" t="n"/>
      <c r="I166" s="20" t="n"/>
      <c r="J166" s="20" t="n"/>
    </row>
    <row r="167" ht="16.5" customFormat="1" customHeight="1" s="12">
      <c r="A167" s="17" t="n">
        <v>162</v>
      </c>
      <c r="B167" s="25" t="n"/>
      <c r="C167" s="141">
        <f>H167*I167</f>
        <v/>
      </c>
      <c r="D167" s="41" t="n"/>
      <c r="E167" s="41" t="n"/>
      <c r="F167" s="41" t="n"/>
      <c r="G167" s="42" t="n"/>
      <c r="H167" s="20" t="n"/>
      <c r="I167" s="20" t="n"/>
      <c r="J167" s="20" t="n"/>
    </row>
    <row r="168" ht="16.5" customFormat="1" customHeight="1" s="12">
      <c r="A168" s="17" t="n">
        <v>163</v>
      </c>
      <c r="B168" s="25" t="n"/>
      <c r="C168" s="141">
        <f>H168*I168</f>
        <v/>
      </c>
      <c r="D168" s="41" t="n"/>
      <c r="E168" s="41" t="n"/>
      <c r="F168" s="41" t="n"/>
      <c r="G168" s="42" t="n"/>
      <c r="H168" s="20" t="n"/>
      <c r="I168" s="20" t="n"/>
      <c r="J168" s="20" t="n"/>
    </row>
    <row r="169" ht="16.5" customFormat="1" customHeight="1" s="12">
      <c r="A169" s="17" t="n">
        <v>164</v>
      </c>
      <c r="B169" s="25" t="n"/>
      <c r="C169" s="141">
        <f>H169*I169</f>
        <v/>
      </c>
      <c r="D169" s="41" t="n"/>
      <c r="E169" s="41" t="n"/>
      <c r="F169" s="41" t="n"/>
      <c r="G169" s="42" t="n"/>
      <c r="H169" s="20" t="n"/>
      <c r="I169" s="20" t="n"/>
      <c r="J169" s="20" t="n"/>
    </row>
    <row r="170" ht="16.5" customFormat="1" customHeight="1" s="12">
      <c r="A170" s="17" t="n">
        <v>165</v>
      </c>
      <c r="B170" s="25" t="n"/>
      <c r="C170" s="141">
        <f>H170*I170</f>
        <v/>
      </c>
      <c r="D170" s="41" t="n"/>
      <c r="E170" s="41" t="n"/>
      <c r="F170" s="41" t="n"/>
      <c r="G170" s="42" t="n"/>
      <c r="H170" s="20" t="n"/>
      <c r="I170" s="20" t="n"/>
      <c r="J170" s="20" t="n"/>
    </row>
    <row r="171" ht="16.5" customFormat="1" customHeight="1" s="12">
      <c r="A171" s="17" t="n">
        <v>166</v>
      </c>
      <c r="B171" s="25" t="n"/>
      <c r="C171" s="141">
        <f>H171*I171</f>
        <v/>
      </c>
      <c r="D171" s="41" t="n"/>
      <c r="E171" s="41" t="n"/>
      <c r="F171" s="41" t="n"/>
      <c r="G171" s="42" t="n"/>
      <c r="H171" s="20" t="n"/>
      <c r="I171" s="20" t="n"/>
      <c r="J171" s="20" t="n"/>
    </row>
    <row r="172" ht="16.5" customFormat="1" customHeight="1" s="12">
      <c r="A172" s="17" t="n">
        <v>167</v>
      </c>
      <c r="B172" s="25" t="n"/>
      <c r="C172" s="141">
        <f>H172*I172</f>
        <v/>
      </c>
      <c r="D172" s="41" t="n"/>
      <c r="E172" s="41" t="n"/>
      <c r="F172" s="41" t="n"/>
      <c r="G172" s="42" t="n"/>
      <c r="H172" s="20" t="n"/>
      <c r="I172" s="20" t="n"/>
      <c r="J172" s="20" t="n"/>
    </row>
    <row r="173" ht="16.5" customFormat="1" customHeight="1" s="12">
      <c r="A173" s="17" t="n">
        <v>168</v>
      </c>
      <c r="B173" s="25" t="n"/>
      <c r="C173" s="141">
        <f>H173*I173</f>
        <v/>
      </c>
      <c r="D173" s="41" t="n"/>
      <c r="E173" s="41" t="n"/>
      <c r="F173" s="41" t="n"/>
      <c r="G173" s="42" t="n"/>
      <c r="H173" s="20" t="n"/>
      <c r="I173" s="20" t="n"/>
      <c r="J173" s="20" t="n"/>
    </row>
    <row r="174" ht="16.5" customFormat="1" customHeight="1" s="12">
      <c r="A174" s="17" t="n">
        <v>169</v>
      </c>
      <c r="B174" s="25" t="n"/>
      <c r="C174" s="141">
        <f>H174*I174</f>
        <v/>
      </c>
      <c r="D174" s="41" t="n"/>
      <c r="E174" s="41" t="n"/>
      <c r="F174" s="41" t="n"/>
      <c r="G174" s="42" t="n"/>
      <c r="H174" s="20" t="n"/>
      <c r="I174" s="20" t="n"/>
      <c r="J174" s="20" t="n"/>
    </row>
    <row r="175" ht="16.5" customFormat="1" customHeight="1" s="12">
      <c r="A175" s="17" t="n">
        <v>170</v>
      </c>
      <c r="B175" s="25" t="n"/>
      <c r="C175" s="141">
        <f>H175*I175</f>
        <v/>
      </c>
      <c r="D175" s="41" t="n"/>
      <c r="E175" s="41" t="n"/>
      <c r="F175" s="41" t="n"/>
      <c r="G175" s="42" t="n"/>
      <c r="H175" s="20" t="n"/>
      <c r="I175" s="20" t="n"/>
      <c r="J175" s="20" t="n"/>
    </row>
    <row r="176" ht="16.5" customFormat="1" customHeight="1" s="12">
      <c r="A176" s="17" t="n">
        <v>171</v>
      </c>
      <c r="B176" s="25" t="n"/>
      <c r="C176" s="141">
        <f>H176*I176</f>
        <v/>
      </c>
      <c r="D176" s="41" t="n"/>
      <c r="E176" s="41" t="n"/>
      <c r="F176" s="41" t="n"/>
      <c r="G176" s="42" t="n"/>
      <c r="H176" s="20" t="n"/>
      <c r="I176" s="20" t="n"/>
      <c r="J176" s="20" t="n"/>
    </row>
    <row r="177" ht="16.5" customFormat="1" customHeight="1" s="12">
      <c r="A177" s="17" t="n">
        <v>172</v>
      </c>
      <c r="B177" s="25" t="n"/>
      <c r="C177" s="141">
        <f>H177*I177</f>
        <v/>
      </c>
      <c r="D177" s="41" t="n"/>
      <c r="E177" s="41" t="n"/>
      <c r="F177" s="41" t="n"/>
      <c r="G177" s="42" t="n"/>
      <c r="H177" s="20" t="n"/>
      <c r="I177" s="20" t="n"/>
      <c r="J177" s="20" t="n"/>
    </row>
    <row r="178" ht="16.5" customFormat="1" customHeight="1" s="12">
      <c r="A178" s="17" t="n">
        <v>173</v>
      </c>
      <c r="B178" s="25" t="n"/>
      <c r="C178" s="141">
        <f>H178*I178</f>
        <v/>
      </c>
      <c r="D178" s="41" t="n"/>
      <c r="E178" s="41" t="n"/>
      <c r="F178" s="41" t="n"/>
      <c r="G178" s="42" t="n"/>
      <c r="H178" s="20" t="n"/>
      <c r="I178" s="20" t="n"/>
      <c r="J178" s="20" t="n"/>
    </row>
    <row r="179" ht="16.5" customFormat="1" customHeight="1" s="12">
      <c r="A179" s="17" t="n">
        <v>174</v>
      </c>
      <c r="B179" s="25" t="n"/>
      <c r="C179" s="141">
        <f>H179*I179</f>
        <v/>
      </c>
      <c r="D179" s="41" t="n"/>
      <c r="E179" s="41" t="n"/>
      <c r="F179" s="41" t="n"/>
      <c r="G179" s="42" t="n"/>
      <c r="H179" s="20" t="n"/>
      <c r="I179" s="20" t="n"/>
      <c r="J179" s="20" t="n"/>
    </row>
    <row r="180" ht="16.5" customFormat="1" customHeight="1" s="12">
      <c r="A180" s="17" t="n">
        <v>175</v>
      </c>
      <c r="B180" s="25" t="n"/>
      <c r="C180" s="141">
        <f>H180*I180</f>
        <v/>
      </c>
      <c r="D180" s="41" t="n"/>
      <c r="E180" s="41" t="n"/>
      <c r="F180" s="41" t="n"/>
      <c r="G180" s="42" t="n"/>
      <c r="H180" s="20" t="n"/>
      <c r="I180" s="20" t="n"/>
      <c r="J180" s="20" t="n"/>
    </row>
    <row r="181" ht="16.5" customFormat="1" customHeight="1" s="12">
      <c r="A181" s="17" t="n">
        <v>176</v>
      </c>
      <c r="B181" s="25" t="n"/>
      <c r="C181" s="141">
        <f>H181*I181</f>
        <v/>
      </c>
      <c r="D181" s="41" t="n"/>
      <c r="E181" s="41" t="n"/>
      <c r="F181" s="41" t="n"/>
      <c r="G181" s="42" t="n"/>
      <c r="H181" s="20" t="n"/>
      <c r="I181" s="20" t="n"/>
      <c r="J181" s="20" t="n"/>
    </row>
    <row r="182" ht="16.5" customFormat="1" customHeight="1" s="12">
      <c r="A182" s="17" t="n">
        <v>177</v>
      </c>
      <c r="B182" s="25" t="n"/>
      <c r="C182" s="141">
        <f>H182*I182</f>
        <v/>
      </c>
      <c r="D182" s="41" t="n"/>
      <c r="E182" s="41" t="n"/>
      <c r="F182" s="41" t="n"/>
      <c r="G182" s="42" t="n"/>
      <c r="H182" s="20" t="n"/>
      <c r="I182" s="20" t="n"/>
      <c r="J182" s="20" t="n"/>
    </row>
    <row r="183" ht="16.5" customFormat="1" customHeight="1" s="12">
      <c r="A183" s="17" t="n">
        <v>178</v>
      </c>
      <c r="B183" s="25" t="n"/>
      <c r="C183" s="141">
        <f>H183*I183</f>
        <v/>
      </c>
      <c r="D183" s="41" t="n"/>
      <c r="E183" s="41" t="n"/>
      <c r="F183" s="41" t="n"/>
      <c r="G183" s="42" t="n"/>
      <c r="H183" s="20" t="n"/>
      <c r="I183" s="20" t="n"/>
      <c r="J183" s="20" t="n"/>
    </row>
    <row r="184" ht="16.5" customFormat="1" customHeight="1" s="12">
      <c r="A184" s="17" t="n">
        <v>179</v>
      </c>
      <c r="B184" s="25" t="n"/>
      <c r="C184" s="141">
        <f>H184*I184</f>
        <v/>
      </c>
      <c r="D184" s="41" t="n"/>
      <c r="E184" s="41" t="n"/>
      <c r="F184" s="41" t="n"/>
      <c r="G184" s="42" t="n"/>
      <c r="H184" s="20" t="n"/>
      <c r="I184" s="20" t="n"/>
      <c r="J184" s="20" t="n"/>
    </row>
    <row r="185" ht="16.5" customFormat="1" customHeight="1" s="12">
      <c r="A185" s="17" t="n">
        <v>180</v>
      </c>
      <c r="B185" s="25" t="n"/>
      <c r="C185" s="141">
        <f>H185*I185</f>
        <v/>
      </c>
      <c r="D185" s="41" t="n"/>
      <c r="E185" s="41" t="n"/>
      <c r="F185" s="41" t="n"/>
      <c r="G185" s="42" t="n"/>
      <c r="H185" s="20" t="n"/>
      <c r="I185" s="20" t="n"/>
      <c r="J185" s="20" t="n"/>
    </row>
    <row r="186" ht="16.5" customFormat="1" customHeight="1" s="12">
      <c r="A186" s="17" t="n">
        <v>181</v>
      </c>
      <c r="B186" s="25" t="n"/>
      <c r="C186" s="141">
        <f>H186*I186</f>
        <v/>
      </c>
      <c r="D186" s="41" t="n"/>
      <c r="E186" s="41" t="n"/>
      <c r="F186" s="41" t="n"/>
      <c r="G186" s="42" t="n"/>
      <c r="H186" s="20" t="n"/>
      <c r="I186" s="20" t="n"/>
      <c r="J186" s="20" t="n"/>
    </row>
    <row r="187" ht="16.5" customFormat="1" customHeight="1" s="12">
      <c r="A187" s="17" t="n">
        <v>182</v>
      </c>
      <c r="B187" s="25" t="n"/>
      <c r="C187" s="141">
        <f>H187*I187</f>
        <v/>
      </c>
      <c r="D187" s="41" t="n"/>
      <c r="E187" s="41" t="n"/>
      <c r="F187" s="41" t="n"/>
      <c r="G187" s="42" t="n"/>
      <c r="H187" s="20" t="n"/>
      <c r="I187" s="20" t="n"/>
      <c r="J187" s="20" t="n"/>
    </row>
    <row r="188" ht="16.5" customFormat="1" customHeight="1" s="12">
      <c r="A188" s="17" t="n">
        <v>183</v>
      </c>
      <c r="B188" s="25" t="n"/>
      <c r="C188" s="141">
        <f>H188*I188</f>
        <v/>
      </c>
      <c r="D188" s="41" t="n"/>
      <c r="E188" s="41" t="n"/>
      <c r="F188" s="41" t="n"/>
      <c r="G188" s="42" t="n"/>
      <c r="H188" s="20" t="n"/>
      <c r="I188" s="20" t="n"/>
      <c r="J188" s="20" t="n"/>
    </row>
    <row r="189" ht="16.5" customFormat="1" customHeight="1" s="12">
      <c r="A189" s="17" t="n">
        <v>184</v>
      </c>
      <c r="B189" s="25" t="n"/>
      <c r="C189" s="141">
        <f>H189*I189</f>
        <v/>
      </c>
      <c r="D189" s="41" t="n"/>
      <c r="E189" s="41" t="n"/>
      <c r="F189" s="41" t="n"/>
      <c r="G189" s="42" t="n"/>
      <c r="H189" s="20" t="n"/>
      <c r="I189" s="20" t="n"/>
      <c r="J189" s="20" t="n"/>
    </row>
    <row r="190" ht="16.5" customFormat="1" customHeight="1" s="12">
      <c r="A190" s="17" t="n">
        <v>185</v>
      </c>
      <c r="B190" s="25" t="n"/>
      <c r="C190" s="141">
        <f>H190*I190</f>
        <v/>
      </c>
      <c r="D190" s="41" t="n"/>
      <c r="E190" s="41" t="n"/>
      <c r="F190" s="41" t="n"/>
      <c r="G190" s="42" t="n"/>
      <c r="H190" s="20" t="n"/>
      <c r="I190" s="20" t="n"/>
      <c r="J190" s="20" t="n"/>
    </row>
    <row r="191" ht="16.5" customFormat="1" customHeight="1" s="12">
      <c r="A191" s="17" t="n">
        <v>186</v>
      </c>
      <c r="B191" s="25" t="n"/>
      <c r="C191" s="141">
        <f>H191*I191</f>
        <v/>
      </c>
      <c r="D191" s="41" t="n"/>
      <c r="E191" s="41" t="n"/>
      <c r="F191" s="41" t="n"/>
      <c r="G191" s="42" t="n"/>
      <c r="H191" s="20" t="n"/>
      <c r="I191" s="20" t="n"/>
      <c r="J191" s="20" t="n"/>
    </row>
    <row r="192" ht="16.5" customFormat="1" customHeight="1" s="12">
      <c r="A192" s="17" t="n">
        <v>187</v>
      </c>
      <c r="B192" s="25" t="n"/>
      <c r="C192" s="141">
        <f>H192*I192</f>
        <v/>
      </c>
      <c r="D192" s="41" t="n"/>
      <c r="E192" s="41" t="n"/>
      <c r="F192" s="41" t="n"/>
      <c r="G192" s="42" t="n"/>
      <c r="H192" s="20" t="n"/>
      <c r="I192" s="20" t="n"/>
      <c r="J192" s="20" t="n"/>
    </row>
    <row r="193" ht="16.5" customFormat="1" customHeight="1" s="12">
      <c r="A193" s="17" t="n">
        <v>188</v>
      </c>
      <c r="B193" s="25" t="n"/>
      <c r="C193" s="141">
        <f>H193*I193</f>
        <v/>
      </c>
      <c r="D193" s="41" t="n"/>
      <c r="E193" s="41" t="n"/>
      <c r="F193" s="41" t="n"/>
      <c r="G193" s="42" t="n"/>
      <c r="H193" s="20" t="n"/>
      <c r="I193" s="20" t="n"/>
      <c r="J193" s="20" t="n"/>
    </row>
    <row r="194" ht="16.5" customFormat="1" customHeight="1" s="12">
      <c r="A194" s="17" t="n">
        <v>189</v>
      </c>
      <c r="B194" s="25" t="n"/>
      <c r="C194" s="141">
        <f>H194*I194</f>
        <v/>
      </c>
      <c r="D194" s="41" t="n"/>
      <c r="E194" s="41" t="n"/>
      <c r="F194" s="41" t="n"/>
      <c r="G194" s="42" t="n"/>
      <c r="H194" s="20" t="n"/>
      <c r="I194" s="20" t="n"/>
      <c r="J194" s="20" t="n"/>
    </row>
    <row r="195" ht="16.5" customFormat="1" customHeight="1" s="12">
      <c r="A195" s="17" t="n">
        <v>190</v>
      </c>
      <c r="B195" s="25" t="n"/>
      <c r="C195" s="141">
        <f>H195*I195</f>
        <v/>
      </c>
      <c r="D195" s="41" t="n"/>
      <c r="E195" s="41" t="n"/>
      <c r="F195" s="41" t="n"/>
      <c r="G195" s="42" t="n"/>
      <c r="H195" s="20" t="n"/>
      <c r="I195" s="20" t="n"/>
      <c r="J195" s="20" t="n"/>
    </row>
    <row r="196" ht="16.5" customFormat="1" customHeight="1" s="12">
      <c r="A196" s="17" t="n">
        <v>191</v>
      </c>
      <c r="B196" s="25" t="n"/>
      <c r="C196" s="141">
        <f>H196*I196</f>
        <v/>
      </c>
      <c r="D196" s="41" t="n"/>
      <c r="E196" s="41" t="n"/>
      <c r="F196" s="41" t="n"/>
      <c r="G196" s="42" t="n"/>
      <c r="H196" s="20" t="n"/>
      <c r="I196" s="20" t="n"/>
      <c r="J196" s="20" t="n"/>
    </row>
    <row r="197" ht="16.5" customFormat="1" customHeight="1" s="12">
      <c r="A197" s="17" t="n">
        <v>192</v>
      </c>
      <c r="B197" s="25" t="n"/>
      <c r="C197" s="141">
        <f>H197*I197</f>
        <v/>
      </c>
      <c r="D197" s="41" t="n"/>
      <c r="E197" s="41" t="n"/>
      <c r="F197" s="41" t="n"/>
      <c r="G197" s="42" t="n"/>
      <c r="H197" s="20" t="n"/>
      <c r="I197" s="20" t="n"/>
      <c r="J197" s="20" t="n"/>
    </row>
    <row r="198" ht="16.5" customFormat="1" customHeight="1" s="12">
      <c r="A198" s="17" t="n">
        <v>193</v>
      </c>
      <c r="B198" s="25" t="n"/>
      <c r="C198" s="141">
        <f>H198*I198</f>
        <v/>
      </c>
      <c r="D198" s="41" t="n"/>
      <c r="E198" s="41" t="n"/>
      <c r="F198" s="41" t="n"/>
      <c r="G198" s="42" t="n"/>
      <c r="H198" s="20" t="n"/>
      <c r="I198" s="20" t="n"/>
      <c r="J198" s="20" t="n"/>
    </row>
    <row r="199" ht="16.5" customFormat="1" customHeight="1" s="12">
      <c r="A199" s="17" t="n">
        <v>194</v>
      </c>
      <c r="B199" s="25" t="n"/>
      <c r="C199" s="141">
        <f>H199*I199</f>
        <v/>
      </c>
      <c r="D199" s="41" t="n"/>
      <c r="E199" s="41" t="n"/>
      <c r="F199" s="41" t="n"/>
      <c r="G199" s="42" t="n"/>
      <c r="H199" s="20" t="n"/>
      <c r="I199" s="20" t="n"/>
      <c r="J199" s="20" t="n"/>
    </row>
    <row r="200" ht="16.5" customFormat="1" customHeight="1" s="12">
      <c r="A200" s="17" t="n">
        <v>195</v>
      </c>
      <c r="B200" s="25" t="n"/>
      <c r="C200" s="141">
        <f>H200*I200</f>
        <v/>
      </c>
      <c r="D200" s="41" t="n"/>
      <c r="E200" s="41" t="n"/>
      <c r="F200" s="41" t="n"/>
      <c r="G200" s="42" t="n"/>
      <c r="H200" s="20" t="n"/>
      <c r="I200" s="20" t="n"/>
      <c r="J200" s="20" t="n"/>
    </row>
    <row r="201" ht="16.5" customFormat="1" customHeight="1" s="12">
      <c r="A201" s="17" t="n">
        <v>196</v>
      </c>
      <c r="B201" s="25" t="n"/>
      <c r="C201" s="141">
        <f>H201*I201</f>
        <v/>
      </c>
      <c r="D201" s="41" t="n"/>
      <c r="E201" s="41" t="n"/>
      <c r="F201" s="41" t="n"/>
      <c r="G201" s="42" t="n"/>
      <c r="H201" s="20" t="n"/>
      <c r="I201" s="20" t="n"/>
      <c r="J201" s="20" t="n"/>
    </row>
    <row r="202" ht="16.5" customFormat="1" customHeight="1" s="12">
      <c r="A202" s="17" t="n">
        <v>197</v>
      </c>
      <c r="B202" s="25" t="n"/>
      <c r="C202" s="141">
        <f>H202*I202</f>
        <v/>
      </c>
      <c r="D202" s="41" t="n"/>
      <c r="E202" s="41" t="n"/>
      <c r="F202" s="41" t="n"/>
      <c r="G202" s="42" t="n"/>
      <c r="H202" s="20" t="n"/>
      <c r="I202" s="20" t="n"/>
      <c r="J202" s="20" t="n"/>
    </row>
    <row r="203" ht="16.5" customFormat="1" customHeight="1" s="12">
      <c r="A203" s="17" t="n">
        <v>198</v>
      </c>
      <c r="B203" s="25" t="n"/>
      <c r="C203" s="141">
        <f>H203*I203</f>
        <v/>
      </c>
      <c r="D203" s="41" t="n"/>
      <c r="E203" s="41" t="n"/>
      <c r="F203" s="41" t="n"/>
      <c r="G203" s="42" t="n"/>
      <c r="H203" s="20" t="n"/>
      <c r="I203" s="20" t="n"/>
      <c r="J203" s="20" t="n"/>
    </row>
    <row r="204" ht="16.5" customFormat="1" customHeight="1" s="12">
      <c r="A204" s="17" t="n">
        <v>199</v>
      </c>
      <c r="B204" s="25" t="n"/>
      <c r="C204" s="141">
        <f>H204*I204</f>
        <v/>
      </c>
      <c r="D204" s="41" t="n"/>
      <c r="E204" s="41" t="n"/>
      <c r="F204" s="41" t="n"/>
      <c r="G204" s="42" t="n"/>
      <c r="H204" s="20" t="n"/>
      <c r="I204" s="20" t="n"/>
      <c r="J204" s="20" t="n"/>
    </row>
    <row r="205" ht="16.5" customFormat="1" customHeight="1" s="12">
      <c r="A205" s="17" t="n">
        <v>200</v>
      </c>
      <c r="B205" s="25" t="n"/>
      <c r="C205" s="141">
        <f>H205*I205</f>
        <v/>
      </c>
      <c r="D205" s="41" t="n"/>
      <c r="E205" s="41" t="n"/>
      <c r="F205" s="41" t="n"/>
      <c r="G205" s="42" t="n"/>
      <c r="H205" s="20" t="n"/>
      <c r="I205" s="20" t="n"/>
      <c r="J205" s="20" t="n"/>
    </row>
    <row r="206" ht="16.5" customFormat="1" customHeight="1" s="12">
      <c r="A206" s="17" t="n">
        <v>201</v>
      </c>
      <c r="B206" s="25" t="n"/>
      <c r="C206" s="141">
        <f>H206*I206</f>
        <v/>
      </c>
      <c r="D206" s="41" t="n"/>
      <c r="E206" s="41" t="n"/>
      <c r="F206" s="41" t="n"/>
      <c r="G206" s="42" t="n"/>
      <c r="H206" s="20" t="n"/>
      <c r="I206" s="20" t="n"/>
      <c r="J206" s="20" t="n"/>
    </row>
    <row r="207" ht="16.5" customFormat="1" customHeight="1" s="12">
      <c r="A207" s="17" t="n">
        <v>202</v>
      </c>
      <c r="B207" s="25" t="n"/>
      <c r="C207" s="141">
        <f>H207*I207</f>
        <v/>
      </c>
      <c r="D207" s="41" t="n"/>
      <c r="E207" s="41" t="n"/>
      <c r="F207" s="41" t="n"/>
      <c r="G207" s="42" t="n"/>
      <c r="H207" s="20" t="n"/>
      <c r="I207" s="20" t="n"/>
      <c r="J207" s="20" t="n"/>
    </row>
    <row r="208" ht="16.5" customFormat="1" customHeight="1" s="12">
      <c r="A208" s="17" t="n">
        <v>203</v>
      </c>
      <c r="B208" s="25" t="n"/>
      <c r="C208" s="141">
        <f>H208*I208</f>
        <v/>
      </c>
      <c r="D208" s="41" t="n"/>
      <c r="E208" s="41" t="n"/>
      <c r="F208" s="41" t="n"/>
      <c r="G208" s="42" t="n"/>
      <c r="H208" s="20" t="n"/>
      <c r="I208" s="20" t="n"/>
      <c r="J208" s="20" t="n"/>
    </row>
    <row r="209" ht="16.5" customFormat="1" customHeight="1" s="12">
      <c r="A209" s="17" t="n">
        <v>204</v>
      </c>
      <c r="B209" s="25" t="n"/>
      <c r="C209" s="141">
        <f>H209*I209</f>
        <v/>
      </c>
      <c r="D209" s="41" t="n"/>
      <c r="E209" s="41" t="n"/>
      <c r="F209" s="41" t="n"/>
      <c r="G209" s="42" t="n"/>
      <c r="H209" s="20" t="n"/>
      <c r="I209" s="20" t="n"/>
      <c r="J209" s="20" t="n"/>
    </row>
    <row r="210" ht="16.5" customFormat="1" customHeight="1" s="12">
      <c r="A210" s="17" t="n">
        <v>205</v>
      </c>
      <c r="B210" s="25" t="n"/>
      <c r="C210" s="141">
        <f>H210*I210</f>
        <v/>
      </c>
      <c r="D210" s="41" t="n"/>
      <c r="E210" s="41" t="n"/>
      <c r="F210" s="41" t="n"/>
      <c r="G210" s="42" t="n"/>
      <c r="H210" s="20" t="n"/>
      <c r="I210" s="20" t="n"/>
      <c r="J210" s="20" t="n"/>
    </row>
    <row r="211" ht="16.5" customFormat="1" customHeight="1" s="12">
      <c r="A211" s="17" t="n">
        <v>206</v>
      </c>
      <c r="B211" s="25" t="n"/>
      <c r="C211" s="141">
        <f>H211*I211</f>
        <v/>
      </c>
      <c r="D211" s="41" t="n"/>
      <c r="E211" s="41" t="n"/>
      <c r="F211" s="41" t="n"/>
      <c r="G211" s="42" t="n"/>
      <c r="H211" s="20" t="n"/>
      <c r="I211" s="20" t="n"/>
      <c r="J211" s="20" t="n"/>
    </row>
    <row r="212" ht="16.5" customFormat="1" customHeight="1" s="12">
      <c r="A212" s="17" t="n">
        <v>207</v>
      </c>
      <c r="B212" s="25" t="n"/>
      <c r="C212" s="141">
        <f>H212*I212</f>
        <v/>
      </c>
      <c r="D212" s="41" t="n"/>
      <c r="E212" s="41" t="n"/>
      <c r="F212" s="41" t="n"/>
      <c r="G212" s="42" t="n"/>
      <c r="H212" s="20" t="n"/>
      <c r="I212" s="20" t="n"/>
      <c r="J212" s="20" t="n"/>
    </row>
    <row r="213" ht="16.5" customFormat="1" customHeight="1" s="12">
      <c r="A213" s="17" t="n">
        <v>208</v>
      </c>
      <c r="B213" s="25" t="n"/>
      <c r="C213" s="141">
        <f>H213*I213</f>
        <v/>
      </c>
      <c r="D213" s="41" t="n"/>
      <c r="E213" s="41" t="n"/>
      <c r="F213" s="41" t="n"/>
      <c r="G213" s="42" t="n"/>
      <c r="H213" s="20" t="n"/>
      <c r="I213" s="20" t="n"/>
      <c r="J213" s="20" t="n"/>
    </row>
    <row r="214" ht="16.5" customFormat="1" customHeight="1" s="12">
      <c r="A214" s="17" t="n">
        <v>209</v>
      </c>
      <c r="B214" s="25" t="n"/>
      <c r="C214" s="141">
        <f>H214*I214</f>
        <v/>
      </c>
      <c r="D214" s="41" t="n"/>
      <c r="E214" s="41" t="n"/>
      <c r="F214" s="41" t="n"/>
      <c r="G214" s="42" t="n"/>
      <c r="H214" s="20" t="n"/>
      <c r="I214" s="20" t="n"/>
      <c r="J214" s="20" t="n"/>
    </row>
    <row r="215" ht="16.5" customFormat="1" customHeight="1" s="12">
      <c r="A215" s="17" t="n">
        <v>210</v>
      </c>
      <c r="B215" s="25" t="n"/>
      <c r="C215" s="141">
        <f>H215*I215</f>
        <v/>
      </c>
      <c r="D215" s="41" t="n"/>
      <c r="E215" s="41" t="n"/>
      <c r="F215" s="41" t="n"/>
      <c r="G215" s="42" t="n"/>
      <c r="H215" s="20" t="n"/>
      <c r="I215" s="20" t="n"/>
      <c r="J215" s="20" t="n"/>
    </row>
    <row r="216" ht="16.5" customFormat="1" customHeight="1" s="12">
      <c r="A216" s="17" t="n">
        <v>211</v>
      </c>
      <c r="B216" s="25" t="n"/>
      <c r="C216" s="141">
        <f>H216*I216</f>
        <v/>
      </c>
      <c r="D216" s="41" t="n"/>
      <c r="E216" s="41" t="n"/>
      <c r="F216" s="41" t="n"/>
      <c r="G216" s="42" t="n"/>
      <c r="H216" s="20" t="n"/>
      <c r="I216" s="20" t="n"/>
      <c r="J216" s="20" t="n"/>
    </row>
    <row r="217" ht="16.5" customFormat="1" customHeight="1" s="12">
      <c r="A217" s="17" t="n">
        <v>212</v>
      </c>
      <c r="B217" s="25" t="n"/>
      <c r="C217" s="141">
        <f>H217*I217</f>
        <v/>
      </c>
      <c r="D217" s="41" t="n"/>
      <c r="E217" s="41" t="n"/>
      <c r="F217" s="41" t="n"/>
      <c r="G217" s="42" t="n"/>
      <c r="H217" s="20" t="n"/>
      <c r="I217" s="20" t="n"/>
      <c r="J217" s="20" t="n"/>
    </row>
    <row r="218" ht="16.5" customFormat="1" customHeight="1" s="12">
      <c r="A218" s="17" t="n">
        <v>213</v>
      </c>
      <c r="B218" s="25" t="n"/>
      <c r="C218" s="141">
        <f>H218*I218</f>
        <v/>
      </c>
      <c r="D218" s="41" t="n"/>
      <c r="E218" s="41" t="n"/>
      <c r="F218" s="41" t="n"/>
      <c r="G218" s="42" t="n"/>
      <c r="H218" s="20" t="n"/>
      <c r="I218" s="20" t="n"/>
      <c r="J218" s="20" t="n"/>
    </row>
    <row r="219" ht="16.5" customFormat="1" customHeight="1" s="12">
      <c r="A219" s="17" t="n">
        <v>214</v>
      </c>
      <c r="B219" s="25" t="n"/>
      <c r="C219" s="141">
        <f>H219*I219</f>
        <v/>
      </c>
      <c r="D219" s="41" t="n"/>
      <c r="E219" s="41" t="n"/>
      <c r="F219" s="41" t="n"/>
      <c r="G219" s="42" t="n"/>
      <c r="H219" s="20" t="n"/>
      <c r="I219" s="20" t="n"/>
      <c r="J219" s="20" t="n"/>
    </row>
    <row r="220" ht="16.5" customFormat="1" customHeight="1" s="12">
      <c r="A220" s="17" t="n">
        <v>215</v>
      </c>
      <c r="B220" s="25" t="n"/>
      <c r="C220" s="141">
        <f>H220*I220</f>
        <v/>
      </c>
      <c r="D220" s="41" t="n"/>
      <c r="E220" s="41" t="n"/>
      <c r="F220" s="41" t="n"/>
      <c r="G220" s="42" t="n"/>
      <c r="H220" s="20" t="n"/>
      <c r="I220" s="20" t="n"/>
      <c r="J220" s="20" t="n"/>
    </row>
    <row r="221" ht="16.5" customFormat="1" customHeight="1" s="12">
      <c r="A221" s="17" t="n">
        <v>216</v>
      </c>
      <c r="B221" s="25" t="n"/>
      <c r="C221" s="141">
        <f>H221*I221</f>
        <v/>
      </c>
      <c r="D221" s="41" t="n"/>
      <c r="E221" s="41" t="n"/>
      <c r="F221" s="41" t="n"/>
      <c r="G221" s="42" t="n"/>
      <c r="H221" s="20" t="n"/>
      <c r="I221" s="20" t="n"/>
      <c r="J221" s="20" t="n"/>
    </row>
    <row r="222" ht="16.5" customFormat="1" customHeight="1" s="12">
      <c r="A222" s="17" t="n">
        <v>217</v>
      </c>
      <c r="B222" s="25" t="n"/>
      <c r="C222" s="141">
        <f>H222*I222</f>
        <v/>
      </c>
      <c r="D222" s="41" t="n"/>
      <c r="E222" s="41" t="n"/>
      <c r="F222" s="41" t="n"/>
      <c r="G222" s="42" t="n"/>
      <c r="H222" s="20" t="n"/>
      <c r="I222" s="20" t="n"/>
      <c r="J222" s="20" t="n"/>
    </row>
    <row r="223" ht="16.5" customFormat="1" customHeight="1" s="12">
      <c r="A223" s="17" t="n">
        <v>218</v>
      </c>
      <c r="B223" s="25" t="n"/>
      <c r="C223" s="141">
        <f>H223*I223</f>
        <v/>
      </c>
      <c r="D223" s="41" t="n"/>
      <c r="E223" s="41" t="n"/>
      <c r="F223" s="41" t="n"/>
      <c r="G223" s="42" t="n"/>
      <c r="H223" s="20" t="n"/>
      <c r="I223" s="20" t="n"/>
      <c r="J223" s="20" t="n"/>
    </row>
    <row r="224" ht="16.5" customFormat="1" customHeight="1" s="12">
      <c r="A224" s="17" t="n">
        <v>219</v>
      </c>
      <c r="B224" s="25" t="n"/>
      <c r="C224" s="141">
        <f>H224*I224</f>
        <v/>
      </c>
      <c r="D224" s="41" t="n"/>
      <c r="E224" s="41" t="n"/>
      <c r="F224" s="41" t="n"/>
      <c r="G224" s="42" t="n"/>
      <c r="H224" s="20" t="n"/>
      <c r="I224" s="20" t="n"/>
      <c r="J224" s="20" t="n"/>
    </row>
    <row r="225" ht="16.5" customFormat="1" customHeight="1" s="12">
      <c r="A225" s="17" t="n">
        <v>220</v>
      </c>
      <c r="B225" s="25" t="n"/>
      <c r="C225" s="141">
        <f>H225*I225</f>
        <v/>
      </c>
      <c r="D225" s="41" t="n"/>
      <c r="E225" s="41" t="n"/>
      <c r="F225" s="41" t="n"/>
      <c r="G225" s="42" t="n"/>
      <c r="H225" s="20" t="n"/>
      <c r="I225" s="20" t="n"/>
      <c r="J225" s="20" t="n"/>
    </row>
    <row r="226" ht="16.5" customFormat="1" customHeight="1" s="12">
      <c r="A226" s="17" t="n">
        <v>221</v>
      </c>
      <c r="B226" s="25" t="n"/>
      <c r="C226" s="141">
        <f>H226*I226</f>
        <v/>
      </c>
      <c r="D226" s="41" t="n"/>
      <c r="E226" s="41" t="n"/>
      <c r="F226" s="41" t="n"/>
      <c r="G226" s="42" t="n"/>
      <c r="H226" s="20" t="n"/>
      <c r="I226" s="20" t="n"/>
      <c r="J226" s="20" t="n"/>
    </row>
    <row r="227" ht="16.5" customFormat="1" customHeight="1" s="12">
      <c r="A227" s="17" t="n">
        <v>222</v>
      </c>
      <c r="B227" s="25" t="n"/>
      <c r="C227" s="141">
        <f>H227*I227</f>
        <v/>
      </c>
      <c r="D227" s="41" t="n"/>
      <c r="E227" s="41" t="n"/>
      <c r="F227" s="41" t="n"/>
      <c r="G227" s="42" t="n"/>
      <c r="H227" s="20" t="n"/>
      <c r="I227" s="20" t="n"/>
      <c r="J227" s="20" t="n"/>
    </row>
    <row r="228" ht="16.5" customFormat="1" customHeight="1" s="12">
      <c r="A228" s="17" t="n">
        <v>223</v>
      </c>
      <c r="B228" s="25" t="n"/>
      <c r="C228" s="141">
        <f>H228*I228</f>
        <v/>
      </c>
      <c r="D228" s="41" t="n"/>
      <c r="E228" s="41" t="n"/>
      <c r="F228" s="41" t="n"/>
      <c r="G228" s="42" t="n"/>
      <c r="H228" s="20" t="n"/>
      <c r="I228" s="20" t="n"/>
      <c r="J228" s="20" t="n"/>
    </row>
    <row r="229" ht="16.5" customFormat="1" customHeight="1" s="12">
      <c r="A229" s="17" t="n">
        <v>224</v>
      </c>
      <c r="B229" s="25" t="n"/>
      <c r="C229" s="141">
        <f>H229*I229</f>
        <v/>
      </c>
      <c r="D229" s="41" t="n"/>
      <c r="E229" s="41" t="n"/>
      <c r="F229" s="41" t="n"/>
      <c r="G229" s="42" t="n"/>
      <c r="H229" s="20" t="n"/>
      <c r="I229" s="20" t="n"/>
      <c r="J229" s="20" t="n"/>
    </row>
    <row r="230" ht="16.5" customFormat="1" customHeight="1" s="12">
      <c r="A230" s="17" t="n">
        <v>225</v>
      </c>
      <c r="B230" s="25" t="n"/>
      <c r="C230" s="141">
        <f>H230*I230</f>
        <v/>
      </c>
      <c r="D230" s="41" t="n"/>
      <c r="E230" s="41" t="n"/>
      <c r="F230" s="41" t="n"/>
      <c r="G230" s="42" t="n"/>
      <c r="H230" s="20" t="n"/>
      <c r="I230" s="20" t="n"/>
      <c r="J230" s="20" t="n"/>
    </row>
    <row r="231" ht="16.5" customFormat="1" customHeight="1" s="12">
      <c r="A231" s="17" t="n">
        <v>226</v>
      </c>
      <c r="B231" s="25" t="n"/>
      <c r="C231" s="141">
        <f>H231*I231</f>
        <v/>
      </c>
      <c r="D231" s="41" t="n"/>
      <c r="E231" s="41" t="n"/>
      <c r="F231" s="41" t="n"/>
      <c r="G231" s="42" t="n"/>
      <c r="H231" s="20" t="n"/>
      <c r="I231" s="20" t="n"/>
      <c r="J231" s="20" t="n"/>
    </row>
    <row r="232" ht="16.5" customFormat="1" customHeight="1" s="12">
      <c r="A232" s="17" t="n">
        <v>227</v>
      </c>
      <c r="B232" s="25" t="n"/>
      <c r="C232" s="141">
        <f>H232*I232</f>
        <v/>
      </c>
      <c r="D232" s="41" t="n"/>
      <c r="E232" s="41" t="n"/>
      <c r="F232" s="41" t="n"/>
      <c r="G232" s="42" t="n"/>
      <c r="H232" s="20" t="n"/>
      <c r="I232" s="20" t="n"/>
      <c r="J232" s="20" t="n"/>
    </row>
    <row r="233" ht="16.5" customFormat="1" customHeight="1" s="12">
      <c r="A233" s="17" t="n">
        <v>228</v>
      </c>
      <c r="B233" s="25" t="n"/>
      <c r="C233" s="141">
        <f>H233*I233</f>
        <v/>
      </c>
      <c r="D233" s="41" t="n"/>
      <c r="E233" s="41" t="n"/>
      <c r="F233" s="41" t="n"/>
      <c r="G233" s="42" t="n"/>
      <c r="H233" s="20" t="n"/>
      <c r="I233" s="20" t="n"/>
      <c r="J233" s="20" t="n"/>
    </row>
    <row r="234" ht="16.5" customFormat="1" customHeight="1" s="12">
      <c r="A234" s="17" t="n">
        <v>229</v>
      </c>
      <c r="B234" s="25" t="n"/>
      <c r="C234" s="141">
        <f>H234*I234</f>
        <v/>
      </c>
      <c r="D234" s="41" t="n"/>
      <c r="E234" s="41" t="n"/>
      <c r="F234" s="41" t="n"/>
      <c r="G234" s="42" t="n"/>
      <c r="H234" s="20" t="n"/>
      <c r="I234" s="20" t="n"/>
      <c r="J234" s="20" t="n"/>
    </row>
    <row r="235" ht="16.5" customFormat="1" customHeight="1" s="12">
      <c r="A235" s="17" t="n">
        <v>230</v>
      </c>
      <c r="B235" s="25" t="n"/>
      <c r="C235" s="141">
        <f>H235*I235</f>
        <v/>
      </c>
      <c r="D235" s="41" t="n"/>
      <c r="E235" s="41" t="n"/>
      <c r="F235" s="41" t="n"/>
      <c r="G235" s="42" t="n"/>
      <c r="H235" s="20" t="n"/>
      <c r="I235" s="20" t="n"/>
      <c r="J235" s="20" t="n"/>
    </row>
    <row r="236" ht="16.5" customFormat="1" customHeight="1" s="12">
      <c r="A236" s="17" t="n">
        <v>231</v>
      </c>
      <c r="B236" s="25" t="n"/>
      <c r="C236" s="141">
        <f>H236*I236</f>
        <v/>
      </c>
      <c r="D236" s="41" t="n"/>
      <c r="E236" s="41" t="n"/>
      <c r="F236" s="41" t="n"/>
      <c r="G236" s="42" t="n"/>
      <c r="H236" s="20" t="n"/>
      <c r="I236" s="20" t="n"/>
      <c r="J236" s="20" t="n"/>
    </row>
    <row r="237" ht="16.5" customFormat="1" customHeight="1" s="12">
      <c r="A237" s="17" t="n">
        <v>232</v>
      </c>
      <c r="B237" s="25" t="n"/>
      <c r="C237" s="141">
        <f>H237*I237</f>
        <v/>
      </c>
      <c r="D237" s="41" t="n"/>
      <c r="E237" s="41" t="n"/>
      <c r="F237" s="41" t="n"/>
      <c r="G237" s="42" t="n"/>
      <c r="H237" s="20" t="n"/>
      <c r="I237" s="20" t="n"/>
      <c r="J237" s="20" t="n"/>
    </row>
    <row r="238" ht="16.5" customFormat="1" customHeight="1" s="12">
      <c r="A238" s="17" t="n">
        <v>233</v>
      </c>
      <c r="B238" s="25" t="n"/>
      <c r="C238" s="141">
        <f>H238*I238</f>
        <v/>
      </c>
      <c r="D238" s="41" t="n"/>
      <c r="E238" s="41" t="n"/>
      <c r="F238" s="41" t="n"/>
      <c r="G238" s="42" t="n"/>
      <c r="H238" s="20" t="n"/>
      <c r="I238" s="20" t="n"/>
      <c r="J238" s="20" t="n"/>
    </row>
    <row r="239" ht="16.5" customFormat="1" customHeight="1" s="12">
      <c r="A239" s="17" t="n">
        <v>234</v>
      </c>
      <c r="B239" s="25" t="n"/>
      <c r="C239" s="141">
        <f>H239*I239</f>
        <v/>
      </c>
      <c r="D239" s="41" t="n"/>
      <c r="E239" s="41" t="n"/>
      <c r="F239" s="41" t="n"/>
      <c r="G239" s="42" t="n"/>
      <c r="H239" s="20" t="n"/>
      <c r="I239" s="20" t="n"/>
      <c r="J239" s="20" t="n"/>
    </row>
    <row r="240" ht="16.5" customFormat="1" customHeight="1" s="12">
      <c r="A240" s="17" t="n">
        <v>235</v>
      </c>
      <c r="B240" s="25" t="n"/>
      <c r="C240" s="141">
        <f>H240*I240</f>
        <v/>
      </c>
      <c r="D240" s="41" t="n"/>
      <c r="E240" s="41" t="n"/>
      <c r="F240" s="41" t="n"/>
      <c r="G240" s="42" t="n"/>
      <c r="H240" s="20" t="n"/>
      <c r="I240" s="20" t="n"/>
      <c r="J240" s="20" t="n"/>
    </row>
    <row r="241" ht="16.5" customFormat="1" customHeight="1" s="12">
      <c r="A241" s="17" t="n">
        <v>236</v>
      </c>
      <c r="B241" s="25" t="n"/>
      <c r="C241" s="141">
        <f>H241*I241</f>
        <v/>
      </c>
      <c r="D241" s="41" t="n"/>
      <c r="E241" s="41" t="n"/>
      <c r="F241" s="41" t="n"/>
      <c r="G241" s="42" t="n"/>
      <c r="H241" s="20" t="n"/>
      <c r="I241" s="20" t="n"/>
      <c r="J241" s="20" t="n"/>
    </row>
    <row r="242" ht="16.5" customFormat="1" customHeight="1" s="12">
      <c r="A242" s="17" t="n">
        <v>237</v>
      </c>
      <c r="B242" s="25" t="n"/>
      <c r="C242" s="141">
        <f>H242*I242</f>
        <v/>
      </c>
      <c r="D242" s="41" t="n"/>
      <c r="E242" s="41" t="n"/>
      <c r="F242" s="41" t="n"/>
      <c r="G242" s="42" t="n"/>
      <c r="H242" s="20" t="n"/>
      <c r="I242" s="20" t="n"/>
      <c r="J242" s="20" t="n"/>
    </row>
    <row r="243" ht="16.5" customFormat="1" customHeight="1" s="12">
      <c r="A243" s="17" t="n">
        <v>238</v>
      </c>
      <c r="B243" s="25" t="n"/>
      <c r="C243" s="141">
        <f>H243*I243</f>
        <v/>
      </c>
      <c r="D243" s="41" t="n"/>
      <c r="E243" s="41" t="n"/>
      <c r="F243" s="41" t="n"/>
      <c r="G243" s="42" t="n"/>
      <c r="H243" s="20" t="n"/>
      <c r="I243" s="20" t="n"/>
      <c r="J243" s="20" t="n"/>
    </row>
    <row r="244" ht="16.5" customFormat="1" customHeight="1" s="12">
      <c r="A244" s="17" t="n">
        <v>239</v>
      </c>
      <c r="B244" s="25" t="n"/>
      <c r="C244" s="141">
        <f>H244*I244</f>
        <v/>
      </c>
      <c r="D244" s="41" t="n"/>
      <c r="E244" s="41" t="n"/>
      <c r="F244" s="41" t="n"/>
      <c r="G244" s="42" t="n"/>
      <c r="H244" s="20" t="n"/>
      <c r="I244" s="20" t="n"/>
      <c r="J244" s="20" t="n"/>
    </row>
    <row r="245" ht="16.5" customFormat="1" customHeight="1" s="12">
      <c r="A245" s="17" t="n">
        <v>240</v>
      </c>
      <c r="B245" s="25" t="n"/>
      <c r="C245" s="141">
        <f>H245*I245</f>
        <v/>
      </c>
      <c r="D245" s="41" t="n"/>
      <c r="E245" s="41" t="n"/>
      <c r="F245" s="41" t="n"/>
      <c r="G245" s="42" t="n"/>
      <c r="H245" s="20" t="n"/>
      <c r="I245" s="20" t="n"/>
      <c r="J245" s="20" t="n"/>
    </row>
    <row r="246" ht="16.5" customFormat="1" customHeight="1" s="12">
      <c r="A246" s="17" t="n">
        <v>241</v>
      </c>
      <c r="B246" s="25" t="n"/>
      <c r="C246" s="141">
        <f>H246*I246</f>
        <v/>
      </c>
      <c r="D246" s="41" t="n"/>
      <c r="E246" s="41" t="n"/>
      <c r="F246" s="41" t="n"/>
      <c r="G246" s="42" t="n"/>
      <c r="H246" s="20" t="n"/>
      <c r="I246" s="20" t="n"/>
      <c r="J246" s="20" t="n"/>
    </row>
    <row r="247" ht="16.5" customFormat="1" customHeight="1" s="12">
      <c r="A247" s="17" t="n">
        <v>242</v>
      </c>
      <c r="B247" s="25" t="n"/>
      <c r="C247" s="141">
        <f>H247*I247</f>
        <v/>
      </c>
      <c r="D247" s="41" t="n"/>
      <c r="E247" s="41" t="n"/>
      <c r="F247" s="41" t="n"/>
      <c r="G247" s="42" t="n"/>
      <c r="H247" s="20" t="n"/>
      <c r="I247" s="20" t="n"/>
      <c r="J247" s="20" t="n"/>
    </row>
    <row r="248" ht="16.5" customFormat="1" customHeight="1" s="12">
      <c r="A248" s="17" t="n">
        <v>243</v>
      </c>
      <c r="B248" s="25" t="n"/>
      <c r="C248" s="141">
        <f>H248*I248</f>
        <v/>
      </c>
      <c r="D248" s="41" t="n"/>
      <c r="E248" s="41" t="n"/>
      <c r="F248" s="41" t="n"/>
      <c r="G248" s="42" t="n"/>
      <c r="H248" s="20" t="n"/>
      <c r="I248" s="20" t="n"/>
      <c r="J248" s="20" t="n"/>
    </row>
    <row r="249" ht="16.5" customFormat="1" customHeight="1" s="12">
      <c r="A249" s="17" t="n">
        <v>244</v>
      </c>
      <c r="B249" s="25" t="n"/>
      <c r="C249" s="141">
        <f>H249*I249</f>
        <v/>
      </c>
      <c r="D249" s="41" t="n"/>
      <c r="E249" s="41" t="n"/>
      <c r="F249" s="41" t="n"/>
      <c r="G249" s="42" t="n"/>
      <c r="H249" s="20" t="n"/>
      <c r="I249" s="20" t="n"/>
      <c r="J249" s="20" t="n"/>
    </row>
    <row r="250" ht="16.5" customFormat="1" customHeight="1" s="12">
      <c r="A250" s="17" t="n">
        <v>245</v>
      </c>
      <c r="B250" s="25" t="n"/>
      <c r="C250" s="141">
        <f>H250*I250</f>
        <v/>
      </c>
      <c r="D250" s="41" t="n"/>
      <c r="E250" s="41" t="n"/>
      <c r="F250" s="41" t="n"/>
      <c r="G250" s="42" t="n"/>
      <c r="H250" s="20" t="n"/>
      <c r="I250" s="20" t="n"/>
      <c r="J250" s="20" t="n"/>
    </row>
    <row r="251" ht="16.5" customFormat="1" customHeight="1" s="12">
      <c r="A251" s="17" t="n">
        <v>246</v>
      </c>
      <c r="B251" s="25" t="n"/>
      <c r="C251" s="141">
        <f>H251*I251</f>
        <v/>
      </c>
      <c r="D251" s="41" t="n"/>
      <c r="E251" s="41" t="n"/>
      <c r="F251" s="41" t="n"/>
      <c r="G251" s="42" t="n"/>
      <c r="H251" s="20" t="n"/>
      <c r="I251" s="20" t="n"/>
      <c r="J251" s="20" t="n"/>
    </row>
    <row r="252" ht="16.5" customFormat="1" customHeight="1" s="12">
      <c r="A252" s="17" t="n">
        <v>247</v>
      </c>
      <c r="B252" s="25" t="n"/>
      <c r="C252" s="141">
        <f>H252*I252</f>
        <v/>
      </c>
      <c r="D252" s="41" t="n"/>
      <c r="E252" s="41" t="n"/>
      <c r="F252" s="41" t="n"/>
      <c r="G252" s="42" t="n"/>
      <c r="H252" s="20" t="n"/>
      <c r="I252" s="20" t="n"/>
      <c r="J252" s="20" t="n"/>
    </row>
    <row r="253" ht="16.5" customFormat="1" customHeight="1" s="12">
      <c r="A253" s="17" t="n">
        <v>248</v>
      </c>
      <c r="B253" s="25" t="n"/>
      <c r="C253" s="141">
        <f>H253*I253</f>
        <v/>
      </c>
      <c r="D253" s="41" t="n"/>
      <c r="E253" s="41" t="n"/>
      <c r="F253" s="41" t="n"/>
      <c r="G253" s="42" t="n"/>
      <c r="H253" s="20" t="n"/>
      <c r="I253" s="20" t="n"/>
      <c r="J253" s="20" t="n"/>
    </row>
    <row r="254" ht="16.5" customFormat="1" customHeight="1" s="12">
      <c r="A254" s="17" t="n">
        <v>249</v>
      </c>
      <c r="B254" s="25" t="n"/>
      <c r="C254" s="141">
        <f>H254*I254</f>
        <v/>
      </c>
      <c r="D254" s="41" t="n"/>
      <c r="E254" s="41" t="n"/>
      <c r="F254" s="41" t="n"/>
      <c r="G254" s="42" t="n"/>
      <c r="H254" s="20" t="n"/>
      <c r="I254" s="20" t="n"/>
      <c r="J254" s="20" t="n"/>
    </row>
    <row r="255" ht="16.5" customFormat="1" customHeight="1" s="12">
      <c r="A255" s="17" t="n">
        <v>250</v>
      </c>
      <c r="B255" s="25" t="n"/>
      <c r="C255" s="141">
        <f>H255*I255</f>
        <v/>
      </c>
      <c r="D255" s="41" t="n"/>
      <c r="E255" s="41" t="n"/>
      <c r="F255" s="41" t="n"/>
      <c r="G255" s="42" t="n"/>
      <c r="H255" s="20" t="n"/>
      <c r="I255" s="20" t="n"/>
      <c r="J255" s="20" t="n"/>
    </row>
    <row r="256" ht="16.5" customFormat="1" customHeight="1" s="12">
      <c r="A256" s="17" t="n">
        <v>251</v>
      </c>
      <c r="B256" s="25" t="n"/>
      <c r="C256" s="141">
        <f>H256*I256</f>
        <v/>
      </c>
      <c r="D256" s="41" t="n"/>
      <c r="E256" s="41" t="n"/>
      <c r="F256" s="41" t="n"/>
      <c r="G256" s="42" t="n"/>
      <c r="H256" s="20" t="n"/>
      <c r="I256" s="20" t="n"/>
      <c r="J256" s="20" t="n"/>
    </row>
    <row r="257" ht="16.5" customFormat="1" customHeight="1" s="12">
      <c r="A257" s="17" t="n">
        <v>252</v>
      </c>
      <c r="B257" s="25" t="n"/>
      <c r="C257" s="141">
        <f>H257*I257</f>
        <v/>
      </c>
      <c r="D257" s="41" t="n"/>
      <c r="E257" s="41" t="n"/>
      <c r="F257" s="41" t="n"/>
      <c r="G257" s="42" t="n"/>
      <c r="H257" s="20" t="n"/>
      <c r="I257" s="20" t="n"/>
      <c r="J257" s="20" t="n"/>
    </row>
    <row r="258" ht="16.5" customFormat="1" customHeight="1" s="12">
      <c r="A258" s="17" t="n">
        <v>253</v>
      </c>
      <c r="B258" s="25" t="n"/>
      <c r="C258" s="141">
        <f>H258*I258</f>
        <v/>
      </c>
      <c r="D258" s="41" t="n"/>
      <c r="E258" s="41" t="n"/>
      <c r="F258" s="41" t="n"/>
      <c r="G258" s="42" t="n"/>
      <c r="H258" s="20" t="n"/>
      <c r="I258" s="20" t="n"/>
      <c r="J258" s="20" t="n"/>
    </row>
    <row r="259" ht="16.5" customFormat="1" customHeight="1" s="12">
      <c r="A259" s="17" t="n">
        <v>254</v>
      </c>
      <c r="B259" s="25" t="n"/>
      <c r="C259" s="141">
        <f>H259*I259</f>
        <v/>
      </c>
      <c r="D259" s="41" t="n"/>
      <c r="E259" s="41" t="n"/>
      <c r="F259" s="41" t="n"/>
      <c r="G259" s="42" t="n"/>
      <c r="H259" s="20" t="n"/>
      <c r="I259" s="20" t="n"/>
      <c r="J259" s="20" t="n"/>
    </row>
    <row r="260" ht="16.5" customFormat="1" customHeight="1" s="12">
      <c r="A260" s="17" t="n">
        <v>255</v>
      </c>
      <c r="B260" s="25" t="n"/>
      <c r="C260" s="141">
        <f>H260*I260</f>
        <v/>
      </c>
      <c r="D260" s="41" t="n"/>
      <c r="E260" s="41" t="n"/>
      <c r="F260" s="41" t="n"/>
      <c r="G260" s="42" t="n"/>
      <c r="H260" s="20" t="n"/>
      <c r="I260" s="20" t="n"/>
      <c r="J260" s="20" t="n"/>
    </row>
    <row r="261" ht="16.5" customFormat="1" customHeight="1" s="12">
      <c r="A261" s="17" t="n">
        <v>256</v>
      </c>
      <c r="B261" s="25" t="n"/>
      <c r="C261" s="141">
        <f>H261*I261</f>
        <v/>
      </c>
      <c r="D261" s="41" t="n"/>
      <c r="E261" s="41" t="n"/>
      <c r="F261" s="41" t="n"/>
      <c r="G261" s="42" t="n"/>
      <c r="H261" s="20" t="n"/>
      <c r="I261" s="20" t="n"/>
      <c r="J261" s="20" t="n"/>
    </row>
    <row r="262" ht="16.5" customFormat="1" customHeight="1" s="12">
      <c r="A262" s="17" t="n">
        <v>257</v>
      </c>
      <c r="B262" s="25" t="n"/>
      <c r="C262" s="141">
        <f>H262*I262</f>
        <v/>
      </c>
      <c r="D262" s="41" t="n"/>
      <c r="E262" s="41" t="n"/>
      <c r="F262" s="41" t="n"/>
      <c r="G262" s="42" t="n"/>
      <c r="H262" s="20" t="n"/>
      <c r="I262" s="20" t="n"/>
      <c r="J262" s="20" t="n"/>
    </row>
    <row r="263" ht="16.5" customFormat="1" customHeight="1" s="12">
      <c r="A263" s="17" t="n">
        <v>258</v>
      </c>
      <c r="B263" s="25" t="n"/>
      <c r="C263" s="141">
        <f>H263*I263</f>
        <v/>
      </c>
      <c r="D263" s="41" t="n"/>
      <c r="E263" s="41" t="n"/>
      <c r="F263" s="41" t="n"/>
      <c r="G263" s="42" t="n"/>
      <c r="H263" s="20" t="n"/>
      <c r="I263" s="20" t="n"/>
      <c r="J263" s="20" t="n"/>
    </row>
    <row r="264" ht="16.5" customFormat="1" customHeight="1" s="12">
      <c r="A264" s="17" t="n">
        <v>259</v>
      </c>
      <c r="B264" s="25" t="n"/>
      <c r="C264" s="141">
        <f>H264*I264</f>
        <v/>
      </c>
      <c r="D264" s="41" t="n"/>
      <c r="E264" s="41" t="n"/>
      <c r="F264" s="41" t="n"/>
      <c r="G264" s="42" t="n"/>
      <c r="H264" s="20" t="n"/>
      <c r="I264" s="20" t="n"/>
      <c r="J264" s="20" t="n"/>
    </row>
    <row r="265" ht="16.5" customFormat="1" customHeight="1" s="12">
      <c r="A265" s="17" t="n">
        <v>260</v>
      </c>
      <c r="B265" s="25" t="n"/>
      <c r="C265" s="141">
        <f>H265*I265</f>
        <v/>
      </c>
      <c r="D265" s="41" t="n"/>
      <c r="E265" s="41" t="n"/>
      <c r="F265" s="41" t="n"/>
      <c r="G265" s="42" t="n"/>
      <c r="H265" s="20" t="n"/>
      <c r="I265" s="20" t="n"/>
      <c r="J265" s="20" t="n"/>
    </row>
    <row r="266" ht="16.5" customFormat="1" customHeight="1" s="12">
      <c r="A266" s="17" t="n">
        <v>261</v>
      </c>
      <c r="B266" s="25" t="n"/>
      <c r="C266" s="141">
        <f>H266*I266</f>
        <v/>
      </c>
      <c r="D266" s="41" t="n"/>
      <c r="E266" s="41" t="n"/>
      <c r="F266" s="41" t="n"/>
      <c r="G266" s="42" t="n"/>
      <c r="H266" s="20" t="n"/>
      <c r="I266" s="20" t="n"/>
      <c r="J266" s="20" t="n"/>
    </row>
    <row r="267" ht="16.5" customFormat="1" customHeight="1" s="12">
      <c r="A267" s="17" t="n">
        <v>262</v>
      </c>
      <c r="B267" s="25" t="n"/>
      <c r="C267" s="141">
        <f>H267*I267</f>
        <v/>
      </c>
      <c r="D267" s="41" t="n"/>
      <c r="E267" s="41" t="n"/>
      <c r="F267" s="41" t="n"/>
      <c r="G267" s="42" t="n"/>
      <c r="H267" s="20" t="n"/>
      <c r="I267" s="20" t="n"/>
      <c r="J267" s="20" t="n"/>
    </row>
    <row r="268" ht="16.5" customFormat="1" customHeight="1" s="12">
      <c r="A268" s="17" t="n">
        <v>263</v>
      </c>
      <c r="B268" s="25" t="n"/>
      <c r="C268" s="141">
        <f>H268*I268</f>
        <v/>
      </c>
      <c r="D268" s="41" t="n"/>
      <c r="E268" s="41" t="n"/>
      <c r="F268" s="41" t="n"/>
      <c r="G268" s="42" t="n"/>
      <c r="H268" s="20" t="n"/>
      <c r="I268" s="20" t="n"/>
      <c r="J268" s="20" t="n"/>
    </row>
    <row r="269" ht="16.5" customFormat="1" customHeight="1" s="12">
      <c r="A269" s="17" t="n">
        <v>264</v>
      </c>
      <c r="B269" s="25" t="n"/>
      <c r="C269" s="141">
        <f>H269*I269</f>
        <v/>
      </c>
      <c r="D269" s="41" t="n"/>
      <c r="E269" s="41" t="n"/>
      <c r="F269" s="41" t="n"/>
      <c r="G269" s="42" t="n"/>
      <c r="H269" s="20" t="n"/>
      <c r="I269" s="20" t="n"/>
      <c r="J269" s="20" t="n"/>
    </row>
    <row r="270" ht="16.5" customFormat="1" customHeight="1" s="12">
      <c r="A270" s="17" t="n">
        <v>265</v>
      </c>
      <c r="B270" s="25" t="n"/>
      <c r="C270" s="141">
        <f>H270*I270</f>
        <v/>
      </c>
      <c r="D270" s="41" t="n"/>
      <c r="E270" s="41" t="n"/>
      <c r="F270" s="41" t="n"/>
      <c r="G270" s="42" t="n"/>
      <c r="H270" s="20" t="n"/>
      <c r="I270" s="20" t="n"/>
      <c r="J270" s="20" t="n"/>
    </row>
    <row r="271" ht="16.5" customFormat="1" customHeight="1" s="12">
      <c r="A271" s="17" t="n">
        <v>266</v>
      </c>
      <c r="B271" s="25" t="n"/>
      <c r="C271" s="141">
        <f>H271*I271</f>
        <v/>
      </c>
      <c r="D271" s="41" t="n"/>
      <c r="E271" s="41" t="n"/>
      <c r="F271" s="41" t="n"/>
      <c r="G271" s="42" t="n"/>
      <c r="H271" s="20" t="n"/>
      <c r="I271" s="20" t="n"/>
      <c r="J271" s="20" t="n"/>
    </row>
    <row r="272" ht="16.5" customFormat="1" customHeight="1" s="12">
      <c r="A272" s="17" t="n">
        <v>267</v>
      </c>
      <c r="B272" s="25" t="n"/>
      <c r="C272" s="141">
        <f>H272*I272</f>
        <v/>
      </c>
      <c r="D272" s="41" t="n"/>
      <c r="E272" s="41" t="n"/>
      <c r="F272" s="41" t="n"/>
      <c r="G272" s="42" t="n"/>
      <c r="H272" s="20" t="n"/>
      <c r="I272" s="20" t="n"/>
      <c r="J272" s="20" t="n"/>
    </row>
    <row r="273" ht="16.5" customFormat="1" customHeight="1" s="12">
      <c r="A273" s="17" t="n">
        <v>268</v>
      </c>
      <c r="B273" s="25" t="n"/>
      <c r="C273" s="141">
        <f>H273*I273</f>
        <v/>
      </c>
      <c r="D273" s="41" t="n"/>
      <c r="E273" s="41" t="n"/>
      <c r="F273" s="41" t="n"/>
      <c r="G273" s="42" t="n"/>
      <c r="H273" s="20" t="n"/>
      <c r="I273" s="20" t="n"/>
      <c r="J273" s="20" t="n"/>
    </row>
    <row r="274" ht="16.5" customFormat="1" customHeight="1" s="12">
      <c r="A274" s="17" t="n">
        <v>269</v>
      </c>
      <c r="B274" s="25" t="n"/>
      <c r="C274" s="141">
        <f>H274*I274</f>
        <v/>
      </c>
      <c r="D274" s="41" t="n"/>
      <c r="E274" s="41" t="n"/>
      <c r="F274" s="41" t="n"/>
      <c r="G274" s="42" t="n"/>
      <c r="H274" s="20" t="n"/>
      <c r="I274" s="20" t="n"/>
      <c r="J274" s="20" t="n"/>
    </row>
    <row r="275" ht="16.5" customFormat="1" customHeight="1" s="12">
      <c r="A275" s="17" t="n">
        <v>270</v>
      </c>
      <c r="B275" s="25" t="n"/>
      <c r="C275" s="141">
        <f>H275*I275</f>
        <v/>
      </c>
      <c r="D275" s="41" t="n"/>
      <c r="E275" s="41" t="n"/>
      <c r="F275" s="41" t="n"/>
      <c r="G275" s="42" t="n"/>
      <c r="H275" s="20" t="n"/>
      <c r="I275" s="20" t="n"/>
      <c r="J275" s="20" t="n"/>
    </row>
    <row r="276" ht="16.5" customFormat="1" customHeight="1" s="12">
      <c r="A276" s="17" t="n">
        <v>271</v>
      </c>
      <c r="B276" s="25" t="n"/>
      <c r="C276" s="141">
        <f>H276*I276</f>
        <v/>
      </c>
      <c r="D276" s="41" t="n"/>
      <c r="E276" s="41" t="n"/>
      <c r="F276" s="41" t="n"/>
      <c r="G276" s="42" t="n"/>
      <c r="H276" s="20" t="n"/>
      <c r="I276" s="20" t="n"/>
      <c r="J276" s="20" t="n"/>
    </row>
    <row r="277" ht="16.5" customFormat="1" customHeight="1" s="12">
      <c r="A277" s="17" t="n">
        <v>272</v>
      </c>
      <c r="B277" s="25" t="n"/>
      <c r="C277" s="141">
        <f>H277*I277</f>
        <v/>
      </c>
      <c r="D277" s="41" t="n"/>
      <c r="E277" s="41" t="n"/>
      <c r="F277" s="41" t="n"/>
      <c r="G277" s="42" t="n"/>
      <c r="H277" s="20" t="n"/>
      <c r="I277" s="20" t="n"/>
      <c r="J277" s="20" t="n"/>
    </row>
    <row r="278" ht="16.5" customFormat="1" customHeight="1" s="12">
      <c r="A278" s="17" t="n">
        <v>273</v>
      </c>
      <c r="B278" s="25" t="n"/>
      <c r="C278" s="141">
        <f>H278*I278</f>
        <v/>
      </c>
      <c r="D278" s="41" t="n"/>
      <c r="E278" s="41" t="n"/>
      <c r="F278" s="41" t="n"/>
      <c r="G278" s="42" t="n"/>
      <c r="H278" s="20" t="n"/>
      <c r="I278" s="20" t="n"/>
      <c r="J278" s="20" t="n"/>
    </row>
    <row r="279" ht="16.5" customFormat="1" customHeight="1" s="12">
      <c r="A279" s="17" t="n">
        <v>274</v>
      </c>
      <c r="B279" s="25" t="n"/>
      <c r="C279" s="141">
        <f>H279*I279</f>
        <v/>
      </c>
      <c r="D279" s="41" t="n"/>
      <c r="E279" s="41" t="n"/>
      <c r="F279" s="41" t="n"/>
      <c r="G279" s="42" t="n"/>
      <c r="H279" s="20" t="n"/>
      <c r="I279" s="20" t="n"/>
      <c r="J279" s="20" t="n"/>
    </row>
    <row r="280" ht="16.5" customFormat="1" customHeight="1" s="12">
      <c r="A280" s="17" t="n">
        <v>275</v>
      </c>
      <c r="B280" s="25" t="n"/>
      <c r="C280" s="141">
        <f>H280*I280</f>
        <v/>
      </c>
      <c r="D280" s="41" t="n"/>
      <c r="E280" s="41" t="n"/>
      <c r="F280" s="41" t="n"/>
      <c r="G280" s="42" t="n"/>
      <c r="H280" s="20" t="n"/>
      <c r="I280" s="20" t="n"/>
      <c r="J280" s="20" t="n"/>
    </row>
    <row r="281" ht="16.5" customFormat="1" customHeight="1" s="12">
      <c r="A281" s="17" t="n">
        <v>276</v>
      </c>
      <c r="B281" s="25" t="n"/>
      <c r="C281" s="141">
        <f>H281*I281</f>
        <v/>
      </c>
      <c r="D281" s="41" t="n"/>
      <c r="E281" s="41" t="n"/>
      <c r="F281" s="41" t="n"/>
      <c r="G281" s="42" t="n"/>
      <c r="H281" s="20" t="n"/>
      <c r="I281" s="20" t="n"/>
      <c r="J281" s="20" t="n"/>
    </row>
    <row r="282" ht="16.5" customFormat="1" customHeight="1" s="12">
      <c r="A282" s="17" t="n">
        <v>277</v>
      </c>
      <c r="B282" s="25" t="n"/>
      <c r="C282" s="141">
        <f>H282*I282</f>
        <v/>
      </c>
      <c r="D282" s="41" t="n"/>
      <c r="E282" s="41" t="n"/>
      <c r="F282" s="41" t="n"/>
      <c r="G282" s="42" t="n"/>
      <c r="H282" s="20" t="n"/>
      <c r="I282" s="20" t="n"/>
      <c r="J282" s="20" t="n"/>
    </row>
    <row r="283" ht="16.5" customFormat="1" customHeight="1" s="12">
      <c r="A283" s="17" t="n">
        <v>278</v>
      </c>
      <c r="B283" s="25" t="n"/>
      <c r="C283" s="141">
        <f>H283*I283</f>
        <v/>
      </c>
      <c r="D283" s="41" t="n"/>
      <c r="E283" s="41" t="n"/>
      <c r="F283" s="41" t="n"/>
      <c r="G283" s="42" t="n"/>
      <c r="H283" s="20" t="n"/>
      <c r="I283" s="20" t="n"/>
      <c r="J283" s="20" t="n"/>
    </row>
    <row r="284" ht="16.5" customFormat="1" customHeight="1" s="12">
      <c r="A284" s="17" t="n">
        <v>279</v>
      </c>
      <c r="B284" s="25" t="n"/>
      <c r="C284" s="141">
        <f>H284*I284</f>
        <v/>
      </c>
      <c r="D284" s="41" t="n"/>
      <c r="E284" s="41" t="n"/>
      <c r="F284" s="41" t="n"/>
      <c r="G284" s="42" t="n"/>
      <c r="H284" s="20" t="n"/>
      <c r="I284" s="20" t="n"/>
      <c r="J284" s="20" t="n"/>
    </row>
    <row r="285" ht="16.5" customFormat="1" customHeight="1" s="12">
      <c r="A285" s="17" t="n">
        <v>280</v>
      </c>
      <c r="B285" s="25" t="n"/>
      <c r="C285" s="141">
        <f>H285*I285</f>
        <v/>
      </c>
      <c r="D285" s="41" t="n"/>
      <c r="E285" s="41" t="n"/>
      <c r="F285" s="41" t="n"/>
      <c r="G285" s="42" t="n"/>
      <c r="H285" s="20" t="n"/>
      <c r="I285" s="20" t="n"/>
      <c r="J285" s="20" t="n"/>
    </row>
    <row r="286" ht="16.5" customFormat="1" customHeight="1" s="12">
      <c r="A286" s="17" t="n">
        <v>281</v>
      </c>
      <c r="B286" s="25" t="n"/>
      <c r="C286" s="141">
        <f>H286*I286</f>
        <v/>
      </c>
      <c r="D286" s="41" t="n"/>
      <c r="E286" s="41" t="n"/>
      <c r="F286" s="41" t="n"/>
      <c r="G286" s="42" t="n"/>
      <c r="H286" s="20" t="n"/>
      <c r="I286" s="20" t="n"/>
      <c r="J286" s="20" t="n"/>
    </row>
    <row r="287" ht="16.5" customFormat="1" customHeight="1" s="12">
      <c r="A287" s="17" t="n">
        <v>282</v>
      </c>
      <c r="B287" s="25" t="n"/>
      <c r="C287" s="141">
        <f>H287*I287</f>
        <v/>
      </c>
      <c r="D287" s="41" t="n"/>
      <c r="E287" s="41" t="n"/>
      <c r="F287" s="41" t="n"/>
      <c r="G287" s="42" t="n"/>
      <c r="H287" s="20" t="n"/>
      <c r="I287" s="20" t="n"/>
      <c r="J287" s="20" t="n"/>
    </row>
    <row r="288" ht="16.5" customFormat="1" customHeight="1" s="12">
      <c r="A288" s="17" t="n">
        <v>283</v>
      </c>
      <c r="B288" s="25" t="n"/>
      <c r="C288" s="141">
        <f>H288*I288</f>
        <v/>
      </c>
      <c r="D288" s="41" t="n"/>
      <c r="E288" s="41" t="n"/>
      <c r="F288" s="41" t="n"/>
      <c r="G288" s="42" t="n"/>
      <c r="H288" s="20" t="n"/>
      <c r="I288" s="20" t="n"/>
      <c r="J288" s="20" t="n"/>
    </row>
    <row r="289" ht="16.5" customFormat="1" customHeight="1" s="12">
      <c r="A289" s="17" t="n">
        <v>284</v>
      </c>
      <c r="B289" s="25" t="n"/>
      <c r="C289" s="141">
        <f>H289*I289</f>
        <v/>
      </c>
      <c r="D289" s="41" t="n"/>
      <c r="E289" s="41" t="n"/>
      <c r="F289" s="41" t="n"/>
      <c r="G289" s="42" t="n"/>
      <c r="H289" s="20" t="n"/>
      <c r="I289" s="20" t="n"/>
      <c r="J289" s="20" t="n"/>
    </row>
    <row r="290" ht="16.5" customFormat="1" customHeight="1" s="12">
      <c r="A290" s="17" t="n">
        <v>285</v>
      </c>
      <c r="B290" s="25" t="n"/>
      <c r="C290" s="141">
        <f>H290*I290</f>
        <v/>
      </c>
      <c r="D290" s="41" t="n"/>
      <c r="E290" s="41" t="n"/>
      <c r="F290" s="41" t="n"/>
      <c r="G290" s="42" t="n"/>
      <c r="H290" s="20" t="n"/>
      <c r="I290" s="20" t="n"/>
      <c r="J290" s="20" t="n"/>
    </row>
    <row r="291" ht="16.5" customFormat="1" customHeight="1" s="12">
      <c r="A291" s="17" t="n">
        <v>286</v>
      </c>
      <c r="B291" s="25" t="n"/>
      <c r="C291" s="141">
        <f>H291*I291</f>
        <v/>
      </c>
      <c r="D291" s="41" t="n"/>
      <c r="E291" s="41" t="n"/>
      <c r="F291" s="41" t="n"/>
      <c r="G291" s="42" t="n"/>
      <c r="H291" s="20" t="n"/>
      <c r="I291" s="20" t="n"/>
      <c r="J291" s="20" t="n"/>
    </row>
    <row r="292" ht="16.5" customFormat="1" customHeight="1" s="12">
      <c r="A292" s="17" t="n">
        <v>287</v>
      </c>
      <c r="B292" s="25" t="n"/>
      <c r="C292" s="141">
        <f>H292*I292</f>
        <v/>
      </c>
      <c r="D292" s="41" t="n"/>
      <c r="E292" s="41" t="n"/>
      <c r="F292" s="41" t="n"/>
      <c r="G292" s="42" t="n"/>
      <c r="H292" s="20" t="n"/>
      <c r="I292" s="20" t="n"/>
      <c r="J292" s="20" t="n"/>
    </row>
    <row r="293" ht="16.5" customFormat="1" customHeight="1" s="12">
      <c r="A293" s="17" t="n">
        <v>288</v>
      </c>
      <c r="B293" s="25" t="n"/>
      <c r="C293" s="141">
        <f>H293*I293</f>
        <v/>
      </c>
      <c r="D293" s="41" t="n"/>
      <c r="E293" s="41" t="n"/>
      <c r="F293" s="41" t="n"/>
      <c r="G293" s="42" t="n"/>
      <c r="H293" s="20" t="n"/>
      <c r="I293" s="20" t="n"/>
      <c r="J293" s="20" t="n"/>
    </row>
    <row r="294" ht="16.5" customFormat="1" customHeight="1" s="12">
      <c r="A294" s="17" t="n">
        <v>289</v>
      </c>
      <c r="B294" s="25" t="n"/>
      <c r="C294" s="141">
        <f>H294*I294</f>
        <v/>
      </c>
      <c r="D294" s="41" t="n"/>
      <c r="E294" s="41" t="n"/>
      <c r="F294" s="41" t="n"/>
      <c r="G294" s="42" t="n"/>
      <c r="H294" s="20" t="n"/>
      <c r="I294" s="20" t="n"/>
      <c r="J294" s="20" t="n"/>
    </row>
    <row r="295" ht="16.5" customFormat="1" customHeight="1" s="12">
      <c r="A295" s="17" t="n">
        <v>290</v>
      </c>
      <c r="B295" s="25" t="n"/>
      <c r="C295" s="141">
        <f>H295*I295</f>
        <v/>
      </c>
      <c r="D295" s="41" t="n"/>
      <c r="E295" s="41" t="n"/>
      <c r="F295" s="41" t="n"/>
      <c r="G295" s="42" t="n"/>
      <c r="H295" s="20" t="n"/>
      <c r="I295" s="20" t="n"/>
      <c r="J295" s="20" t="n"/>
    </row>
    <row r="296" ht="16.5" customFormat="1" customHeight="1" s="12">
      <c r="A296" s="17" t="n">
        <v>291</v>
      </c>
      <c r="B296" s="25" t="n"/>
      <c r="C296" s="141">
        <f>H296*I296</f>
        <v/>
      </c>
      <c r="D296" s="41" t="n"/>
      <c r="E296" s="41" t="n"/>
      <c r="F296" s="41" t="n"/>
      <c r="G296" s="42" t="n"/>
      <c r="H296" s="20" t="n"/>
      <c r="I296" s="20" t="n"/>
      <c r="J296" s="20" t="n"/>
    </row>
    <row r="297" ht="16.5" customFormat="1" customHeight="1" s="12">
      <c r="A297" s="17" t="n">
        <v>292</v>
      </c>
      <c r="B297" s="25" t="n"/>
      <c r="C297" s="141">
        <f>H297*I297</f>
        <v/>
      </c>
      <c r="D297" s="41" t="n"/>
      <c r="E297" s="41" t="n"/>
      <c r="F297" s="41" t="n"/>
      <c r="G297" s="42" t="n"/>
      <c r="H297" s="20" t="n"/>
      <c r="I297" s="20" t="n"/>
      <c r="J297" s="20" t="n"/>
    </row>
    <row r="298" ht="16.5" customFormat="1" customHeight="1" s="12">
      <c r="A298" s="17" t="n">
        <v>293</v>
      </c>
      <c r="B298" s="25" t="n"/>
      <c r="C298" s="141">
        <f>H298*I298</f>
        <v/>
      </c>
      <c r="D298" s="41" t="n"/>
      <c r="E298" s="41" t="n"/>
      <c r="F298" s="41" t="n"/>
      <c r="G298" s="42" t="n"/>
      <c r="H298" s="20" t="n"/>
      <c r="I298" s="20" t="n"/>
      <c r="J298" s="20" t="n"/>
    </row>
    <row r="299" ht="16.5" customFormat="1" customHeight="1" s="12">
      <c r="A299" s="17" t="n">
        <v>294</v>
      </c>
      <c r="B299" s="25" t="n"/>
      <c r="C299" s="141">
        <f>H299*I299</f>
        <v/>
      </c>
      <c r="D299" s="41" t="n"/>
      <c r="E299" s="41" t="n"/>
      <c r="F299" s="41" t="n"/>
      <c r="G299" s="42" t="n"/>
      <c r="H299" s="20" t="n"/>
      <c r="I299" s="20" t="n"/>
      <c r="J299" s="20" t="n"/>
    </row>
    <row r="300" ht="16.5" customFormat="1" customHeight="1" s="12">
      <c r="A300" s="17" t="n">
        <v>295</v>
      </c>
      <c r="B300" s="25" t="n"/>
      <c r="C300" s="141">
        <f>H300*I300</f>
        <v/>
      </c>
      <c r="D300" s="41" t="n"/>
      <c r="E300" s="41" t="n"/>
      <c r="F300" s="41" t="n"/>
      <c r="G300" s="42" t="n"/>
      <c r="H300" s="20" t="n"/>
      <c r="I300" s="20" t="n"/>
      <c r="J300" s="20" t="n"/>
    </row>
    <row r="301" ht="16.5" customFormat="1" customHeight="1" s="12">
      <c r="A301" s="17" t="n">
        <v>296</v>
      </c>
      <c r="B301" s="25" t="n"/>
      <c r="C301" s="141">
        <f>H301*I301</f>
        <v/>
      </c>
      <c r="D301" s="41" t="n"/>
      <c r="E301" s="41" t="n"/>
      <c r="F301" s="41" t="n"/>
      <c r="G301" s="42" t="n"/>
      <c r="H301" s="20" t="n"/>
      <c r="I301" s="20" t="n"/>
      <c r="J301" s="20" t="n"/>
    </row>
    <row r="302" ht="16.5" customFormat="1" customHeight="1" s="12">
      <c r="A302" s="17" t="n">
        <v>297</v>
      </c>
      <c r="B302" s="25" t="n"/>
      <c r="C302" s="141">
        <f>H302*I302</f>
        <v/>
      </c>
      <c r="D302" s="41" t="n"/>
      <c r="E302" s="41" t="n"/>
      <c r="F302" s="41" t="n"/>
      <c r="G302" s="42" t="n"/>
      <c r="H302" s="20" t="n"/>
      <c r="I302" s="20" t="n"/>
      <c r="J302" s="20" t="n"/>
    </row>
    <row r="303" ht="16.5" customFormat="1" customHeight="1" s="12">
      <c r="A303" s="17" t="n">
        <v>298</v>
      </c>
      <c r="B303" s="25" t="n"/>
      <c r="C303" s="141">
        <f>H303*I303</f>
        <v/>
      </c>
      <c r="D303" s="41" t="n"/>
      <c r="E303" s="41" t="n"/>
      <c r="F303" s="41" t="n"/>
      <c r="G303" s="42" t="n"/>
      <c r="H303" s="20" t="n"/>
      <c r="I303" s="20" t="n"/>
      <c r="J303" s="20" t="n"/>
    </row>
    <row r="304" ht="16.5" customFormat="1" customHeight="1" s="12">
      <c r="A304" s="17" t="n">
        <v>299</v>
      </c>
      <c r="B304" s="25" t="n"/>
      <c r="C304" s="141">
        <f>H304*I304</f>
        <v/>
      </c>
      <c r="D304" s="41" t="n"/>
      <c r="E304" s="41" t="n"/>
      <c r="F304" s="41" t="n"/>
      <c r="G304" s="42" t="n"/>
      <c r="H304" s="20" t="n"/>
      <c r="I304" s="20" t="n"/>
      <c r="J304" s="20" t="n"/>
    </row>
    <row r="305" ht="16.5" customFormat="1" customHeight="1" s="12">
      <c r="A305" s="17" t="n">
        <v>300</v>
      </c>
      <c r="B305" s="25" t="n"/>
      <c r="C305" s="141">
        <f>H305*I305</f>
        <v/>
      </c>
      <c r="D305" s="41" t="n"/>
      <c r="E305" s="41" t="n"/>
      <c r="F305" s="41" t="n"/>
      <c r="G305" s="42" t="n"/>
      <c r="H305" s="20" t="n"/>
      <c r="I305" s="20" t="n"/>
      <c r="J305" s="20" t="n"/>
    </row>
    <row r="306" ht="16.5" customFormat="1" customHeight="1" s="12">
      <c r="A306" s="17" t="n">
        <v>301</v>
      </c>
      <c r="B306" s="25" t="n"/>
      <c r="C306" s="141">
        <f>H306*I306</f>
        <v/>
      </c>
      <c r="D306" s="41" t="n"/>
      <c r="E306" s="41" t="n"/>
      <c r="F306" s="41" t="n"/>
      <c r="G306" s="42" t="n"/>
      <c r="H306" s="20" t="n"/>
      <c r="I306" s="20" t="n"/>
      <c r="J306" s="20" t="n"/>
    </row>
    <row r="307" ht="16.5" customFormat="1" customHeight="1" s="12">
      <c r="A307" s="17" t="n">
        <v>302</v>
      </c>
      <c r="B307" s="25" t="n"/>
      <c r="C307" s="141">
        <f>H307*I307</f>
        <v/>
      </c>
      <c r="D307" s="41" t="n"/>
      <c r="E307" s="41" t="n"/>
      <c r="F307" s="41" t="n"/>
      <c r="G307" s="42" t="n"/>
      <c r="H307" s="20" t="n"/>
      <c r="I307" s="20" t="n"/>
      <c r="J307" s="20" t="n"/>
    </row>
    <row r="308" ht="16.5" customFormat="1" customHeight="1" s="12">
      <c r="A308" s="17" t="n">
        <v>303</v>
      </c>
      <c r="B308" s="25" t="n"/>
      <c r="C308" s="141">
        <f>H308*I308</f>
        <v/>
      </c>
      <c r="D308" s="41" t="n"/>
      <c r="E308" s="41" t="n"/>
      <c r="F308" s="41" t="n"/>
      <c r="G308" s="42" t="n"/>
      <c r="H308" s="20" t="n"/>
      <c r="I308" s="20" t="n"/>
      <c r="J308" s="20" t="n"/>
    </row>
    <row r="309" ht="16.5" customFormat="1" customHeight="1" s="12">
      <c r="A309" s="17" t="n">
        <v>304</v>
      </c>
      <c r="B309" s="25" t="n"/>
      <c r="C309" s="141">
        <f>H309*I309</f>
        <v/>
      </c>
      <c r="D309" s="41" t="n"/>
      <c r="E309" s="41" t="n"/>
      <c r="F309" s="41" t="n"/>
      <c r="G309" s="42" t="n"/>
      <c r="H309" s="20" t="n"/>
      <c r="I309" s="20" t="n"/>
      <c r="J309" s="20" t="n"/>
    </row>
    <row r="310" ht="16.5" customFormat="1" customHeight="1" s="12">
      <c r="A310" s="17" t="n">
        <v>305</v>
      </c>
      <c r="B310" s="25" t="n"/>
      <c r="C310" s="141">
        <f>H310*I310</f>
        <v/>
      </c>
      <c r="D310" s="41" t="n"/>
      <c r="E310" s="41" t="n"/>
      <c r="F310" s="41" t="n"/>
      <c r="G310" s="42" t="n"/>
      <c r="H310" s="20" t="n"/>
      <c r="I310" s="20" t="n"/>
      <c r="J310" s="20" t="n"/>
    </row>
    <row r="311" ht="16.5" customFormat="1" customHeight="1" s="12">
      <c r="A311" s="17" t="n">
        <v>306</v>
      </c>
      <c r="B311" s="25" t="n"/>
      <c r="C311" s="141">
        <f>H311*I311</f>
        <v/>
      </c>
      <c r="D311" s="41" t="n"/>
      <c r="E311" s="41" t="n"/>
      <c r="F311" s="41" t="n"/>
      <c r="G311" s="42" t="n"/>
      <c r="H311" s="20" t="n"/>
      <c r="I311" s="20" t="n"/>
      <c r="J311" s="20" t="n"/>
    </row>
    <row r="312" ht="16.5" customFormat="1" customHeight="1" s="12">
      <c r="A312" s="17" t="n">
        <v>307</v>
      </c>
      <c r="B312" s="25" t="n"/>
      <c r="C312" s="141">
        <f>H312*I312</f>
        <v/>
      </c>
      <c r="D312" s="41" t="n"/>
      <c r="E312" s="41" t="n"/>
      <c r="F312" s="41" t="n"/>
      <c r="G312" s="42" t="n"/>
      <c r="H312" s="20" t="n"/>
      <c r="I312" s="20" t="n"/>
      <c r="J312" s="20" t="n"/>
    </row>
    <row r="313" ht="16.5" customFormat="1" customHeight="1" s="12">
      <c r="A313" s="17" t="n">
        <v>308</v>
      </c>
      <c r="B313" s="25" t="n"/>
      <c r="C313" s="141">
        <f>H313*I313</f>
        <v/>
      </c>
      <c r="D313" s="41" t="n"/>
      <c r="E313" s="41" t="n"/>
      <c r="F313" s="41" t="n"/>
      <c r="G313" s="42" t="n"/>
      <c r="H313" s="20" t="n"/>
      <c r="I313" s="20" t="n"/>
      <c r="J313" s="20" t="n"/>
    </row>
    <row r="314" ht="16.5" customFormat="1" customHeight="1" s="12">
      <c r="A314" s="17" t="n">
        <v>309</v>
      </c>
      <c r="B314" s="25" t="n"/>
      <c r="C314" s="141">
        <f>H314*I314</f>
        <v/>
      </c>
      <c r="D314" s="41" t="n"/>
      <c r="E314" s="41" t="n"/>
      <c r="F314" s="41" t="n"/>
      <c r="G314" s="42" t="n"/>
      <c r="H314" s="20" t="n"/>
      <c r="I314" s="20" t="n"/>
      <c r="J314" s="20" t="n"/>
    </row>
    <row r="315" ht="16.5" customFormat="1" customHeight="1" s="12">
      <c r="A315" s="17" t="n">
        <v>310</v>
      </c>
      <c r="B315" s="25" t="n"/>
      <c r="C315" s="141">
        <f>H315*I315</f>
        <v/>
      </c>
      <c r="D315" s="41" t="n"/>
      <c r="E315" s="41" t="n"/>
      <c r="F315" s="41" t="n"/>
      <c r="G315" s="42" t="n"/>
      <c r="H315" s="20" t="n"/>
      <c r="I315" s="20" t="n"/>
      <c r="J315" s="20" t="n"/>
    </row>
    <row r="316" ht="16.5" customFormat="1" customHeight="1" s="12">
      <c r="A316" s="17" t="n">
        <v>311</v>
      </c>
      <c r="B316" s="25" t="n"/>
      <c r="C316" s="141">
        <f>H316*I316</f>
        <v/>
      </c>
      <c r="D316" s="41" t="n"/>
      <c r="E316" s="41" t="n"/>
      <c r="F316" s="41" t="n"/>
      <c r="G316" s="42" t="n"/>
      <c r="H316" s="20" t="n"/>
      <c r="I316" s="20" t="n"/>
      <c r="J316" s="20" t="n"/>
    </row>
    <row r="317" ht="16.5" customFormat="1" customHeight="1" s="12">
      <c r="A317" s="17" t="n">
        <v>312</v>
      </c>
      <c r="B317" s="25" t="n"/>
      <c r="C317" s="141">
        <f>H317*I317</f>
        <v/>
      </c>
      <c r="D317" s="41" t="n"/>
      <c r="E317" s="41" t="n"/>
      <c r="F317" s="41" t="n"/>
      <c r="G317" s="42" t="n"/>
      <c r="H317" s="20" t="n"/>
      <c r="I317" s="20" t="n"/>
      <c r="J317" s="20" t="n"/>
    </row>
    <row r="318" ht="16.5" customFormat="1" customHeight="1" s="12">
      <c r="A318" s="17" t="n">
        <v>313</v>
      </c>
      <c r="B318" s="25" t="n"/>
      <c r="C318" s="141">
        <f>H318*I318</f>
        <v/>
      </c>
      <c r="D318" s="41" t="n"/>
      <c r="E318" s="41" t="n"/>
      <c r="F318" s="41" t="n"/>
      <c r="G318" s="42" t="n"/>
      <c r="H318" s="20" t="n"/>
      <c r="I318" s="20" t="n"/>
      <c r="J318" s="20" t="n"/>
    </row>
    <row r="319" ht="16.5" customFormat="1" customHeight="1" s="12">
      <c r="A319" s="17" t="n">
        <v>314</v>
      </c>
      <c r="B319" s="25" t="n"/>
      <c r="C319" s="141">
        <f>H319*I319</f>
        <v/>
      </c>
      <c r="D319" s="41" t="n"/>
      <c r="E319" s="41" t="n"/>
      <c r="F319" s="41" t="n"/>
      <c r="G319" s="42" t="n"/>
      <c r="H319" s="20" t="n"/>
      <c r="I319" s="20" t="n"/>
      <c r="J319" s="20" t="n"/>
    </row>
    <row r="320" ht="16.5" customFormat="1" customHeight="1" s="12">
      <c r="A320" s="17" t="n">
        <v>315</v>
      </c>
      <c r="B320" s="25" t="n"/>
      <c r="C320" s="141">
        <f>H320*I320</f>
        <v/>
      </c>
      <c r="D320" s="41" t="n"/>
      <c r="E320" s="41" t="n"/>
      <c r="F320" s="41" t="n"/>
      <c r="G320" s="42" t="n"/>
      <c r="H320" s="20" t="n"/>
      <c r="I320" s="20" t="n"/>
      <c r="J320" s="20" t="n"/>
    </row>
    <row r="321" ht="16.5" customFormat="1" customHeight="1" s="12">
      <c r="A321" s="17" t="n">
        <v>316</v>
      </c>
      <c r="B321" s="25" t="n"/>
      <c r="C321" s="141">
        <f>H321*I321</f>
        <v/>
      </c>
      <c r="D321" s="41" t="n"/>
      <c r="E321" s="41" t="n"/>
      <c r="F321" s="41" t="n"/>
      <c r="G321" s="42" t="n"/>
      <c r="H321" s="20" t="n"/>
      <c r="I321" s="20" t="n"/>
      <c r="J321" s="20" t="n"/>
    </row>
    <row r="322" ht="16.5" customFormat="1" customHeight="1" s="12">
      <c r="A322" s="17" t="n">
        <v>317</v>
      </c>
      <c r="B322" s="25" t="n"/>
      <c r="C322" s="141">
        <f>H322*I322</f>
        <v/>
      </c>
      <c r="D322" s="41" t="n"/>
      <c r="E322" s="41" t="n"/>
      <c r="F322" s="41" t="n"/>
      <c r="G322" s="42" t="n"/>
      <c r="H322" s="20" t="n"/>
      <c r="I322" s="20" t="n"/>
      <c r="J322" s="20" t="n"/>
    </row>
    <row r="323" ht="16.5" customFormat="1" customHeight="1" s="12">
      <c r="A323" s="17" t="n">
        <v>318</v>
      </c>
      <c r="B323" s="25" t="n"/>
      <c r="C323" s="141">
        <f>H323*I323</f>
        <v/>
      </c>
      <c r="D323" s="41" t="n"/>
      <c r="E323" s="41" t="n"/>
      <c r="F323" s="41" t="n"/>
      <c r="G323" s="42" t="n"/>
      <c r="H323" s="20" t="n"/>
      <c r="I323" s="20" t="n"/>
      <c r="J323" s="20" t="n"/>
    </row>
    <row r="324" ht="16.5" customFormat="1" customHeight="1" s="12">
      <c r="A324" s="17" t="n">
        <v>319</v>
      </c>
      <c r="B324" s="25" t="n"/>
      <c r="C324" s="141">
        <f>H324*I324</f>
        <v/>
      </c>
      <c r="D324" s="41" t="n"/>
      <c r="E324" s="41" t="n"/>
      <c r="F324" s="41" t="n"/>
      <c r="G324" s="42" t="n"/>
      <c r="H324" s="20" t="n"/>
      <c r="I324" s="20" t="n"/>
      <c r="J324" s="20" t="n"/>
    </row>
    <row r="325" ht="16.5" customFormat="1" customHeight="1" s="12">
      <c r="A325" s="17" t="n">
        <v>320</v>
      </c>
      <c r="B325" s="25" t="n"/>
      <c r="C325" s="141">
        <f>H325*I325</f>
        <v/>
      </c>
      <c r="D325" s="41" t="n"/>
      <c r="E325" s="41" t="n"/>
      <c r="F325" s="41" t="n"/>
      <c r="G325" s="42" t="n"/>
      <c r="H325" s="20" t="n"/>
      <c r="I325" s="20" t="n"/>
      <c r="J325" s="20" t="n"/>
    </row>
    <row r="326" ht="16.5" customFormat="1" customHeight="1" s="12">
      <c r="A326" s="17" t="n">
        <v>321</v>
      </c>
      <c r="B326" s="25" t="n"/>
      <c r="C326" s="141">
        <f>H326*I326</f>
        <v/>
      </c>
      <c r="D326" s="41" t="n"/>
      <c r="E326" s="41" t="n"/>
      <c r="F326" s="41" t="n"/>
      <c r="G326" s="42" t="n"/>
      <c r="H326" s="20" t="n"/>
      <c r="I326" s="20" t="n"/>
      <c r="J326" s="20" t="n"/>
    </row>
    <row r="327" ht="16.5" customFormat="1" customHeight="1" s="12">
      <c r="A327" s="17" t="n">
        <v>322</v>
      </c>
      <c r="B327" s="25" t="n"/>
      <c r="C327" s="141">
        <f>H327*I327</f>
        <v/>
      </c>
      <c r="D327" s="41" t="n"/>
      <c r="E327" s="41" t="n"/>
      <c r="F327" s="41" t="n"/>
      <c r="G327" s="42" t="n"/>
      <c r="H327" s="20" t="n"/>
      <c r="I327" s="20" t="n"/>
      <c r="J327" s="20" t="n"/>
    </row>
    <row r="328" ht="16.5" customFormat="1" customHeight="1" s="12">
      <c r="A328" s="17" t="n">
        <v>323</v>
      </c>
      <c r="B328" s="25" t="n"/>
      <c r="C328" s="141">
        <f>H328*I328</f>
        <v/>
      </c>
      <c r="D328" s="41" t="n"/>
      <c r="E328" s="41" t="n"/>
      <c r="F328" s="41" t="n"/>
      <c r="G328" s="42" t="n"/>
      <c r="H328" s="20" t="n"/>
      <c r="I328" s="20" t="n"/>
      <c r="J328" s="20" t="n"/>
    </row>
    <row r="329" ht="16.5" customFormat="1" customHeight="1" s="12">
      <c r="A329" s="17" t="n">
        <v>324</v>
      </c>
      <c r="B329" s="25" t="n"/>
      <c r="C329" s="141">
        <f>H329*I329</f>
        <v/>
      </c>
      <c r="D329" s="41" t="n"/>
      <c r="E329" s="41" t="n"/>
      <c r="F329" s="41" t="n"/>
      <c r="G329" s="42" t="n"/>
      <c r="H329" s="20" t="n"/>
      <c r="I329" s="20" t="n"/>
      <c r="J329" s="20" t="n"/>
    </row>
    <row r="330" ht="16.5" customFormat="1" customHeight="1" s="12">
      <c r="A330" s="17" t="n">
        <v>325</v>
      </c>
      <c r="B330" s="25" t="n"/>
      <c r="C330" s="141">
        <f>H330*I330</f>
        <v/>
      </c>
      <c r="D330" s="41" t="n"/>
      <c r="E330" s="41" t="n"/>
      <c r="F330" s="41" t="n"/>
      <c r="G330" s="42" t="n"/>
      <c r="H330" s="20" t="n"/>
      <c r="I330" s="20" t="n"/>
      <c r="J330" s="20" t="n"/>
    </row>
    <row r="331" ht="16.5" customFormat="1" customHeight="1" s="12">
      <c r="A331" s="17" t="n">
        <v>326</v>
      </c>
      <c r="B331" s="25" t="n"/>
      <c r="C331" s="141">
        <f>H331*I331</f>
        <v/>
      </c>
      <c r="D331" s="41" t="n"/>
      <c r="E331" s="41" t="n"/>
      <c r="F331" s="41" t="n"/>
      <c r="G331" s="42" t="n"/>
      <c r="H331" s="20" t="n"/>
      <c r="I331" s="20" t="n"/>
      <c r="J331" s="20" t="n"/>
    </row>
    <row r="332" ht="16.5" customFormat="1" customHeight="1" s="12">
      <c r="A332" s="17" t="n">
        <v>327</v>
      </c>
      <c r="B332" s="25" t="n"/>
      <c r="C332" s="141">
        <f>H332*I332</f>
        <v/>
      </c>
      <c r="D332" s="41" t="n"/>
      <c r="E332" s="41" t="n"/>
      <c r="F332" s="41" t="n"/>
      <c r="G332" s="42" t="n"/>
      <c r="H332" s="20" t="n"/>
      <c r="I332" s="20" t="n"/>
      <c r="J332" s="20" t="n"/>
    </row>
    <row r="333" ht="16.5" customFormat="1" customHeight="1" s="12">
      <c r="A333" s="17" t="n">
        <v>328</v>
      </c>
      <c r="B333" s="25" t="n"/>
      <c r="C333" s="141">
        <f>H333*I333</f>
        <v/>
      </c>
      <c r="D333" s="41" t="n"/>
      <c r="E333" s="41" t="n"/>
      <c r="F333" s="41" t="n"/>
      <c r="G333" s="42" t="n"/>
      <c r="H333" s="20" t="n"/>
      <c r="I333" s="20" t="n"/>
      <c r="J333" s="20" t="n"/>
    </row>
    <row r="334" ht="16.5" customFormat="1" customHeight="1" s="12">
      <c r="A334" s="17" t="n">
        <v>329</v>
      </c>
      <c r="B334" s="25" t="n"/>
      <c r="C334" s="141">
        <f>H334*I334</f>
        <v/>
      </c>
      <c r="D334" s="41" t="n"/>
      <c r="E334" s="41" t="n"/>
      <c r="F334" s="41" t="n"/>
      <c r="G334" s="42" t="n"/>
      <c r="H334" s="20" t="n"/>
      <c r="I334" s="20" t="n"/>
      <c r="J334" s="20" t="n"/>
    </row>
    <row r="335" ht="16.5" customFormat="1" customHeight="1" s="12">
      <c r="A335" s="17" t="n">
        <v>330</v>
      </c>
      <c r="B335" s="25" t="n"/>
      <c r="C335" s="141">
        <f>H335*I335</f>
        <v/>
      </c>
      <c r="D335" s="41" t="n"/>
      <c r="E335" s="41" t="n"/>
      <c r="F335" s="41" t="n"/>
      <c r="G335" s="42" t="n"/>
      <c r="H335" s="20" t="n"/>
      <c r="I335" s="20" t="n"/>
      <c r="J335" s="20" t="n"/>
    </row>
    <row r="336" ht="16.5" customFormat="1" customHeight="1" s="12">
      <c r="A336" s="17" t="n">
        <v>331</v>
      </c>
      <c r="B336" s="25" t="n"/>
      <c r="C336" s="141">
        <f>H336*I336</f>
        <v/>
      </c>
      <c r="D336" s="41" t="n"/>
      <c r="E336" s="41" t="n"/>
      <c r="F336" s="41" t="n"/>
      <c r="G336" s="42" t="n"/>
      <c r="H336" s="20" t="n"/>
      <c r="I336" s="20" t="n"/>
      <c r="J336" s="20" t="n"/>
    </row>
    <row r="337" ht="16.5" customFormat="1" customHeight="1" s="12">
      <c r="A337" s="17" t="n">
        <v>332</v>
      </c>
      <c r="B337" s="25" t="n"/>
      <c r="C337" s="141">
        <f>H337*I337</f>
        <v/>
      </c>
      <c r="D337" s="41" t="n"/>
      <c r="E337" s="41" t="n"/>
      <c r="F337" s="41" t="n"/>
      <c r="G337" s="42" t="n"/>
      <c r="H337" s="20" t="n"/>
      <c r="I337" s="20" t="n"/>
      <c r="J337" s="20" t="n"/>
    </row>
    <row r="338" ht="16.5" customFormat="1" customHeight="1" s="12">
      <c r="A338" s="17" t="n">
        <v>333</v>
      </c>
      <c r="B338" s="25" t="n"/>
      <c r="C338" s="141">
        <f>H338*I338</f>
        <v/>
      </c>
      <c r="D338" s="41" t="n"/>
      <c r="E338" s="41" t="n"/>
      <c r="F338" s="41" t="n"/>
      <c r="G338" s="42" t="n"/>
      <c r="H338" s="20" t="n"/>
      <c r="I338" s="20" t="n"/>
      <c r="J338" s="20" t="n"/>
    </row>
    <row r="339" ht="16.5" customFormat="1" customHeight="1" s="12">
      <c r="A339" s="17" t="n">
        <v>334</v>
      </c>
      <c r="B339" s="25" t="n"/>
      <c r="C339" s="141">
        <f>H339*I339</f>
        <v/>
      </c>
      <c r="D339" s="41" t="n"/>
      <c r="E339" s="41" t="n"/>
      <c r="F339" s="41" t="n"/>
      <c r="G339" s="42" t="n"/>
      <c r="H339" s="20" t="n"/>
      <c r="I339" s="20" t="n"/>
      <c r="J339" s="20" t="n"/>
    </row>
    <row r="340" ht="16.5" customFormat="1" customHeight="1" s="12">
      <c r="A340" s="17" t="n">
        <v>335</v>
      </c>
      <c r="B340" s="25" t="n"/>
      <c r="C340" s="141">
        <f>H340*I340</f>
        <v/>
      </c>
      <c r="D340" s="41" t="n"/>
      <c r="E340" s="41" t="n"/>
      <c r="F340" s="41" t="n"/>
      <c r="G340" s="42" t="n"/>
      <c r="H340" s="20" t="n"/>
      <c r="I340" s="20" t="n"/>
      <c r="J340" s="20" t="n"/>
    </row>
    <row r="341" ht="16.5" customFormat="1" customHeight="1" s="12">
      <c r="A341" s="17" t="n">
        <v>336</v>
      </c>
      <c r="B341" s="25" t="n"/>
      <c r="C341" s="141">
        <f>H341*I341</f>
        <v/>
      </c>
      <c r="D341" s="41" t="n"/>
      <c r="E341" s="41" t="n"/>
      <c r="F341" s="41" t="n"/>
      <c r="G341" s="42" t="n"/>
      <c r="H341" s="20" t="n"/>
      <c r="I341" s="20" t="n"/>
      <c r="J341" s="20" t="n"/>
    </row>
    <row r="342" ht="16.5" customFormat="1" customHeight="1" s="12">
      <c r="A342" s="17" t="n">
        <v>337</v>
      </c>
      <c r="B342" s="25" t="n"/>
      <c r="C342" s="141">
        <f>H342*I342</f>
        <v/>
      </c>
      <c r="D342" s="41" t="n"/>
      <c r="E342" s="41" t="n"/>
      <c r="F342" s="41" t="n"/>
      <c r="G342" s="42" t="n"/>
      <c r="H342" s="20" t="n"/>
      <c r="I342" s="20" t="n"/>
      <c r="J342" s="20" t="n"/>
    </row>
    <row r="343" ht="16.5" customFormat="1" customHeight="1" s="12">
      <c r="A343" s="17" t="n">
        <v>338</v>
      </c>
      <c r="B343" s="25" t="n"/>
      <c r="C343" s="141">
        <f>H343*I343</f>
        <v/>
      </c>
      <c r="D343" s="41" t="n"/>
      <c r="E343" s="41" t="n"/>
      <c r="F343" s="41" t="n"/>
      <c r="G343" s="42" t="n"/>
      <c r="H343" s="20" t="n"/>
      <c r="I343" s="20" t="n"/>
      <c r="J343" s="20" t="n"/>
    </row>
    <row r="344" ht="16.5" customFormat="1" customHeight="1" s="12">
      <c r="A344" s="17" t="n">
        <v>339</v>
      </c>
      <c r="B344" s="25" t="n"/>
      <c r="C344" s="141">
        <f>H344*I344</f>
        <v/>
      </c>
      <c r="D344" s="41" t="n"/>
      <c r="E344" s="41" t="n"/>
      <c r="F344" s="41" t="n"/>
      <c r="G344" s="42" t="n"/>
      <c r="H344" s="20" t="n"/>
      <c r="I344" s="20" t="n"/>
      <c r="J344" s="20" t="n"/>
    </row>
    <row r="345" ht="16.5" customFormat="1" customHeight="1" s="12">
      <c r="A345" s="17" t="n">
        <v>340</v>
      </c>
      <c r="B345" s="25" t="n"/>
      <c r="C345" s="141">
        <f>H345*I345</f>
        <v/>
      </c>
      <c r="D345" s="41" t="n"/>
      <c r="E345" s="41" t="n"/>
      <c r="F345" s="41" t="n"/>
      <c r="G345" s="42" t="n"/>
      <c r="H345" s="20" t="n"/>
      <c r="I345" s="20" t="n"/>
      <c r="J345" s="20" t="n"/>
    </row>
    <row r="346" ht="16.5" customFormat="1" customHeight="1" s="12">
      <c r="A346" s="17" t="n">
        <v>341</v>
      </c>
      <c r="B346" s="25" t="n"/>
      <c r="C346" s="141">
        <f>H346*I346</f>
        <v/>
      </c>
      <c r="D346" s="41" t="n"/>
      <c r="E346" s="41" t="n"/>
      <c r="F346" s="41" t="n"/>
      <c r="G346" s="42" t="n"/>
      <c r="H346" s="20" t="n"/>
      <c r="I346" s="20" t="n"/>
      <c r="J346" s="20" t="n"/>
    </row>
    <row r="347" ht="16.5" customFormat="1" customHeight="1" s="12">
      <c r="A347" s="17" t="n">
        <v>342</v>
      </c>
      <c r="B347" s="25" t="n"/>
      <c r="C347" s="141">
        <f>H347*I347</f>
        <v/>
      </c>
      <c r="D347" s="41" t="n"/>
      <c r="E347" s="41" t="n"/>
      <c r="F347" s="41" t="n"/>
      <c r="G347" s="42" t="n"/>
      <c r="H347" s="20" t="n"/>
      <c r="I347" s="20" t="n"/>
      <c r="J347" s="20" t="n"/>
    </row>
    <row r="348" ht="16.5" customFormat="1" customHeight="1" s="12">
      <c r="A348" s="17" t="n">
        <v>343</v>
      </c>
      <c r="B348" s="25" t="n"/>
      <c r="C348" s="141">
        <f>H348*I348</f>
        <v/>
      </c>
      <c r="D348" s="41" t="n"/>
      <c r="E348" s="41" t="n"/>
      <c r="F348" s="41" t="n"/>
      <c r="G348" s="42" t="n"/>
      <c r="H348" s="20" t="n"/>
      <c r="I348" s="20" t="n"/>
      <c r="J348" s="20" t="n"/>
    </row>
    <row r="349" ht="16.5" customFormat="1" customHeight="1" s="12">
      <c r="A349" s="17" t="n">
        <v>344</v>
      </c>
      <c r="B349" s="25" t="n"/>
      <c r="C349" s="141">
        <f>H349*I349</f>
        <v/>
      </c>
      <c r="D349" s="41" t="n"/>
      <c r="E349" s="41" t="n"/>
      <c r="F349" s="41" t="n"/>
      <c r="G349" s="42" t="n"/>
      <c r="H349" s="20" t="n"/>
      <c r="I349" s="20" t="n"/>
      <c r="J349" s="20" t="n"/>
    </row>
    <row r="350" ht="16.5" customFormat="1" customHeight="1" s="12">
      <c r="A350" s="17" t="n">
        <v>345</v>
      </c>
      <c r="B350" s="25" t="n"/>
      <c r="C350" s="141">
        <f>H350*I350</f>
        <v/>
      </c>
      <c r="D350" s="41" t="n"/>
      <c r="E350" s="41" t="n"/>
      <c r="F350" s="41" t="n"/>
      <c r="G350" s="42" t="n"/>
      <c r="H350" s="20" t="n"/>
      <c r="I350" s="20" t="n"/>
      <c r="J350" s="20" t="n"/>
    </row>
    <row r="351" ht="16.5" customFormat="1" customHeight="1" s="12">
      <c r="A351" s="17" t="n">
        <v>346</v>
      </c>
      <c r="B351" s="25" t="n"/>
      <c r="C351" s="141">
        <f>H351*I351</f>
        <v/>
      </c>
      <c r="D351" s="41" t="n"/>
      <c r="E351" s="41" t="n"/>
      <c r="F351" s="41" t="n"/>
      <c r="G351" s="42" t="n"/>
      <c r="H351" s="20" t="n"/>
      <c r="I351" s="20" t="n"/>
      <c r="J351" s="20" t="n"/>
    </row>
    <row r="352" ht="16.5" customFormat="1" customHeight="1" s="12">
      <c r="A352" s="17" t="n">
        <v>347</v>
      </c>
      <c r="B352" s="25" t="n"/>
      <c r="C352" s="141">
        <f>H352*I352</f>
        <v/>
      </c>
      <c r="D352" s="41" t="n"/>
      <c r="E352" s="41" t="n"/>
      <c r="F352" s="41" t="n"/>
      <c r="G352" s="42" t="n"/>
      <c r="H352" s="20" t="n"/>
      <c r="I352" s="20" t="n"/>
      <c r="J352" s="20" t="n"/>
    </row>
    <row r="353" ht="16.5" customFormat="1" customHeight="1" s="12">
      <c r="A353" s="17" t="n">
        <v>348</v>
      </c>
      <c r="B353" s="25" t="n"/>
      <c r="C353" s="141">
        <f>H353*I353</f>
        <v/>
      </c>
      <c r="D353" s="41" t="n"/>
      <c r="E353" s="41" t="n"/>
      <c r="F353" s="41" t="n"/>
      <c r="G353" s="42" t="n"/>
      <c r="H353" s="20" t="n"/>
      <c r="I353" s="20" t="n"/>
      <c r="J353" s="20" t="n"/>
    </row>
    <row r="354" ht="16.5" customFormat="1" customHeight="1" s="12">
      <c r="A354" s="17" t="n">
        <v>349</v>
      </c>
      <c r="B354" s="25" t="n"/>
      <c r="C354" s="141">
        <f>H354*I354</f>
        <v/>
      </c>
      <c r="D354" s="41" t="n"/>
      <c r="E354" s="41" t="n"/>
      <c r="F354" s="41" t="n"/>
      <c r="G354" s="42" t="n"/>
      <c r="H354" s="20" t="n"/>
      <c r="I354" s="20" t="n"/>
      <c r="J354" s="20" t="n"/>
    </row>
    <row r="355" ht="16.5" customFormat="1" customHeight="1" s="12">
      <c r="A355" s="17" t="n">
        <v>350</v>
      </c>
      <c r="B355" s="25" t="n"/>
      <c r="C355" s="141">
        <f>H355*I355</f>
        <v/>
      </c>
      <c r="D355" s="41" t="n"/>
      <c r="E355" s="41" t="n"/>
      <c r="F355" s="41" t="n"/>
      <c r="G355" s="42" t="n"/>
      <c r="H355" s="20" t="n"/>
      <c r="I355" s="20" t="n"/>
      <c r="J355" s="20" t="n"/>
    </row>
    <row r="356" ht="16.5" customFormat="1" customHeight="1" s="12">
      <c r="A356" s="17" t="n">
        <v>351</v>
      </c>
      <c r="B356" s="25" t="n"/>
      <c r="C356" s="141">
        <f>H356*I356</f>
        <v/>
      </c>
      <c r="D356" s="41" t="n"/>
      <c r="E356" s="41" t="n"/>
      <c r="F356" s="41" t="n"/>
      <c r="G356" s="42" t="n"/>
      <c r="H356" s="20" t="n"/>
      <c r="I356" s="20" t="n"/>
      <c r="J356" s="20" t="n"/>
    </row>
    <row r="357" ht="16.5" customFormat="1" customHeight="1" s="12">
      <c r="A357" s="17" t="n">
        <v>352</v>
      </c>
      <c r="B357" s="25" t="n"/>
      <c r="C357" s="141">
        <f>H357*I357</f>
        <v/>
      </c>
      <c r="D357" s="41" t="n"/>
      <c r="E357" s="41" t="n"/>
      <c r="F357" s="41" t="n"/>
      <c r="G357" s="42" t="n"/>
      <c r="H357" s="20" t="n"/>
      <c r="I357" s="20" t="n"/>
      <c r="J357" s="20" t="n"/>
    </row>
    <row r="358" ht="16.5" customFormat="1" customHeight="1" s="12">
      <c r="A358" s="17" t="n">
        <v>353</v>
      </c>
      <c r="B358" s="25" t="n"/>
      <c r="C358" s="141">
        <f>H358*I358</f>
        <v/>
      </c>
      <c r="D358" s="41" t="n"/>
      <c r="E358" s="41" t="n"/>
      <c r="F358" s="41" t="n"/>
      <c r="G358" s="42" t="n"/>
      <c r="H358" s="20" t="n"/>
      <c r="I358" s="20" t="n"/>
      <c r="J358" s="20" t="n"/>
    </row>
    <row r="359" ht="16.5" customFormat="1" customHeight="1" s="12">
      <c r="A359" s="17" t="n">
        <v>354</v>
      </c>
      <c r="B359" s="25" t="n"/>
      <c r="C359" s="141">
        <f>H359*I359</f>
        <v/>
      </c>
      <c r="D359" s="41" t="n"/>
      <c r="E359" s="41" t="n"/>
      <c r="F359" s="41" t="n"/>
      <c r="G359" s="42" t="n"/>
      <c r="H359" s="20" t="n"/>
      <c r="I359" s="20" t="n"/>
      <c r="J359" s="20" t="n"/>
    </row>
    <row r="360" ht="16.5" customFormat="1" customHeight="1" s="12">
      <c r="A360" s="17" t="n">
        <v>355</v>
      </c>
      <c r="B360" s="25" t="n"/>
      <c r="C360" s="141">
        <f>H360*I360</f>
        <v/>
      </c>
      <c r="D360" s="41" t="n"/>
      <c r="E360" s="41" t="n"/>
      <c r="F360" s="41" t="n"/>
      <c r="G360" s="42" t="n"/>
      <c r="H360" s="20" t="n"/>
      <c r="I360" s="20" t="n"/>
      <c r="J360" s="20" t="n"/>
    </row>
    <row r="361" ht="16.5" customFormat="1" customHeight="1" s="12">
      <c r="A361" s="17" t="n">
        <v>356</v>
      </c>
      <c r="B361" s="25" t="n"/>
      <c r="C361" s="141">
        <f>H361*I361</f>
        <v/>
      </c>
      <c r="D361" s="41" t="n"/>
      <c r="E361" s="41" t="n"/>
      <c r="F361" s="41" t="n"/>
      <c r="G361" s="42" t="n"/>
      <c r="H361" s="20" t="n"/>
      <c r="I361" s="20" t="n"/>
      <c r="J361" s="20" t="n"/>
    </row>
    <row r="362" ht="16.5" customFormat="1" customHeight="1" s="12">
      <c r="A362" s="17" t="n">
        <v>357</v>
      </c>
      <c r="B362" s="25" t="n"/>
      <c r="C362" s="141">
        <f>H362*I362</f>
        <v/>
      </c>
      <c r="D362" s="41" t="n"/>
      <c r="E362" s="41" t="n"/>
      <c r="F362" s="41" t="n"/>
      <c r="G362" s="42" t="n"/>
      <c r="H362" s="20" t="n"/>
      <c r="I362" s="20" t="n"/>
      <c r="J362" s="20" t="n"/>
    </row>
    <row r="363" ht="16.5" customFormat="1" customHeight="1" s="12">
      <c r="A363" s="17" t="n">
        <v>358</v>
      </c>
      <c r="B363" s="25" t="n"/>
      <c r="C363" s="141">
        <f>H363*I363</f>
        <v/>
      </c>
      <c r="D363" s="41" t="n"/>
      <c r="E363" s="41" t="n"/>
      <c r="F363" s="41" t="n"/>
      <c r="G363" s="42" t="n"/>
      <c r="H363" s="20" t="n"/>
      <c r="I363" s="20" t="n"/>
      <c r="J363" s="20" t="n"/>
    </row>
    <row r="364" ht="16.5" customFormat="1" customHeight="1" s="12">
      <c r="A364" s="17" t="n">
        <v>359</v>
      </c>
      <c r="B364" s="25" t="n"/>
      <c r="C364" s="141">
        <f>H364*I364</f>
        <v/>
      </c>
      <c r="D364" s="41" t="n"/>
      <c r="E364" s="41" t="n"/>
      <c r="F364" s="41" t="n"/>
      <c r="G364" s="42" t="n"/>
      <c r="H364" s="20" t="n"/>
      <c r="I364" s="20" t="n"/>
      <c r="J364" s="20" t="n"/>
    </row>
    <row r="365" ht="16.5" customFormat="1" customHeight="1" s="12">
      <c r="A365" s="17" t="n">
        <v>360</v>
      </c>
      <c r="B365" s="25" t="n"/>
      <c r="C365" s="141">
        <f>H365*I365</f>
        <v/>
      </c>
      <c r="D365" s="41" t="n"/>
      <c r="E365" s="41" t="n"/>
      <c r="F365" s="41" t="n"/>
      <c r="G365" s="42" t="n"/>
      <c r="H365" s="20" t="n"/>
      <c r="I365" s="20" t="n"/>
      <c r="J365" s="20" t="n"/>
    </row>
    <row r="366" ht="16.5" customFormat="1" customHeight="1" s="12">
      <c r="A366" s="17" t="n">
        <v>361</v>
      </c>
      <c r="B366" s="25" t="n"/>
      <c r="C366" s="141">
        <f>H366*I366</f>
        <v/>
      </c>
      <c r="D366" s="41" t="n"/>
      <c r="E366" s="41" t="n"/>
      <c r="F366" s="41" t="n"/>
      <c r="G366" s="42" t="n"/>
      <c r="H366" s="20" t="n"/>
      <c r="I366" s="20" t="n"/>
      <c r="J366" s="20" t="n"/>
    </row>
    <row r="367" ht="16.5" customFormat="1" customHeight="1" s="12">
      <c r="A367" s="17" t="n">
        <v>362</v>
      </c>
      <c r="B367" s="25" t="n"/>
      <c r="C367" s="141">
        <f>H367*I367</f>
        <v/>
      </c>
      <c r="D367" s="41" t="n"/>
      <c r="E367" s="41" t="n"/>
      <c r="F367" s="41" t="n"/>
      <c r="G367" s="42" t="n"/>
      <c r="H367" s="20" t="n"/>
      <c r="I367" s="20" t="n"/>
      <c r="J367" s="20" t="n"/>
    </row>
    <row r="368" ht="16.5" customFormat="1" customHeight="1" s="12">
      <c r="A368" s="17" t="n">
        <v>363</v>
      </c>
      <c r="B368" s="25" t="n"/>
      <c r="C368" s="141">
        <f>H368*I368</f>
        <v/>
      </c>
      <c r="D368" s="41" t="n"/>
      <c r="E368" s="41" t="n"/>
      <c r="F368" s="41" t="n"/>
      <c r="G368" s="42" t="n"/>
      <c r="H368" s="20" t="n"/>
      <c r="I368" s="20" t="n"/>
      <c r="J368" s="20" t="n"/>
    </row>
    <row r="369" ht="16.5" customFormat="1" customHeight="1" s="12">
      <c r="A369" s="17" t="n">
        <v>364</v>
      </c>
      <c r="B369" s="25" t="n"/>
      <c r="C369" s="141">
        <f>H369*I369</f>
        <v/>
      </c>
      <c r="D369" s="41" t="n"/>
      <c r="E369" s="41" t="n"/>
      <c r="F369" s="41" t="n"/>
      <c r="G369" s="42" t="n"/>
      <c r="H369" s="20" t="n"/>
      <c r="I369" s="20" t="n"/>
      <c r="J369" s="20" t="n"/>
    </row>
    <row r="370" ht="16.5" customFormat="1" customHeight="1" s="12">
      <c r="A370" s="17" t="n">
        <v>365</v>
      </c>
      <c r="B370" s="25" t="n"/>
      <c r="C370" s="141">
        <f>H370*I370</f>
        <v/>
      </c>
      <c r="D370" s="41" t="n"/>
      <c r="E370" s="41" t="n"/>
      <c r="F370" s="41" t="n"/>
      <c r="G370" s="42" t="n"/>
      <c r="H370" s="20" t="n"/>
      <c r="I370" s="20" t="n"/>
      <c r="J370" s="20" t="n"/>
    </row>
    <row r="371" ht="16.5" customFormat="1" customHeight="1" s="12">
      <c r="A371" s="17" t="n">
        <v>366</v>
      </c>
      <c r="B371" s="25" t="n"/>
      <c r="C371" s="141">
        <f>H371*I371</f>
        <v/>
      </c>
      <c r="D371" s="41" t="n"/>
      <c r="E371" s="41" t="n"/>
      <c r="F371" s="41" t="n"/>
      <c r="G371" s="42" t="n"/>
      <c r="H371" s="20" t="n"/>
      <c r="I371" s="20" t="n"/>
      <c r="J371" s="20" t="n"/>
    </row>
    <row r="372" ht="16.5" customFormat="1" customHeight="1" s="12">
      <c r="A372" s="17" t="n">
        <v>367</v>
      </c>
      <c r="B372" s="25" t="n"/>
      <c r="C372" s="141">
        <f>H372*I372</f>
        <v/>
      </c>
      <c r="D372" s="41" t="n"/>
      <c r="E372" s="41" t="n"/>
      <c r="F372" s="41" t="n"/>
      <c r="G372" s="42" t="n"/>
      <c r="H372" s="20" t="n"/>
      <c r="I372" s="20" t="n"/>
      <c r="J372" s="20" t="n"/>
    </row>
    <row r="373" ht="16.5" customFormat="1" customHeight="1" s="12">
      <c r="A373" s="17" t="n">
        <v>368</v>
      </c>
      <c r="B373" s="25" t="n"/>
      <c r="C373" s="141">
        <f>H373*I373</f>
        <v/>
      </c>
      <c r="D373" s="41" t="n"/>
      <c r="E373" s="41" t="n"/>
      <c r="F373" s="41" t="n"/>
      <c r="G373" s="42" t="n"/>
      <c r="H373" s="20" t="n"/>
      <c r="I373" s="20" t="n"/>
      <c r="J373" s="20" t="n"/>
    </row>
    <row r="374" ht="16.5" customFormat="1" customHeight="1" s="12">
      <c r="A374" s="17" t="n">
        <v>369</v>
      </c>
      <c r="B374" s="25" t="n"/>
      <c r="C374" s="141">
        <f>H374*I374</f>
        <v/>
      </c>
      <c r="D374" s="41" t="n"/>
      <c r="E374" s="41" t="n"/>
      <c r="F374" s="41" t="n"/>
      <c r="G374" s="42" t="n"/>
      <c r="H374" s="20" t="n"/>
      <c r="I374" s="20" t="n"/>
      <c r="J374" s="20" t="n"/>
    </row>
    <row r="375" ht="16.5" customFormat="1" customHeight="1" s="12">
      <c r="A375" s="17" t="n">
        <v>370</v>
      </c>
      <c r="B375" s="25" t="n"/>
      <c r="C375" s="141">
        <f>H375*I375</f>
        <v/>
      </c>
      <c r="D375" s="41" t="n"/>
      <c r="E375" s="41" t="n"/>
      <c r="F375" s="41" t="n"/>
      <c r="G375" s="42" t="n"/>
      <c r="H375" s="20" t="n"/>
      <c r="I375" s="20" t="n"/>
      <c r="J375" s="20" t="n"/>
    </row>
    <row r="376" ht="16.5" customFormat="1" customHeight="1" s="12">
      <c r="A376" s="17" t="n">
        <v>371</v>
      </c>
      <c r="B376" s="25" t="n"/>
      <c r="C376" s="141">
        <f>H376*I376</f>
        <v/>
      </c>
      <c r="D376" s="41" t="n"/>
      <c r="E376" s="41" t="n"/>
      <c r="F376" s="41" t="n"/>
      <c r="G376" s="42" t="n"/>
      <c r="H376" s="20" t="n"/>
      <c r="I376" s="20" t="n"/>
      <c r="J376" s="20" t="n"/>
    </row>
    <row r="377" ht="16.5" customFormat="1" customHeight="1" s="12">
      <c r="A377" s="17" t="n">
        <v>372</v>
      </c>
      <c r="B377" s="25" t="n"/>
      <c r="C377" s="141">
        <f>H377*I377</f>
        <v/>
      </c>
      <c r="D377" s="41" t="n"/>
      <c r="E377" s="41" t="n"/>
      <c r="F377" s="41" t="n"/>
      <c r="G377" s="42" t="n"/>
      <c r="H377" s="20" t="n"/>
      <c r="I377" s="20" t="n"/>
      <c r="J377" s="20" t="n"/>
    </row>
    <row r="378" ht="16.5" customFormat="1" customHeight="1" s="12">
      <c r="A378" s="17" t="n">
        <v>373</v>
      </c>
      <c r="B378" s="25" t="n"/>
      <c r="C378" s="141">
        <f>H378*I378</f>
        <v/>
      </c>
      <c r="D378" s="41" t="n"/>
      <c r="E378" s="41" t="n"/>
      <c r="F378" s="41" t="n"/>
      <c r="G378" s="42" t="n"/>
      <c r="H378" s="20" t="n"/>
      <c r="I378" s="20" t="n"/>
      <c r="J378" s="20" t="n"/>
    </row>
    <row r="379" ht="16.5" customFormat="1" customHeight="1" s="12">
      <c r="A379" s="17" t="n">
        <v>374</v>
      </c>
      <c r="B379" s="25" t="n"/>
      <c r="C379" s="141">
        <f>H379*I379</f>
        <v/>
      </c>
      <c r="D379" s="41" t="n"/>
      <c r="E379" s="41" t="n"/>
      <c r="F379" s="41" t="n"/>
      <c r="G379" s="42" t="n"/>
      <c r="H379" s="20" t="n"/>
      <c r="I379" s="20" t="n"/>
      <c r="J379" s="20" t="n"/>
    </row>
    <row r="380" ht="16.5" customFormat="1" customHeight="1" s="12">
      <c r="A380" s="17" t="n">
        <v>375</v>
      </c>
      <c r="B380" s="25" t="n"/>
      <c r="C380" s="141">
        <f>H380*I380</f>
        <v/>
      </c>
      <c r="D380" s="41" t="n"/>
      <c r="E380" s="41" t="n"/>
      <c r="F380" s="41" t="n"/>
      <c r="G380" s="42" t="n"/>
      <c r="H380" s="20" t="n"/>
      <c r="I380" s="20" t="n"/>
      <c r="J380" s="20" t="n"/>
    </row>
    <row r="381" ht="16.5" customFormat="1" customHeight="1" s="12">
      <c r="A381" s="17" t="n">
        <v>376</v>
      </c>
      <c r="B381" s="25" t="n"/>
      <c r="C381" s="141">
        <f>H381*I381</f>
        <v/>
      </c>
      <c r="D381" s="41" t="n"/>
      <c r="E381" s="41" t="n"/>
      <c r="F381" s="41" t="n"/>
      <c r="G381" s="42" t="n"/>
      <c r="H381" s="20" t="n"/>
      <c r="I381" s="20" t="n"/>
      <c r="J381" s="20" t="n"/>
    </row>
    <row r="382" ht="16.5" customFormat="1" customHeight="1" s="12">
      <c r="A382" s="17" t="n">
        <v>377</v>
      </c>
      <c r="B382" s="25" t="n"/>
      <c r="C382" s="141">
        <f>H382*I382</f>
        <v/>
      </c>
      <c r="D382" s="41" t="n"/>
      <c r="E382" s="41" t="n"/>
      <c r="F382" s="41" t="n"/>
      <c r="G382" s="42" t="n"/>
      <c r="H382" s="20" t="n"/>
      <c r="I382" s="20" t="n"/>
      <c r="J382" s="20" t="n"/>
    </row>
    <row r="383" ht="16.5" customFormat="1" customHeight="1" s="12">
      <c r="A383" s="17" t="n">
        <v>378</v>
      </c>
      <c r="B383" s="25" t="n"/>
      <c r="C383" s="141">
        <f>H383*I383</f>
        <v/>
      </c>
      <c r="D383" s="41" t="n"/>
      <c r="E383" s="41" t="n"/>
      <c r="F383" s="41" t="n"/>
      <c r="G383" s="42" t="n"/>
      <c r="H383" s="20" t="n"/>
      <c r="I383" s="20" t="n"/>
      <c r="J383" s="20" t="n"/>
    </row>
    <row r="384" ht="16.5" customFormat="1" customHeight="1" s="12">
      <c r="A384" s="17" t="n">
        <v>379</v>
      </c>
      <c r="B384" s="25" t="n"/>
      <c r="C384" s="141">
        <f>H384*I384</f>
        <v/>
      </c>
      <c r="D384" s="41" t="n"/>
      <c r="E384" s="41" t="n"/>
      <c r="F384" s="41" t="n"/>
      <c r="G384" s="42" t="n"/>
      <c r="H384" s="20" t="n"/>
      <c r="I384" s="20" t="n"/>
      <c r="J384" s="20" t="n"/>
    </row>
    <row r="385" ht="16.5" customFormat="1" customHeight="1" s="12">
      <c r="A385" s="17" t="n">
        <v>380</v>
      </c>
      <c r="B385" s="25" t="n"/>
      <c r="C385" s="141">
        <f>H385*I385</f>
        <v/>
      </c>
      <c r="D385" s="41" t="n"/>
      <c r="E385" s="41" t="n"/>
      <c r="F385" s="41" t="n"/>
      <c r="G385" s="42" t="n"/>
      <c r="H385" s="20" t="n"/>
      <c r="I385" s="20" t="n"/>
      <c r="J385" s="20" t="n"/>
    </row>
    <row r="386" ht="16.5" customFormat="1" customHeight="1" s="12">
      <c r="A386" s="17" t="n">
        <v>381</v>
      </c>
      <c r="B386" s="25" t="n"/>
      <c r="C386" s="141">
        <f>H386*I386</f>
        <v/>
      </c>
      <c r="D386" s="41" t="n"/>
      <c r="E386" s="41" t="n"/>
      <c r="F386" s="41" t="n"/>
      <c r="G386" s="42" t="n"/>
      <c r="H386" s="20" t="n"/>
      <c r="I386" s="20" t="n"/>
      <c r="J386" s="20" t="n"/>
    </row>
    <row r="387" ht="16.5" customFormat="1" customHeight="1" s="12">
      <c r="A387" s="17" t="n">
        <v>382</v>
      </c>
      <c r="B387" s="25" t="n"/>
      <c r="C387" s="141">
        <f>H387*I387</f>
        <v/>
      </c>
      <c r="D387" s="41" t="n"/>
      <c r="E387" s="41" t="n"/>
      <c r="F387" s="41" t="n"/>
      <c r="G387" s="42" t="n"/>
      <c r="H387" s="20" t="n"/>
      <c r="I387" s="20" t="n"/>
      <c r="J387" s="20" t="n"/>
    </row>
    <row r="388" ht="16.5" customFormat="1" customHeight="1" s="12">
      <c r="A388" s="17" t="n">
        <v>383</v>
      </c>
      <c r="B388" s="25" t="n"/>
      <c r="C388" s="141">
        <f>H388*I388</f>
        <v/>
      </c>
      <c r="D388" s="41" t="n"/>
      <c r="E388" s="41" t="n"/>
      <c r="F388" s="41" t="n"/>
      <c r="G388" s="42" t="n"/>
      <c r="H388" s="20" t="n"/>
      <c r="I388" s="20" t="n"/>
      <c r="J388" s="20" t="n"/>
    </row>
    <row r="389" ht="16.5" customFormat="1" customHeight="1" s="12">
      <c r="A389" s="17" t="n">
        <v>384</v>
      </c>
      <c r="B389" s="25" t="n"/>
      <c r="C389" s="141">
        <f>H389*I389</f>
        <v/>
      </c>
      <c r="D389" s="41" t="n"/>
      <c r="E389" s="41" t="n"/>
      <c r="F389" s="41" t="n"/>
      <c r="G389" s="42" t="n"/>
      <c r="H389" s="20" t="n"/>
      <c r="I389" s="20" t="n"/>
      <c r="J389" s="20" t="n"/>
    </row>
    <row r="390" ht="16.5" customFormat="1" customHeight="1" s="12">
      <c r="A390" s="17" t="n">
        <v>385</v>
      </c>
      <c r="B390" s="25" t="n"/>
      <c r="C390" s="141">
        <f>H390*I390</f>
        <v/>
      </c>
      <c r="D390" s="41" t="n"/>
      <c r="E390" s="41" t="n"/>
      <c r="F390" s="41" t="n"/>
      <c r="G390" s="42" t="n"/>
      <c r="H390" s="20" t="n"/>
      <c r="I390" s="20" t="n"/>
      <c r="J390" s="20" t="n"/>
    </row>
    <row r="391" ht="16.5" customFormat="1" customHeight="1" s="12">
      <c r="A391" s="17" t="n">
        <v>386</v>
      </c>
      <c r="B391" s="25" t="n"/>
      <c r="C391" s="141">
        <f>H391*I391</f>
        <v/>
      </c>
      <c r="D391" s="41" t="n"/>
      <c r="E391" s="41" t="n"/>
      <c r="F391" s="41" t="n"/>
      <c r="G391" s="42" t="n"/>
      <c r="H391" s="20" t="n"/>
      <c r="I391" s="20" t="n"/>
      <c r="J391" s="20" t="n"/>
    </row>
    <row r="392" ht="16.5" customFormat="1" customHeight="1" s="12">
      <c r="A392" s="17" t="n">
        <v>387</v>
      </c>
      <c r="B392" s="25" t="n"/>
      <c r="C392" s="141">
        <f>H392*I392</f>
        <v/>
      </c>
      <c r="D392" s="41" t="n"/>
      <c r="E392" s="41" t="n"/>
      <c r="F392" s="41" t="n"/>
      <c r="G392" s="42" t="n"/>
      <c r="H392" s="20" t="n"/>
      <c r="I392" s="20" t="n"/>
      <c r="J392" s="20" t="n"/>
    </row>
    <row r="393" ht="16.5" customFormat="1" customHeight="1" s="12">
      <c r="A393" s="17" t="n">
        <v>388</v>
      </c>
      <c r="B393" s="25" t="n"/>
      <c r="C393" s="141">
        <f>H393*I393</f>
        <v/>
      </c>
      <c r="D393" s="41" t="n"/>
      <c r="E393" s="41" t="n"/>
      <c r="F393" s="41" t="n"/>
      <c r="G393" s="42" t="n"/>
      <c r="H393" s="20" t="n"/>
      <c r="I393" s="20" t="n"/>
      <c r="J393" s="20" t="n"/>
    </row>
    <row r="394" ht="16.5" customFormat="1" customHeight="1" s="12">
      <c r="A394" s="17" t="n">
        <v>389</v>
      </c>
      <c r="B394" s="25" t="n"/>
      <c r="C394" s="141">
        <f>H394*I394</f>
        <v/>
      </c>
      <c r="D394" s="41" t="n"/>
      <c r="E394" s="41" t="n"/>
      <c r="F394" s="41" t="n"/>
      <c r="G394" s="42" t="n"/>
      <c r="H394" s="20" t="n"/>
      <c r="I394" s="20" t="n"/>
      <c r="J394" s="20" t="n"/>
    </row>
    <row r="395" ht="16.5" customFormat="1" customHeight="1" s="12">
      <c r="A395" s="17" t="n">
        <v>390</v>
      </c>
      <c r="B395" s="25" t="n"/>
      <c r="C395" s="141">
        <f>H395*I395</f>
        <v/>
      </c>
      <c r="D395" s="41" t="n"/>
      <c r="E395" s="41" t="n"/>
      <c r="F395" s="41" t="n"/>
      <c r="G395" s="42" t="n"/>
      <c r="H395" s="20" t="n"/>
      <c r="I395" s="20" t="n"/>
      <c r="J395" s="20" t="n"/>
    </row>
    <row r="396" ht="16.5" customFormat="1" customHeight="1" s="12">
      <c r="A396" s="17" t="n">
        <v>391</v>
      </c>
      <c r="B396" s="25" t="n"/>
      <c r="C396" s="141">
        <f>H396*I396</f>
        <v/>
      </c>
      <c r="D396" s="41" t="n"/>
      <c r="E396" s="41" t="n"/>
      <c r="F396" s="41" t="n"/>
      <c r="G396" s="42" t="n"/>
      <c r="H396" s="20" t="n"/>
      <c r="I396" s="20" t="n"/>
      <c r="J396" s="20" t="n"/>
    </row>
    <row r="397" ht="16.5" customFormat="1" customHeight="1" s="12">
      <c r="A397" s="17" t="n">
        <v>392</v>
      </c>
      <c r="B397" s="25" t="n"/>
      <c r="C397" s="141">
        <f>H397*I397</f>
        <v/>
      </c>
      <c r="D397" s="41" t="n"/>
      <c r="E397" s="41" t="n"/>
      <c r="F397" s="41" t="n"/>
      <c r="G397" s="42" t="n"/>
      <c r="H397" s="20" t="n"/>
      <c r="I397" s="20" t="n"/>
      <c r="J397" s="20" t="n"/>
    </row>
    <row r="398" ht="16.5" customFormat="1" customHeight="1" s="12">
      <c r="A398" s="17" t="n">
        <v>393</v>
      </c>
      <c r="B398" s="25" t="n"/>
      <c r="C398" s="141">
        <f>H398*I398</f>
        <v/>
      </c>
      <c r="D398" s="41" t="n"/>
      <c r="E398" s="41" t="n"/>
      <c r="F398" s="41" t="n"/>
      <c r="G398" s="42" t="n"/>
      <c r="H398" s="20" t="n"/>
      <c r="I398" s="20" t="n"/>
      <c r="J398" s="20" t="n"/>
    </row>
    <row r="399" ht="16.5" customFormat="1" customHeight="1" s="12">
      <c r="A399" s="17" t="n">
        <v>394</v>
      </c>
      <c r="B399" s="25" t="n"/>
      <c r="C399" s="141">
        <f>H399*I399</f>
        <v/>
      </c>
      <c r="D399" s="41" t="n"/>
      <c r="E399" s="41" t="n"/>
      <c r="F399" s="41" t="n"/>
      <c r="G399" s="42" t="n"/>
      <c r="H399" s="20" t="n"/>
      <c r="I399" s="20" t="n"/>
      <c r="J399" s="20" t="n"/>
    </row>
    <row r="400" ht="16.5" customFormat="1" customHeight="1" s="12">
      <c r="A400" s="17" t="n">
        <v>395</v>
      </c>
      <c r="B400" s="25" t="n"/>
      <c r="C400" s="141">
        <f>H400*I400</f>
        <v/>
      </c>
      <c r="D400" s="41" t="n"/>
      <c r="E400" s="41" t="n"/>
      <c r="F400" s="41" t="n"/>
      <c r="G400" s="42" t="n"/>
      <c r="H400" s="20" t="n"/>
      <c r="I400" s="20" t="n"/>
      <c r="J400" s="20" t="n"/>
    </row>
    <row r="401" ht="16.5" customFormat="1" customHeight="1" s="12">
      <c r="A401" s="17" t="n">
        <v>396</v>
      </c>
      <c r="B401" s="25" t="n"/>
      <c r="C401" s="141">
        <f>H401*I401</f>
        <v/>
      </c>
      <c r="D401" s="41" t="n"/>
      <c r="E401" s="41" t="n"/>
      <c r="F401" s="41" t="n"/>
      <c r="G401" s="42" t="n"/>
      <c r="H401" s="20" t="n"/>
      <c r="I401" s="20" t="n"/>
      <c r="J401" s="20" t="n"/>
    </row>
    <row r="402" ht="16.5" customFormat="1" customHeight="1" s="12">
      <c r="A402" s="17" t="n">
        <v>397</v>
      </c>
      <c r="B402" s="25" t="n"/>
      <c r="C402" s="141">
        <f>H402*I402</f>
        <v/>
      </c>
      <c r="D402" s="41" t="n"/>
      <c r="E402" s="41" t="n"/>
      <c r="F402" s="41" t="n"/>
      <c r="G402" s="42" t="n"/>
      <c r="H402" s="20" t="n"/>
      <c r="I402" s="20" t="n"/>
      <c r="J402" s="20" t="n"/>
    </row>
    <row r="403" ht="16.5" customFormat="1" customHeight="1" s="12">
      <c r="A403" s="17" t="n">
        <v>398</v>
      </c>
      <c r="B403" s="25" t="n"/>
      <c r="C403" s="141">
        <f>H403*I403</f>
        <v/>
      </c>
      <c r="D403" s="41" t="n"/>
      <c r="E403" s="41" t="n"/>
      <c r="F403" s="41" t="n"/>
      <c r="G403" s="42" t="n"/>
      <c r="H403" s="20" t="n"/>
      <c r="I403" s="20" t="n"/>
      <c r="J403" s="20" t="n"/>
    </row>
    <row r="404" ht="16.5" customFormat="1" customHeight="1" s="12">
      <c r="A404" s="17" t="n">
        <v>399</v>
      </c>
      <c r="B404" s="25" t="n"/>
      <c r="C404" s="141">
        <f>H404*I404</f>
        <v/>
      </c>
      <c r="D404" s="41" t="n"/>
      <c r="E404" s="41" t="n"/>
      <c r="F404" s="41" t="n"/>
      <c r="G404" s="42" t="n"/>
      <c r="H404" s="20" t="n"/>
      <c r="I404" s="20" t="n"/>
      <c r="J404" s="20" t="n"/>
    </row>
    <row r="405" ht="16.5" customFormat="1" customHeight="1" s="12">
      <c r="A405" s="17" t="n">
        <v>400</v>
      </c>
      <c r="B405" s="25" t="n"/>
      <c r="C405" s="141">
        <f>H405*I405</f>
        <v/>
      </c>
      <c r="D405" s="41" t="n"/>
      <c r="E405" s="41" t="n"/>
      <c r="F405" s="41" t="n"/>
      <c r="G405" s="42" t="n"/>
      <c r="H405" s="20" t="n"/>
      <c r="I405" s="20" t="n"/>
      <c r="J405" s="20" t="n"/>
    </row>
    <row r="406" ht="16.5" customFormat="1" customHeight="1" s="12">
      <c r="A406" s="17" t="n">
        <v>401</v>
      </c>
      <c r="B406" s="25" t="n"/>
      <c r="C406" s="141">
        <f>H406*I406</f>
        <v/>
      </c>
      <c r="D406" s="41" t="n"/>
      <c r="E406" s="41" t="n"/>
      <c r="F406" s="41" t="n"/>
      <c r="G406" s="42" t="n"/>
      <c r="H406" s="20" t="n"/>
      <c r="I406" s="20" t="n"/>
      <c r="J406" s="20" t="n"/>
    </row>
    <row r="407" ht="16.5" customFormat="1" customHeight="1" s="12">
      <c r="A407" s="17" t="n">
        <v>402</v>
      </c>
      <c r="B407" s="25" t="n"/>
      <c r="C407" s="141">
        <f>H407*I407</f>
        <v/>
      </c>
      <c r="D407" s="41" t="n"/>
      <c r="E407" s="41" t="n"/>
      <c r="F407" s="41" t="n"/>
      <c r="G407" s="42" t="n"/>
      <c r="H407" s="20" t="n"/>
      <c r="I407" s="20" t="n"/>
      <c r="J407" s="20" t="n"/>
    </row>
    <row r="408" ht="16.5" customFormat="1" customHeight="1" s="12">
      <c r="A408" s="17" t="n">
        <v>403</v>
      </c>
      <c r="B408" s="25" t="n"/>
      <c r="C408" s="141">
        <f>H408*I408</f>
        <v/>
      </c>
      <c r="D408" s="41" t="n"/>
      <c r="E408" s="41" t="n"/>
      <c r="F408" s="41" t="n"/>
      <c r="G408" s="42" t="n"/>
      <c r="H408" s="20" t="n"/>
      <c r="I408" s="20" t="n"/>
      <c r="J408" s="20" t="n"/>
    </row>
    <row r="409" ht="16.5" customFormat="1" customHeight="1" s="12">
      <c r="A409" s="17" t="n">
        <v>404</v>
      </c>
      <c r="B409" s="25" t="n"/>
      <c r="C409" s="141">
        <f>H409*I409</f>
        <v/>
      </c>
      <c r="D409" s="41" t="n"/>
      <c r="E409" s="41" t="n"/>
      <c r="F409" s="41" t="n"/>
      <c r="G409" s="42" t="n"/>
      <c r="H409" s="20" t="n"/>
      <c r="I409" s="20" t="n"/>
      <c r="J409" s="20" t="n"/>
    </row>
    <row r="410" ht="16.5" customFormat="1" customHeight="1" s="12">
      <c r="A410" s="17" t="n">
        <v>405</v>
      </c>
      <c r="B410" s="25" t="n"/>
      <c r="C410" s="141">
        <f>H410*I410</f>
        <v/>
      </c>
      <c r="D410" s="41" t="n"/>
      <c r="E410" s="41" t="n"/>
      <c r="F410" s="41" t="n"/>
      <c r="G410" s="42" t="n"/>
      <c r="H410" s="20" t="n"/>
      <c r="I410" s="20" t="n"/>
      <c r="J410" s="20" t="n"/>
    </row>
    <row r="411" ht="16.5" customFormat="1" customHeight="1" s="12">
      <c r="A411" s="17" t="n">
        <v>406</v>
      </c>
      <c r="B411" s="25" t="n"/>
      <c r="C411" s="141">
        <f>H411*I411</f>
        <v/>
      </c>
      <c r="D411" s="41" t="n"/>
      <c r="E411" s="41" t="n"/>
      <c r="F411" s="41" t="n"/>
      <c r="G411" s="42" t="n"/>
      <c r="H411" s="20" t="n"/>
      <c r="I411" s="20" t="n"/>
      <c r="J411" s="20" t="n"/>
    </row>
    <row r="412" ht="16.5" customFormat="1" customHeight="1" s="12">
      <c r="A412" s="17" t="n">
        <v>407</v>
      </c>
      <c r="B412" s="25" t="n"/>
      <c r="C412" s="141">
        <f>H412*I412</f>
        <v/>
      </c>
      <c r="D412" s="41" t="n"/>
      <c r="E412" s="41" t="n"/>
      <c r="F412" s="41" t="n"/>
      <c r="G412" s="42" t="n"/>
      <c r="H412" s="20" t="n"/>
      <c r="I412" s="20" t="n"/>
      <c r="J412" s="20" t="n"/>
    </row>
    <row r="413" ht="16.5" customFormat="1" customHeight="1" s="12">
      <c r="A413" s="17" t="n">
        <v>408</v>
      </c>
      <c r="B413" s="25" t="n"/>
      <c r="C413" s="141">
        <f>H413*I413</f>
        <v/>
      </c>
      <c r="D413" s="41" t="n"/>
      <c r="E413" s="41" t="n"/>
      <c r="F413" s="41" t="n"/>
      <c r="G413" s="42" t="n"/>
      <c r="H413" s="20" t="n"/>
      <c r="I413" s="20" t="n"/>
      <c r="J413" s="20" t="n"/>
    </row>
    <row r="414" ht="16.5" customFormat="1" customHeight="1" s="12">
      <c r="A414" s="17" t="n">
        <v>409</v>
      </c>
      <c r="B414" s="25" t="n"/>
      <c r="C414" s="141">
        <f>H414*I414</f>
        <v/>
      </c>
      <c r="D414" s="41" t="n"/>
      <c r="E414" s="41" t="n"/>
      <c r="F414" s="41" t="n"/>
      <c r="G414" s="42" t="n"/>
      <c r="H414" s="20" t="n"/>
      <c r="I414" s="20" t="n"/>
      <c r="J414" s="20" t="n"/>
    </row>
    <row r="415" ht="16.5" customFormat="1" customHeight="1" s="12">
      <c r="A415" s="17" t="n">
        <v>410</v>
      </c>
      <c r="B415" s="25" t="n"/>
      <c r="C415" s="141">
        <f>H415*I415</f>
        <v/>
      </c>
      <c r="D415" s="41" t="n"/>
      <c r="E415" s="41" t="n"/>
      <c r="F415" s="41" t="n"/>
      <c r="G415" s="42" t="n"/>
      <c r="H415" s="20" t="n"/>
      <c r="I415" s="20" t="n"/>
      <c r="J415" s="20" t="n"/>
    </row>
    <row r="416" ht="16.5" customFormat="1" customHeight="1" s="12">
      <c r="A416" s="17" t="n">
        <v>411</v>
      </c>
      <c r="B416" s="25" t="n"/>
      <c r="C416" s="141">
        <f>H416*I416</f>
        <v/>
      </c>
      <c r="D416" s="41" t="n"/>
      <c r="E416" s="41" t="n"/>
      <c r="F416" s="41" t="n"/>
      <c r="G416" s="42" t="n"/>
      <c r="H416" s="20" t="n"/>
      <c r="I416" s="20" t="n"/>
      <c r="J416" s="20" t="n"/>
    </row>
    <row r="417" ht="16.5" customFormat="1" customHeight="1" s="12">
      <c r="A417" s="17" t="n">
        <v>412</v>
      </c>
      <c r="B417" s="25" t="n"/>
      <c r="C417" s="141">
        <f>H417*I417</f>
        <v/>
      </c>
      <c r="D417" s="41" t="n"/>
      <c r="E417" s="41" t="n"/>
      <c r="F417" s="41" t="n"/>
      <c r="G417" s="42" t="n"/>
      <c r="H417" s="20" t="n"/>
      <c r="I417" s="20" t="n"/>
      <c r="J417" s="20" t="n"/>
    </row>
    <row r="418" ht="16.5" customFormat="1" customHeight="1" s="12">
      <c r="A418" s="17" t="n">
        <v>413</v>
      </c>
      <c r="B418" s="25" t="n"/>
      <c r="C418" s="141">
        <f>H418*I418</f>
        <v/>
      </c>
      <c r="D418" s="41" t="n"/>
      <c r="E418" s="41" t="n"/>
      <c r="F418" s="41" t="n"/>
      <c r="G418" s="42" t="n"/>
      <c r="H418" s="20" t="n"/>
      <c r="I418" s="20" t="n"/>
      <c r="J418" s="20" t="n"/>
    </row>
    <row r="419" ht="16.5" customFormat="1" customHeight="1" s="12">
      <c r="A419" s="17" t="n">
        <v>414</v>
      </c>
      <c r="B419" s="25" t="n"/>
      <c r="C419" s="141">
        <f>H419*I419</f>
        <v/>
      </c>
      <c r="D419" s="41" t="n"/>
      <c r="E419" s="41" t="n"/>
      <c r="F419" s="41" t="n"/>
      <c r="G419" s="42" t="n"/>
      <c r="H419" s="20" t="n"/>
      <c r="I419" s="20" t="n"/>
      <c r="J419" s="20" t="n"/>
    </row>
    <row r="420" ht="16.5" customFormat="1" customHeight="1" s="12">
      <c r="A420" s="17" t="n">
        <v>415</v>
      </c>
      <c r="B420" s="25" t="n"/>
      <c r="C420" s="141">
        <f>H420*I420</f>
        <v/>
      </c>
      <c r="D420" s="41" t="n"/>
      <c r="E420" s="41" t="n"/>
      <c r="F420" s="41" t="n"/>
      <c r="G420" s="42" t="n"/>
      <c r="H420" s="20" t="n"/>
      <c r="I420" s="20" t="n"/>
      <c r="J420" s="20" t="n"/>
    </row>
    <row r="421" ht="16.5" customFormat="1" customHeight="1" s="12">
      <c r="A421" s="17" t="n">
        <v>416</v>
      </c>
      <c r="B421" s="25" t="n"/>
      <c r="C421" s="141">
        <f>H421*I421</f>
        <v/>
      </c>
      <c r="D421" s="41" t="n"/>
      <c r="E421" s="41" t="n"/>
      <c r="F421" s="41" t="n"/>
      <c r="G421" s="42" t="n"/>
      <c r="H421" s="20" t="n"/>
      <c r="I421" s="20" t="n"/>
      <c r="J421" s="20" t="n"/>
    </row>
    <row r="422" ht="16.5" customFormat="1" customHeight="1" s="12">
      <c r="A422" s="17" t="n">
        <v>417</v>
      </c>
      <c r="B422" s="25" t="n"/>
      <c r="C422" s="141">
        <f>H422*I422</f>
        <v/>
      </c>
      <c r="D422" s="41" t="n"/>
      <c r="E422" s="41" t="n"/>
      <c r="F422" s="41" t="n"/>
      <c r="G422" s="42" t="n"/>
      <c r="H422" s="20" t="n"/>
      <c r="I422" s="20" t="n"/>
      <c r="J422" s="20" t="n"/>
    </row>
    <row r="423" ht="16.5" customFormat="1" customHeight="1" s="12">
      <c r="A423" s="17" t="n">
        <v>418</v>
      </c>
      <c r="B423" s="25" t="n"/>
      <c r="C423" s="141">
        <f>H423*I423</f>
        <v/>
      </c>
      <c r="D423" s="41" t="n"/>
      <c r="E423" s="41" t="n"/>
      <c r="F423" s="41" t="n"/>
      <c r="G423" s="42" t="n"/>
      <c r="H423" s="20" t="n"/>
      <c r="I423" s="20" t="n"/>
      <c r="J423" s="20" t="n"/>
    </row>
    <row r="424" ht="16.5" customFormat="1" customHeight="1" s="12">
      <c r="A424" s="17" t="n">
        <v>419</v>
      </c>
      <c r="B424" s="25" t="n"/>
      <c r="C424" s="141">
        <f>H424*I424</f>
        <v/>
      </c>
      <c r="D424" s="41" t="n"/>
      <c r="E424" s="41" t="n"/>
      <c r="F424" s="41" t="n"/>
      <c r="G424" s="42" t="n"/>
      <c r="H424" s="20" t="n"/>
      <c r="I424" s="20" t="n"/>
      <c r="J424" s="20" t="n"/>
    </row>
    <row r="425" ht="16.5" customFormat="1" customHeight="1" s="12">
      <c r="A425" s="17" t="n">
        <v>420</v>
      </c>
      <c r="B425" s="25" t="n"/>
      <c r="C425" s="141">
        <f>H425*I425</f>
        <v/>
      </c>
      <c r="D425" s="41" t="n"/>
      <c r="E425" s="41" t="n"/>
      <c r="F425" s="41" t="n"/>
      <c r="G425" s="42" t="n"/>
      <c r="H425" s="20" t="n"/>
      <c r="I425" s="20" t="n"/>
      <c r="J425" s="20" t="n"/>
    </row>
    <row r="426" ht="16.5" customFormat="1" customHeight="1" s="12">
      <c r="A426" s="17" t="n">
        <v>421</v>
      </c>
      <c r="B426" s="25" t="n"/>
      <c r="C426" s="141">
        <f>H426*I426</f>
        <v/>
      </c>
      <c r="D426" s="41" t="n"/>
      <c r="E426" s="41" t="n"/>
      <c r="F426" s="41" t="n"/>
      <c r="G426" s="42" t="n"/>
      <c r="H426" s="20" t="n"/>
      <c r="I426" s="20" t="n"/>
      <c r="J426" s="20" t="n"/>
    </row>
    <row r="427" ht="16.5" customFormat="1" customHeight="1" s="12">
      <c r="A427" s="17" t="n">
        <v>422</v>
      </c>
      <c r="B427" s="25" t="n"/>
      <c r="C427" s="141">
        <f>H427*I427</f>
        <v/>
      </c>
      <c r="D427" s="41" t="n"/>
      <c r="E427" s="41" t="n"/>
      <c r="F427" s="41" t="n"/>
      <c r="G427" s="42" t="n"/>
      <c r="H427" s="20" t="n"/>
      <c r="I427" s="20" t="n"/>
      <c r="J427" s="20" t="n"/>
    </row>
    <row r="428" ht="16.5" customFormat="1" customHeight="1" s="12">
      <c r="A428" s="17" t="n">
        <v>423</v>
      </c>
      <c r="B428" s="25" t="n"/>
      <c r="C428" s="141">
        <f>H428*I428</f>
        <v/>
      </c>
      <c r="D428" s="41" t="n"/>
      <c r="E428" s="41" t="n"/>
      <c r="F428" s="41" t="n"/>
      <c r="G428" s="42" t="n"/>
      <c r="H428" s="20" t="n"/>
      <c r="I428" s="20" t="n"/>
      <c r="J428" s="20" t="n"/>
    </row>
    <row r="429" ht="16.5" customFormat="1" customHeight="1" s="12">
      <c r="A429" s="17" t="n">
        <v>424</v>
      </c>
      <c r="B429" s="25" t="n"/>
      <c r="C429" s="141">
        <f>H429*I429</f>
        <v/>
      </c>
      <c r="D429" s="41" t="n"/>
      <c r="E429" s="41" t="n"/>
      <c r="F429" s="41" t="n"/>
      <c r="G429" s="42" t="n"/>
      <c r="H429" s="20" t="n"/>
      <c r="I429" s="20" t="n"/>
      <c r="J429" s="20" t="n"/>
    </row>
    <row r="430" ht="16.5" customFormat="1" customHeight="1" s="12">
      <c r="A430" s="17" t="n">
        <v>425</v>
      </c>
      <c r="B430" s="25" t="n"/>
      <c r="C430" s="141">
        <f>H430*I430</f>
        <v/>
      </c>
      <c r="D430" s="41" t="n"/>
      <c r="E430" s="41" t="n"/>
      <c r="F430" s="41" t="n"/>
      <c r="G430" s="42" t="n"/>
      <c r="H430" s="20" t="n"/>
      <c r="I430" s="20" t="n"/>
      <c r="J430" s="20" t="n"/>
    </row>
    <row r="431" ht="16.5" customFormat="1" customHeight="1" s="12">
      <c r="A431" s="17" t="n">
        <v>426</v>
      </c>
      <c r="B431" s="25" t="n"/>
      <c r="C431" s="141">
        <f>H431*I431</f>
        <v/>
      </c>
      <c r="D431" s="41" t="n"/>
      <c r="E431" s="41" t="n"/>
      <c r="F431" s="41" t="n"/>
      <c r="G431" s="42" t="n"/>
      <c r="H431" s="20" t="n"/>
      <c r="I431" s="20" t="n"/>
      <c r="J431" s="20" t="n"/>
    </row>
    <row r="432" ht="16.5" customFormat="1" customHeight="1" s="12">
      <c r="A432" s="17" t="n">
        <v>427</v>
      </c>
      <c r="B432" s="25" t="n"/>
      <c r="C432" s="141">
        <f>H432*I432</f>
        <v/>
      </c>
      <c r="D432" s="41" t="n"/>
      <c r="E432" s="41" t="n"/>
      <c r="F432" s="41" t="n"/>
      <c r="G432" s="42" t="n"/>
      <c r="H432" s="20" t="n"/>
      <c r="I432" s="20" t="n"/>
      <c r="J432" s="20" t="n"/>
    </row>
    <row r="433" ht="16.5" customFormat="1" customHeight="1" s="12">
      <c r="A433" s="17" t="n">
        <v>428</v>
      </c>
      <c r="B433" s="25" t="n"/>
      <c r="C433" s="141">
        <f>H433*I433</f>
        <v/>
      </c>
      <c r="D433" s="41" t="n"/>
      <c r="E433" s="41" t="n"/>
      <c r="F433" s="41" t="n"/>
      <c r="G433" s="42" t="n"/>
      <c r="H433" s="20" t="n"/>
      <c r="I433" s="20" t="n"/>
      <c r="J433" s="20" t="n"/>
    </row>
    <row r="434" ht="16.5" customFormat="1" customHeight="1" s="12">
      <c r="A434" s="17" t="n">
        <v>429</v>
      </c>
      <c r="B434" s="25" t="n"/>
      <c r="C434" s="141">
        <f>H434*I434</f>
        <v/>
      </c>
      <c r="D434" s="41" t="n"/>
      <c r="E434" s="41" t="n"/>
      <c r="F434" s="41" t="n"/>
      <c r="G434" s="42" t="n"/>
      <c r="H434" s="20" t="n"/>
      <c r="I434" s="20" t="n"/>
      <c r="J434" s="20" t="n"/>
    </row>
    <row r="435" ht="16.5" customFormat="1" customHeight="1" s="12">
      <c r="A435" s="17" t="n">
        <v>430</v>
      </c>
      <c r="B435" s="25" t="n"/>
      <c r="C435" s="141">
        <f>H435*I435</f>
        <v/>
      </c>
      <c r="D435" s="41" t="n"/>
      <c r="E435" s="41" t="n"/>
      <c r="F435" s="41" t="n"/>
      <c r="G435" s="42" t="n"/>
      <c r="H435" s="20" t="n"/>
      <c r="I435" s="20" t="n"/>
      <c r="J435" s="20" t="n"/>
    </row>
    <row r="436" ht="16.5" customFormat="1" customHeight="1" s="12">
      <c r="A436" s="17" t="n">
        <v>431</v>
      </c>
      <c r="B436" s="25" t="n"/>
      <c r="C436" s="141">
        <f>H436*I436</f>
        <v/>
      </c>
      <c r="D436" s="41" t="n"/>
      <c r="E436" s="41" t="n"/>
      <c r="F436" s="41" t="n"/>
      <c r="G436" s="42" t="n"/>
      <c r="H436" s="20" t="n"/>
      <c r="I436" s="20" t="n"/>
      <c r="J436" s="20" t="n"/>
    </row>
    <row r="437" ht="16.5" customFormat="1" customHeight="1" s="12">
      <c r="A437" s="17" t="n">
        <v>432</v>
      </c>
      <c r="B437" s="25" t="n"/>
      <c r="C437" s="141">
        <f>H437*I437</f>
        <v/>
      </c>
      <c r="D437" s="41" t="n"/>
      <c r="E437" s="41" t="n"/>
      <c r="F437" s="41" t="n"/>
      <c r="G437" s="42" t="n"/>
      <c r="H437" s="20" t="n"/>
      <c r="I437" s="20" t="n"/>
      <c r="J437" s="20" t="n"/>
    </row>
    <row r="438" ht="16.5" customFormat="1" customHeight="1" s="12">
      <c r="A438" s="17" t="n">
        <v>433</v>
      </c>
      <c r="B438" s="25" t="n"/>
      <c r="C438" s="141">
        <f>H438*I438</f>
        <v/>
      </c>
      <c r="D438" s="41" t="n"/>
      <c r="E438" s="41" t="n"/>
      <c r="F438" s="41" t="n"/>
      <c r="G438" s="42" t="n"/>
      <c r="H438" s="20" t="n"/>
      <c r="I438" s="20" t="n"/>
      <c r="J438" s="20" t="n"/>
    </row>
    <row r="439" ht="16.5" customFormat="1" customHeight="1" s="12">
      <c r="A439" s="17" t="n">
        <v>434</v>
      </c>
      <c r="B439" s="25" t="n"/>
      <c r="C439" s="141">
        <f>H439*I439</f>
        <v/>
      </c>
      <c r="D439" s="41" t="n"/>
      <c r="E439" s="41" t="n"/>
      <c r="F439" s="41" t="n"/>
      <c r="G439" s="42" t="n"/>
      <c r="H439" s="20" t="n"/>
      <c r="I439" s="20" t="n"/>
      <c r="J439" s="20" t="n"/>
    </row>
    <row r="440" ht="16.5" customFormat="1" customHeight="1" s="12">
      <c r="A440" s="17" t="n">
        <v>435</v>
      </c>
      <c r="B440" s="25" t="n"/>
      <c r="C440" s="141">
        <f>H440*I440</f>
        <v/>
      </c>
      <c r="D440" s="41" t="n"/>
      <c r="E440" s="41" t="n"/>
      <c r="F440" s="41" t="n"/>
      <c r="G440" s="42" t="n"/>
      <c r="H440" s="20" t="n"/>
      <c r="I440" s="20" t="n"/>
      <c r="J440" s="20" t="n"/>
    </row>
    <row r="441" ht="16.5" customFormat="1" customHeight="1" s="12">
      <c r="A441" s="17" t="n">
        <v>436</v>
      </c>
      <c r="B441" s="25" t="n"/>
      <c r="C441" s="141">
        <f>H441*I441</f>
        <v/>
      </c>
      <c r="D441" s="41" t="n"/>
      <c r="E441" s="41" t="n"/>
      <c r="F441" s="41" t="n"/>
      <c r="G441" s="42" t="n"/>
      <c r="H441" s="20" t="n"/>
      <c r="I441" s="20" t="n"/>
      <c r="J441" s="20" t="n"/>
    </row>
    <row r="442" ht="16.5" customFormat="1" customHeight="1" s="12">
      <c r="A442" s="17" t="n">
        <v>437</v>
      </c>
      <c r="B442" s="25" t="n"/>
      <c r="C442" s="141">
        <f>H442*I442</f>
        <v/>
      </c>
      <c r="D442" s="41" t="n"/>
      <c r="E442" s="41" t="n"/>
      <c r="F442" s="41" t="n"/>
      <c r="G442" s="42" t="n"/>
      <c r="H442" s="20" t="n"/>
      <c r="I442" s="20" t="n"/>
      <c r="J442" s="20" t="n"/>
    </row>
    <row r="443" ht="16.5" customFormat="1" customHeight="1" s="12">
      <c r="A443" s="17" t="n">
        <v>438</v>
      </c>
      <c r="B443" s="25" t="n"/>
      <c r="C443" s="141">
        <f>H443*I443</f>
        <v/>
      </c>
      <c r="D443" s="41" t="n"/>
      <c r="E443" s="41" t="n"/>
      <c r="F443" s="41" t="n"/>
      <c r="G443" s="42" t="n"/>
      <c r="H443" s="20" t="n"/>
      <c r="I443" s="20" t="n"/>
      <c r="J443" s="20" t="n"/>
    </row>
    <row r="444" ht="16.5" customFormat="1" customHeight="1" s="12">
      <c r="A444" s="17" t="n">
        <v>439</v>
      </c>
      <c r="B444" s="25" t="n"/>
      <c r="C444" s="141">
        <f>H444*I444</f>
        <v/>
      </c>
      <c r="D444" s="41" t="n"/>
      <c r="E444" s="41" t="n"/>
      <c r="F444" s="41" t="n"/>
      <c r="G444" s="42" t="n"/>
      <c r="H444" s="20" t="n"/>
      <c r="I444" s="20" t="n"/>
      <c r="J444" s="20" t="n"/>
    </row>
    <row r="445" ht="16.5" customFormat="1" customHeight="1" s="12">
      <c r="A445" s="17" t="n">
        <v>440</v>
      </c>
      <c r="B445" s="25" t="n"/>
      <c r="C445" s="141">
        <f>H445*I445</f>
        <v/>
      </c>
      <c r="D445" s="41" t="n"/>
      <c r="E445" s="41" t="n"/>
      <c r="F445" s="41" t="n"/>
      <c r="G445" s="42" t="n"/>
      <c r="H445" s="20" t="n"/>
      <c r="I445" s="20" t="n"/>
      <c r="J445" s="20" t="n"/>
    </row>
    <row r="446" ht="16.5" customFormat="1" customHeight="1" s="12">
      <c r="A446" s="17" t="n">
        <v>441</v>
      </c>
      <c r="B446" s="25" t="n"/>
      <c r="C446" s="141">
        <f>H446*I446</f>
        <v/>
      </c>
      <c r="D446" s="41" t="n"/>
      <c r="E446" s="41" t="n"/>
      <c r="F446" s="41" t="n"/>
      <c r="G446" s="42" t="n"/>
      <c r="H446" s="20" t="n"/>
      <c r="I446" s="20" t="n"/>
      <c r="J446" s="20" t="n"/>
    </row>
    <row r="447" ht="16.5" customFormat="1" customHeight="1" s="12">
      <c r="A447" s="17" t="n">
        <v>442</v>
      </c>
      <c r="B447" s="25" t="n"/>
      <c r="C447" s="141">
        <f>H447*I447</f>
        <v/>
      </c>
      <c r="D447" s="41" t="n"/>
      <c r="E447" s="41" t="n"/>
      <c r="F447" s="41" t="n"/>
      <c r="G447" s="42" t="n"/>
      <c r="H447" s="20" t="n"/>
      <c r="I447" s="20" t="n"/>
      <c r="J447" s="20" t="n"/>
    </row>
    <row r="448" ht="16.5" customFormat="1" customHeight="1" s="12">
      <c r="A448" s="17" t="n">
        <v>443</v>
      </c>
      <c r="B448" s="25" t="n"/>
      <c r="C448" s="141">
        <f>H448*I448</f>
        <v/>
      </c>
      <c r="D448" s="41" t="n"/>
      <c r="E448" s="41" t="n"/>
      <c r="F448" s="41" t="n"/>
      <c r="G448" s="42" t="n"/>
      <c r="H448" s="20" t="n"/>
      <c r="I448" s="20" t="n"/>
      <c r="J448" s="20" t="n"/>
    </row>
    <row r="449" ht="16.5" customFormat="1" customHeight="1" s="12">
      <c r="A449" s="17" t="n">
        <v>444</v>
      </c>
      <c r="B449" s="25" t="n"/>
      <c r="C449" s="141">
        <f>H449*I449</f>
        <v/>
      </c>
      <c r="D449" s="41" t="n"/>
      <c r="E449" s="41" t="n"/>
      <c r="F449" s="41" t="n"/>
      <c r="G449" s="42" t="n"/>
      <c r="H449" s="20" t="n"/>
      <c r="I449" s="20" t="n"/>
      <c r="J449" s="20" t="n"/>
    </row>
    <row r="450" ht="16.5" customFormat="1" customHeight="1" s="12">
      <c r="A450" s="17" t="n">
        <v>445</v>
      </c>
      <c r="B450" s="25" t="n"/>
      <c r="C450" s="141">
        <f>H450*I450</f>
        <v/>
      </c>
      <c r="D450" s="41" t="n"/>
      <c r="E450" s="41" t="n"/>
      <c r="F450" s="41" t="n"/>
      <c r="G450" s="42" t="n"/>
      <c r="H450" s="20" t="n"/>
      <c r="I450" s="20" t="n"/>
      <c r="J450" s="20" t="n"/>
    </row>
    <row r="451" ht="16.5" customFormat="1" customHeight="1" s="12">
      <c r="A451" s="17" t="n">
        <v>446</v>
      </c>
      <c r="B451" s="25" t="n"/>
      <c r="C451" s="141">
        <f>H451*I451</f>
        <v/>
      </c>
      <c r="D451" s="41" t="n"/>
      <c r="E451" s="41" t="n"/>
      <c r="F451" s="41" t="n"/>
      <c r="G451" s="42" t="n"/>
      <c r="H451" s="20" t="n"/>
      <c r="I451" s="20" t="n"/>
      <c r="J451" s="20" t="n"/>
    </row>
    <row r="452" ht="16.5" customFormat="1" customHeight="1" s="12">
      <c r="A452" s="17" t="n">
        <v>447</v>
      </c>
      <c r="B452" s="25" t="n"/>
      <c r="C452" s="141">
        <f>H452*I452</f>
        <v/>
      </c>
      <c r="D452" s="41" t="n"/>
      <c r="E452" s="41" t="n"/>
      <c r="F452" s="41" t="n"/>
      <c r="G452" s="42" t="n"/>
      <c r="H452" s="20" t="n"/>
      <c r="I452" s="20" t="n"/>
      <c r="J452" s="20" t="n"/>
    </row>
    <row r="453" ht="16.5" customFormat="1" customHeight="1" s="12">
      <c r="A453" s="17" t="n">
        <v>448</v>
      </c>
      <c r="B453" s="25" t="n"/>
      <c r="C453" s="141">
        <f>H453*I453</f>
        <v/>
      </c>
      <c r="D453" s="41" t="n"/>
      <c r="E453" s="41" t="n"/>
      <c r="F453" s="41" t="n"/>
      <c r="G453" s="42" t="n"/>
      <c r="H453" s="20" t="n"/>
      <c r="I453" s="20" t="n"/>
      <c r="J453" s="20" t="n"/>
    </row>
    <row r="454" ht="16.5" customFormat="1" customHeight="1" s="12">
      <c r="A454" s="17" t="n">
        <v>449</v>
      </c>
      <c r="B454" s="25" t="n"/>
      <c r="C454" s="141">
        <f>H454*I454</f>
        <v/>
      </c>
      <c r="D454" s="41" t="n"/>
      <c r="E454" s="41" t="n"/>
      <c r="F454" s="41" t="n"/>
      <c r="G454" s="42" t="n"/>
      <c r="H454" s="20" t="n"/>
      <c r="I454" s="20" t="n"/>
      <c r="J454" s="20" t="n"/>
    </row>
    <row r="455" ht="16.5" customFormat="1" customHeight="1" s="12">
      <c r="A455" s="17" t="n">
        <v>450</v>
      </c>
      <c r="B455" s="25" t="n"/>
      <c r="C455" s="141">
        <f>H455*I455</f>
        <v/>
      </c>
      <c r="D455" s="41" t="n"/>
      <c r="E455" s="41" t="n"/>
      <c r="F455" s="41" t="n"/>
      <c r="G455" s="42" t="n"/>
      <c r="H455" s="20" t="n"/>
      <c r="I455" s="20" t="n"/>
      <c r="J455" s="20" t="n"/>
    </row>
    <row r="456" ht="16.5" customFormat="1" customHeight="1" s="12">
      <c r="A456" s="17" t="n">
        <v>451</v>
      </c>
      <c r="B456" s="25" t="n"/>
      <c r="C456" s="141">
        <f>H456*I456</f>
        <v/>
      </c>
      <c r="D456" s="41" t="n"/>
      <c r="E456" s="41" t="n"/>
      <c r="F456" s="41" t="n"/>
      <c r="G456" s="42" t="n"/>
      <c r="H456" s="20" t="n"/>
      <c r="I456" s="20" t="n"/>
      <c r="J456" s="20" t="n"/>
    </row>
    <row r="457" ht="16.5" customFormat="1" customHeight="1" s="12">
      <c r="A457" s="17" t="n">
        <v>452</v>
      </c>
      <c r="B457" s="25" t="n"/>
      <c r="C457" s="141">
        <f>H457*I457</f>
        <v/>
      </c>
      <c r="D457" s="41" t="n"/>
      <c r="E457" s="41" t="n"/>
      <c r="F457" s="41" t="n"/>
      <c r="G457" s="42" t="n"/>
      <c r="H457" s="20" t="n"/>
      <c r="I457" s="20" t="n"/>
      <c r="J457" s="20" t="n"/>
    </row>
    <row r="458" ht="16.5" customFormat="1" customHeight="1" s="12">
      <c r="A458" s="17" t="n">
        <v>453</v>
      </c>
      <c r="B458" s="25" t="n"/>
      <c r="C458" s="141">
        <f>H458*I458</f>
        <v/>
      </c>
      <c r="D458" s="41" t="n"/>
      <c r="E458" s="41" t="n"/>
      <c r="F458" s="41" t="n"/>
      <c r="G458" s="42" t="n"/>
      <c r="H458" s="20" t="n"/>
      <c r="I458" s="20" t="n"/>
      <c r="J458" s="20" t="n"/>
    </row>
    <row r="459" ht="16.5" customFormat="1" customHeight="1" s="12">
      <c r="A459" s="17" t="n">
        <v>454</v>
      </c>
      <c r="B459" s="25" t="n"/>
      <c r="C459" s="141">
        <f>H459*I459</f>
        <v/>
      </c>
      <c r="D459" s="41" t="n"/>
      <c r="E459" s="41" t="n"/>
      <c r="F459" s="41" t="n"/>
      <c r="G459" s="42" t="n"/>
      <c r="H459" s="20" t="n"/>
      <c r="I459" s="20" t="n"/>
      <c r="J459" s="20" t="n"/>
    </row>
    <row r="460" ht="16.5" customFormat="1" customHeight="1" s="12">
      <c r="A460" s="17" t="n">
        <v>455</v>
      </c>
      <c r="B460" s="25" t="n"/>
      <c r="C460" s="141">
        <f>H460*I460</f>
        <v/>
      </c>
      <c r="D460" s="41" t="n"/>
      <c r="E460" s="41" t="n"/>
      <c r="F460" s="41" t="n"/>
      <c r="G460" s="42" t="n"/>
      <c r="H460" s="20" t="n"/>
      <c r="I460" s="20" t="n"/>
      <c r="J460" s="20" t="n"/>
    </row>
    <row r="461" ht="16.5" customFormat="1" customHeight="1" s="12">
      <c r="A461" s="17" t="n">
        <v>456</v>
      </c>
      <c r="B461" s="25" t="n"/>
      <c r="C461" s="141">
        <f>H461*I461</f>
        <v/>
      </c>
      <c r="D461" s="41" t="n"/>
      <c r="E461" s="41" t="n"/>
      <c r="F461" s="41" t="n"/>
      <c r="G461" s="42" t="n"/>
      <c r="H461" s="20" t="n"/>
      <c r="I461" s="20" t="n"/>
      <c r="J461" s="20" t="n"/>
    </row>
    <row r="462" ht="16.5" customFormat="1" customHeight="1" s="12">
      <c r="A462" s="17" t="n">
        <v>457</v>
      </c>
      <c r="B462" s="25" t="n"/>
      <c r="C462" s="141">
        <f>H462*I462</f>
        <v/>
      </c>
      <c r="D462" s="41" t="n"/>
      <c r="E462" s="41" t="n"/>
      <c r="F462" s="41" t="n"/>
      <c r="G462" s="42" t="n"/>
      <c r="H462" s="20" t="n"/>
      <c r="I462" s="20" t="n"/>
      <c r="J462" s="20" t="n"/>
    </row>
    <row r="463" ht="16.5" customFormat="1" customHeight="1" s="12">
      <c r="A463" s="17" t="n">
        <v>458</v>
      </c>
      <c r="B463" s="25" t="n"/>
      <c r="C463" s="141">
        <f>H463*I463</f>
        <v/>
      </c>
      <c r="D463" s="41" t="n"/>
      <c r="E463" s="41" t="n"/>
      <c r="F463" s="41" t="n"/>
      <c r="G463" s="42" t="n"/>
      <c r="H463" s="20" t="n"/>
      <c r="I463" s="20" t="n"/>
      <c r="J463" s="20" t="n"/>
    </row>
    <row r="464" ht="16.5" customFormat="1" customHeight="1" s="12">
      <c r="A464" s="17" t="n">
        <v>459</v>
      </c>
      <c r="B464" s="25" t="n"/>
      <c r="C464" s="141">
        <f>H464*I464</f>
        <v/>
      </c>
      <c r="D464" s="41" t="n"/>
      <c r="E464" s="41" t="n"/>
      <c r="F464" s="41" t="n"/>
      <c r="G464" s="42" t="n"/>
      <c r="H464" s="20" t="n"/>
      <c r="I464" s="20" t="n"/>
      <c r="J464" s="20" t="n"/>
    </row>
    <row r="465" ht="16.5" customFormat="1" customHeight="1" s="12">
      <c r="A465" s="17" t="n">
        <v>460</v>
      </c>
      <c r="B465" s="25" t="n"/>
      <c r="C465" s="141">
        <f>H465*I465</f>
        <v/>
      </c>
      <c r="D465" s="41" t="n"/>
      <c r="E465" s="41" t="n"/>
      <c r="F465" s="41" t="n"/>
      <c r="G465" s="42" t="n"/>
      <c r="H465" s="20" t="n"/>
      <c r="I465" s="20" t="n"/>
      <c r="J465" s="20" t="n"/>
    </row>
    <row r="466" ht="16.5" customFormat="1" customHeight="1" s="12">
      <c r="A466" s="17" t="n">
        <v>461</v>
      </c>
      <c r="B466" s="25" t="n"/>
      <c r="C466" s="141">
        <f>H466*I466</f>
        <v/>
      </c>
      <c r="D466" s="41" t="n"/>
      <c r="E466" s="41" t="n"/>
      <c r="F466" s="41" t="n"/>
      <c r="G466" s="42" t="n"/>
      <c r="H466" s="20" t="n"/>
      <c r="I466" s="20" t="n"/>
      <c r="J466" s="20" t="n"/>
    </row>
    <row r="467" ht="16.5" customFormat="1" customHeight="1" s="12">
      <c r="A467" s="17" t="n">
        <v>462</v>
      </c>
      <c r="B467" s="25" t="n"/>
      <c r="C467" s="141">
        <f>H467*I467</f>
        <v/>
      </c>
      <c r="D467" s="41" t="n"/>
      <c r="E467" s="41" t="n"/>
      <c r="F467" s="41" t="n"/>
      <c r="G467" s="42" t="n"/>
      <c r="H467" s="20" t="n"/>
      <c r="I467" s="20" t="n"/>
      <c r="J467" s="20" t="n"/>
    </row>
    <row r="468" ht="16.5" customFormat="1" customHeight="1" s="12">
      <c r="A468" s="17" t="n">
        <v>463</v>
      </c>
      <c r="B468" s="25" t="n"/>
      <c r="C468" s="141">
        <f>H468*I468</f>
        <v/>
      </c>
      <c r="D468" s="41" t="n"/>
      <c r="E468" s="41" t="n"/>
      <c r="F468" s="41" t="n"/>
      <c r="G468" s="42" t="n"/>
      <c r="H468" s="20" t="n"/>
      <c r="I468" s="20" t="n"/>
      <c r="J468" s="20" t="n"/>
    </row>
    <row r="469" ht="16.5" customFormat="1" customHeight="1" s="12">
      <c r="A469" s="17" t="n">
        <v>464</v>
      </c>
      <c r="B469" s="25" t="n"/>
      <c r="C469" s="141">
        <f>H469*I469</f>
        <v/>
      </c>
      <c r="D469" s="41" t="n"/>
      <c r="E469" s="41" t="n"/>
      <c r="F469" s="41" t="n"/>
      <c r="G469" s="42" t="n"/>
      <c r="H469" s="20" t="n"/>
      <c r="I469" s="20" t="n"/>
      <c r="J469" s="20" t="n"/>
    </row>
    <row r="470" ht="16.5" customFormat="1" customHeight="1" s="12">
      <c r="A470" s="17" t="n">
        <v>465</v>
      </c>
      <c r="B470" s="25" t="n"/>
      <c r="C470" s="141">
        <f>H470*I470</f>
        <v/>
      </c>
      <c r="D470" s="41" t="n"/>
      <c r="E470" s="41" t="n"/>
      <c r="F470" s="41" t="n"/>
      <c r="G470" s="42" t="n"/>
      <c r="H470" s="20" t="n"/>
      <c r="I470" s="20" t="n"/>
      <c r="J470" s="20" t="n"/>
    </row>
    <row r="471" ht="16.5" customFormat="1" customHeight="1" s="12">
      <c r="A471" s="17" t="n">
        <v>466</v>
      </c>
      <c r="B471" s="25" t="n"/>
      <c r="C471" s="141">
        <f>H471*I471</f>
        <v/>
      </c>
      <c r="D471" s="41" t="n"/>
      <c r="E471" s="41" t="n"/>
      <c r="F471" s="41" t="n"/>
      <c r="G471" s="42" t="n"/>
      <c r="H471" s="20" t="n"/>
      <c r="I471" s="20" t="n"/>
      <c r="J471" s="20" t="n"/>
    </row>
    <row r="472" ht="16.5" customFormat="1" customHeight="1" s="12">
      <c r="A472" s="17" t="n">
        <v>467</v>
      </c>
      <c r="B472" s="25" t="n"/>
      <c r="C472" s="141">
        <f>H472*I472</f>
        <v/>
      </c>
      <c r="D472" s="41" t="n"/>
      <c r="E472" s="41" t="n"/>
      <c r="F472" s="41" t="n"/>
      <c r="G472" s="42" t="n"/>
      <c r="H472" s="20" t="n"/>
      <c r="I472" s="20" t="n"/>
      <c r="J472" s="20" t="n"/>
    </row>
    <row r="473" ht="16.5" customFormat="1" customHeight="1" s="12">
      <c r="A473" s="17" t="n">
        <v>468</v>
      </c>
      <c r="B473" s="25" t="n"/>
      <c r="C473" s="141">
        <f>H473*I473</f>
        <v/>
      </c>
      <c r="D473" s="41" t="n"/>
      <c r="E473" s="41" t="n"/>
      <c r="F473" s="41" t="n"/>
      <c r="G473" s="42" t="n"/>
      <c r="H473" s="20" t="n"/>
      <c r="I473" s="20" t="n"/>
      <c r="J473" s="20" t="n"/>
    </row>
    <row r="474" ht="16.5" customFormat="1" customHeight="1" s="12">
      <c r="A474" s="17" t="n">
        <v>469</v>
      </c>
      <c r="B474" s="25" t="n"/>
      <c r="C474" s="141">
        <f>H474*I474</f>
        <v/>
      </c>
      <c r="D474" s="41" t="n"/>
      <c r="E474" s="41" t="n"/>
      <c r="F474" s="41" t="n"/>
      <c r="G474" s="42" t="n"/>
      <c r="H474" s="20" t="n"/>
      <c r="I474" s="20" t="n"/>
      <c r="J474" s="20" t="n"/>
    </row>
    <row r="475" ht="16.5" customFormat="1" customHeight="1" s="12">
      <c r="A475" s="17" t="n">
        <v>470</v>
      </c>
      <c r="B475" s="25" t="n"/>
      <c r="C475" s="141">
        <f>H475*I475</f>
        <v/>
      </c>
      <c r="D475" s="41" t="n"/>
      <c r="E475" s="41" t="n"/>
      <c r="F475" s="41" t="n"/>
      <c r="G475" s="42" t="n"/>
      <c r="H475" s="20" t="n"/>
      <c r="I475" s="20" t="n"/>
      <c r="J475" s="20" t="n"/>
    </row>
    <row r="476" ht="16.5" customFormat="1" customHeight="1" s="12">
      <c r="A476" s="17" t="n">
        <v>471</v>
      </c>
      <c r="B476" s="25" t="n"/>
      <c r="C476" s="141">
        <f>H476*I476</f>
        <v/>
      </c>
      <c r="D476" s="41" t="n"/>
      <c r="E476" s="41" t="n"/>
      <c r="F476" s="41" t="n"/>
      <c r="G476" s="42" t="n"/>
      <c r="H476" s="20" t="n"/>
      <c r="I476" s="20" t="n"/>
      <c r="J476" s="20" t="n"/>
    </row>
    <row r="477" ht="16.5" customFormat="1" customHeight="1" s="12">
      <c r="A477" s="17" t="n">
        <v>472</v>
      </c>
      <c r="B477" s="25" t="n"/>
      <c r="C477" s="141">
        <f>H477*I477</f>
        <v/>
      </c>
      <c r="D477" s="41" t="n"/>
      <c r="E477" s="41" t="n"/>
      <c r="F477" s="41" t="n"/>
      <c r="G477" s="42" t="n"/>
      <c r="H477" s="20" t="n"/>
      <c r="I477" s="20" t="n"/>
      <c r="J477" s="20" t="n"/>
    </row>
    <row r="478" ht="16.5" customFormat="1" customHeight="1" s="12">
      <c r="A478" s="17" t="n">
        <v>473</v>
      </c>
      <c r="B478" s="25" t="n"/>
      <c r="C478" s="141">
        <f>H478*I478</f>
        <v/>
      </c>
      <c r="D478" s="41" t="n"/>
      <c r="E478" s="41" t="n"/>
      <c r="F478" s="41" t="n"/>
      <c r="G478" s="42" t="n"/>
      <c r="H478" s="20" t="n"/>
      <c r="I478" s="20" t="n"/>
      <c r="J478" s="20" t="n"/>
    </row>
    <row r="479" ht="16.5" customFormat="1" customHeight="1" s="12">
      <c r="A479" s="17" t="n">
        <v>474</v>
      </c>
      <c r="B479" s="25" t="n"/>
      <c r="C479" s="141">
        <f>H479*I479</f>
        <v/>
      </c>
      <c r="D479" s="41" t="n"/>
      <c r="E479" s="41" t="n"/>
      <c r="F479" s="41" t="n"/>
      <c r="G479" s="42" t="n"/>
      <c r="H479" s="20" t="n"/>
      <c r="I479" s="20" t="n"/>
      <c r="J479" s="20" t="n"/>
    </row>
    <row r="480" ht="16.5" customFormat="1" customHeight="1" s="12">
      <c r="A480" s="17" t="n">
        <v>475</v>
      </c>
      <c r="B480" s="25" t="n"/>
      <c r="C480" s="141">
        <f>H480*I480</f>
        <v/>
      </c>
      <c r="D480" s="41" t="n"/>
      <c r="E480" s="41" t="n"/>
      <c r="F480" s="41" t="n"/>
      <c r="G480" s="42" t="n"/>
      <c r="H480" s="20" t="n"/>
      <c r="I480" s="20" t="n"/>
      <c r="J480" s="20" t="n"/>
    </row>
    <row r="481" ht="16.5" customFormat="1" customHeight="1" s="12">
      <c r="A481" s="17" t="n">
        <v>476</v>
      </c>
      <c r="B481" s="25" t="n"/>
      <c r="C481" s="141">
        <f>H481*I481</f>
        <v/>
      </c>
      <c r="D481" s="41" t="n"/>
      <c r="E481" s="41" t="n"/>
      <c r="F481" s="41" t="n"/>
      <c r="G481" s="42" t="n"/>
      <c r="H481" s="20" t="n"/>
      <c r="I481" s="20" t="n"/>
      <c r="J481" s="20" t="n"/>
    </row>
    <row r="482" ht="16.5" customFormat="1" customHeight="1" s="12">
      <c r="A482" s="17" t="n">
        <v>477</v>
      </c>
      <c r="B482" s="25" t="n"/>
      <c r="C482" s="141">
        <f>H482*I482</f>
        <v/>
      </c>
      <c r="D482" s="41" t="n"/>
      <c r="E482" s="41" t="n"/>
      <c r="F482" s="41" t="n"/>
      <c r="G482" s="42" t="n"/>
      <c r="H482" s="20" t="n"/>
      <c r="I482" s="20" t="n"/>
      <c r="J482" s="20" t="n"/>
    </row>
    <row r="483" ht="16.5" customFormat="1" customHeight="1" s="12">
      <c r="A483" s="17" t="n">
        <v>478</v>
      </c>
      <c r="B483" s="25" t="n"/>
      <c r="C483" s="141">
        <f>H483*I483</f>
        <v/>
      </c>
      <c r="D483" s="41" t="n"/>
      <c r="E483" s="41" t="n"/>
      <c r="F483" s="41" t="n"/>
      <c r="G483" s="42" t="n"/>
      <c r="H483" s="20" t="n"/>
      <c r="I483" s="20" t="n"/>
      <c r="J483" s="20" t="n"/>
    </row>
    <row r="484" ht="16.5" customFormat="1" customHeight="1" s="12">
      <c r="A484" s="17" t="n">
        <v>479</v>
      </c>
      <c r="B484" s="25" t="n"/>
      <c r="C484" s="141">
        <f>H484*I484</f>
        <v/>
      </c>
      <c r="D484" s="41" t="n"/>
      <c r="E484" s="41" t="n"/>
      <c r="F484" s="41" t="n"/>
      <c r="G484" s="42" t="n"/>
      <c r="H484" s="20" t="n"/>
      <c r="I484" s="20" t="n"/>
      <c r="J484" s="20" t="n"/>
    </row>
    <row r="485" ht="16.5" customFormat="1" customHeight="1" s="12">
      <c r="A485" s="17" t="n">
        <v>480</v>
      </c>
      <c r="B485" s="25" t="n"/>
      <c r="C485" s="141">
        <f>H485*I485</f>
        <v/>
      </c>
      <c r="D485" s="41" t="n"/>
      <c r="E485" s="41" t="n"/>
      <c r="F485" s="41" t="n"/>
      <c r="G485" s="42" t="n"/>
      <c r="H485" s="20" t="n"/>
      <c r="I485" s="20" t="n"/>
      <c r="J485" s="20" t="n"/>
    </row>
    <row r="486" ht="16.5" customFormat="1" customHeight="1" s="12">
      <c r="A486" s="17" t="n">
        <v>481</v>
      </c>
      <c r="B486" s="25" t="n"/>
      <c r="C486" s="141">
        <f>H486*I486</f>
        <v/>
      </c>
      <c r="D486" s="41" t="n"/>
      <c r="E486" s="41" t="n"/>
      <c r="F486" s="41" t="n"/>
      <c r="G486" s="42" t="n"/>
      <c r="H486" s="20" t="n"/>
      <c r="I486" s="20" t="n"/>
      <c r="J486" s="20" t="n"/>
    </row>
    <row r="487" ht="16.5" customFormat="1" customHeight="1" s="12">
      <c r="A487" s="17" t="n">
        <v>482</v>
      </c>
      <c r="B487" s="25" t="n"/>
      <c r="C487" s="141">
        <f>H487*I487</f>
        <v/>
      </c>
      <c r="D487" s="41" t="n"/>
      <c r="E487" s="41" t="n"/>
      <c r="F487" s="41" t="n"/>
      <c r="G487" s="42" t="n"/>
      <c r="H487" s="20" t="n"/>
      <c r="I487" s="20" t="n"/>
      <c r="J487" s="20" t="n"/>
    </row>
    <row r="488" ht="16.5" customFormat="1" customHeight="1" s="12">
      <c r="A488" s="17" t="n">
        <v>483</v>
      </c>
      <c r="B488" s="25" t="n"/>
      <c r="C488" s="141">
        <f>H488*I488</f>
        <v/>
      </c>
      <c r="D488" s="41" t="n"/>
      <c r="E488" s="41" t="n"/>
      <c r="F488" s="41" t="n"/>
      <c r="G488" s="42" t="n"/>
      <c r="H488" s="20" t="n"/>
      <c r="I488" s="20" t="n"/>
      <c r="J488" s="20" t="n"/>
    </row>
    <row r="489" ht="16.5" customFormat="1" customHeight="1" s="12">
      <c r="A489" s="17" t="n">
        <v>484</v>
      </c>
      <c r="B489" s="25" t="n"/>
      <c r="C489" s="141">
        <f>H489*I489</f>
        <v/>
      </c>
      <c r="D489" s="41" t="n"/>
      <c r="E489" s="41" t="n"/>
      <c r="F489" s="41" t="n"/>
      <c r="G489" s="42" t="n"/>
      <c r="H489" s="20" t="n"/>
      <c r="I489" s="20" t="n"/>
      <c r="J489" s="20" t="n"/>
    </row>
    <row r="490" ht="16.5" customFormat="1" customHeight="1" s="12">
      <c r="A490" s="17" t="n">
        <v>485</v>
      </c>
      <c r="B490" s="25" t="n"/>
      <c r="C490" s="141">
        <f>H490*I490</f>
        <v/>
      </c>
      <c r="D490" s="41" t="n"/>
      <c r="E490" s="41" t="n"/>
      <c r="F490" s="41" t="n"/>
      <c r="G490" s="42" t="n"/>
      <c r="H490" s="20" t="n"/>
      <c r="I490" s="20" t="n"/>
      <c r="J490" s="20" t="n"/>
    </row>
    <row r="491" ht="16.5" customFormat="1" customHeight="1" s="12">
      <c r="A491" s="17" t="n">
        <v>486</v>
      </c>
      <c r="B491" s="25" t="n"/>
      <c r="C491" s="141">
        <f>H491*I491</f>
        <v/>
      </c>
      <c r="D491" s="41" t="n"/>
      <c r="E491" s="41" t="n"/>
      <c r="F491" s="41" t="n"/>
      <c r="G491" s="42" t="n"/>
      <c r="H491" s="20" t="n"/>
      <c r="I491" s="20" t="n"/>
      <c r="J491" s="20" t="n"/>
    </row>
    <row r="492" ht="16.5" customFormat="1" customHeight="1" s="12">
      <c r="A492" s="17" t="n">
        <v>487</v>
      </c>
      <c r="B492" s="25" t="n"/>
      <c r="C492" s="141">
        <f>H492*I492</f>
        <v/>
      </c>
      <c r="D492" s="41" t="n"/>
      <c r="E492" s="41" t="n"/>
      <c r="F492" s="41" t="n"/>
      <c r="G492" s="42" t="n"/>
      <c r="H492" s="20" t="n"/>
      <c r="I492" s="20" t="n"/>
      <c r="J492" s="20" t="n"/>
    </row>
    <row r="493" ht="16.5" customFormat="1" customHeight="1" s="12">
      <c r="A493" s="17" t="n">
        <v>488</v>
      </c>
      <c r="B493" s="25" t="n"/>
      <c r="C493" s="141">
        <f>H493*I493</f>
        <v/>
      </c>
      <c r="D493" s="41" t="n"/>
      <c r="E493" s="41" t="n"/>
      <c r="F493" s="41" t="n"/>
      <c r="G493" s="42" t="n"/>
      <c r="H493" s="20" t="n"/>
      <c r="I493" s="20" t="n"/>
      <c r="J493" s="20" t="n"/>
    </row>
    <row r="494" ht="16.5" customFormat="1" customHeight="1" s="12">
      <c r="A494" s="17" t="n">
        <v>489</v>
      </c>
      <c r="B494" s="25" t="n"/>
      <c r="C494" s="141">
        <f>H494*I494</f>
        <v/>
      </c>
      <c r="D494" s="41" t="n"/>
      <c r="E494" s="41" t="n"/>
      <c r="F494" s="41" t="n"/>
      <c r="G494" s="42" t="n"/>
      <c r="H494" s="20" t="n"/>
      <c r="I494" s="20" t="n"/>
      <c r="J494" s="20" t="n"/>
    </row>
    <row r="495" ht="16.5" customFormat="1" customHeight="1" s="12">
      <c r="A495" s="17" t="n">
        <v>490</v>
      </c>
      <c r="B495" s="25" t="n"/>
      <c r="C495" s="141">
        <f>H495*I495</f>
        <v/>
      </c>
      <c r="D495" s="41" t="n"/>
      <c r="E495" s="41" t="n"/>
      <c r="F495" s="41" t="n"/>
      <c r="G495" s="42" t="n"/>
      <c r="H495" s="20" t="n"/>
      <c r="I495" s="20" t="n"/>
      <c r="J495" s="20" t="n"/>
    </row>
    <row r="496" ht="16.5" customFormat="1" customHeight="1" s="12">
      <c r="A496" s="17" t="n">
        <v>491</v>
      </c>
      <c r="B496" s="25" t="n"/>
      <c r="C496" s="141">
        <f>H496*I496</f>
        <v/>
      </c>
      <c r="D496" s="41" t="n"/>
      <c r="E496" s="41" t="n"/>
      <c r="F496" s="41" t="n"/>
      <c r="G496" s="42" t="n"/>
      <c r="H496" s="20" t="n"/>
      <c r="I496" s="20" t="n"/>
      <c r="J496" s="20" t="n"/>
    </row>
    <row r="497" ht="16.5" customFormat="1" customHeight="1" s="12">
      <c r="A497" s="17" t="n">
        <v>492</v>
      </c>
      <c r="B497" s="25" t="n"/>
      <c r="C497" s="141">
        <f>H497*I497</f>
        <v/>
      </c>
      <c r="D497" s="41" t="n"/>
      <c r="E497" s="41" t="n"/>
      <c r="F497" s="41" t="n"/>
      <c r="G497" s="42" t="n"/>
      <c r="H497" s="20" t="n"/>
      <c r="I497" s="20" t="n"/>
      <c r="J497" s="20" t="n"/>
    </row>
    <row r="498" ht="16.5" customFormat="1" customHeight="1" s="12">
      <c r="A498" s="17" t="n">
        <v>493</v>
      </c>
      <c r="B498" s="25" t="n"/>
      <c r="C498" s="141">
        <f>H498*I498</f>
        <v/>
      </c>
      <c r="D498" s="41" t="n"/>
      <c r="E498" s="41" t="n"/>
      <c r="F498" s="41" t="n"/>
      <c r="G498" s="42" t="n"/>
      <c r="H498" s="20" t="n"/>
      <c r="I498" s="20" t="n"/>
      <c r="J498" s="20" t="n"/>
    </row>
    <row r="499" ht="16.5" customFormat="1" customHeight="1" s="12">
      <c r="A499" s="17" t="n">
        <v>494</v>
      </c>
      <c r="B499" s="25" t="n"/>
      <c r="C499" s="141">
        <f>H499*I499</f>
        <v/>
      </c>
      <c r="D499" s="41" t="n"/>
      <c r="E499" s="41" t="n"/>
      <c r="F499" s="41" t="n"/>
      <c r="G499" s="42" t="n"/>
      <c r="H499" s="20" t="n"/>
      <c r="I499" s="20" t="n"/>
      <c r="J499" s="20" t="n"/>
    </row>
    <row r="500" ht="16.5" customFormat="1" customHeight="1" s="12">
      <c r="A500" s="17" t="n">
        <v>495</v>
      </c>
      <c r="B500" s="25" t="n"/>
      <c r="C500" s="141">
        <f>H500*I500</f>
        <v/>
      </c>
      <c r="D500" s="41" t="n"/>
      <c r="E500" s="41" t="n"/>
      <c r="F500" s="41" t="n"/>
      <c r="G500" s="42" t="n"/>
      <c r="H500" s="20" t="n"/>
      <c r="I500" s="20" t="n"/>
      <c r="J500" s="20" t="n"/>
    </row>
    <row r="501" ht="16.5" customFormat="1" customHeight="1" s="12">
      <c r="A501" s="17" t="n">
        <v>496</v>
      </c>
      <c r="B501" s="25" t="n"/>
      <c r="C501" s="141">
        <f>H501*I501</f>
        <v/>
      </c>
      <c r="D501" s="41" t="n"/>
      <c r="E501" s="41" t="n"/>
      <c r="F501" s="41" t="n"/>
      <c r="G501" s="42" t="n"/>
      <c r="H501" s="20" t="n"/>
      <c r="I501" s="20" t="n"/>
      <c r="J501" s="20" t="n"/>
    </row>
    <row r="502" ht="16.5" customFormat="1" customHeight="1" s="12">
      <c r="A502" s="17" t="n">
        <v>497</v>
      </c>
      <c r="B502" s="25" t="n"/>
      <c r="C502" s="141">
        <f>H502*I502</f>
        <v/>
      </c>
      <c r="D502" s="41" t="n"/>
      <c r="E502" s="41" t="n"/>
      <c r="F502" s="41" t="n"/>
      <c r="G502" s="42" t="n"/>
      <c r="H502" s="20" t="n"/>
      <c r="I502" s="20" t="n"/>
      <c r="J502" s="20" t="n"/>
    </row>
    <row r="503" ht="16.5" customFormat="1" customHeight="1" s="12">
      <c r="A503" s="17" t="n">
        <v>498</v>
      </c>
      <c r="B503" s="25" t="n"/>
      <c r="C503" s="141">
        <f>H503*I503</f>
        <v/>
      </c>
      <c r="D503" s="41" t="n"/>
      <c r="E503" s="41" t="n"/>
      <c r="F503" s="41" t="n"/>
      <c r="G503" s="42" t="n"/>
      <c r="H503" s="20" t="n"/>
      <c r="I503" s="20" t="n"/>
      <c r="J503" s="20" t="n"/>
    </row>
    <row r="504" ht="16.5" customFormat="1" customHeight="1" s="12">
      <c r="A504" s="17" t="n">
        <v>499</v>
      </c>
      <c r="B504" s="25" t="n"/>
      <c r="C504" s="141">
        <f>H504*I504</f>
        <v/>
      </c>
      <c r="D504" s="41" t="n"/>
      <c r="E504" s="41" t="n"/>
      <c r="F504" s="41" t="n"/>
      <c r="G504" s="42" t="n"/>
      <c r="H504" s="20" t="n"/>
      <c r="I504" s="20" t="n"/>
      <c r="J504" s="20" t="n"/>
    </row>
    <row r="505" ht="16.5" customFormat="1" customHeight="1" s="12">
      <c r="A505" s="17" t="n">
        <v>500</v>
      </c>
      <c r="B505" s="25" t="n"/>
      <c r="C505" s="141">
        <f>H505*I505</f>
        <v/>
      </c>
      <c r="D505" s="41" t="n"/>
      <c r="E505" s="41" t="n"/>
      <c r="F505" s="41" t="n"/>
      <c r="G505" s="42" t="n"/>
      <c r="H505" s="20" t="n"/>
      <c r="I505" s="20" t="n"/>
      <c r="J505" s="20" t="n"/>
    </row>
    <row r="506" ht="16.5" customFormat="1" customHeight="1" s="12">
      <c r="A506" s="11" t="n"/>
      <c r="B506" s="11" t="n"/>
      <c r="C506" s="23" t="n"/>
      <c r="D506" s="11" t="n"/>
      <c r="E506" s="11" t="n"/>
      <c r="F506" s="11" t="n"/>
      <c r="G506" s="1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517">
    <mergeCell ref="F237:G237"/>
    <mergeCell ref="F408:G408"/>
    <mergeCell ref="F473:G473"/>
    <mergeCell ref="F116:G116"/>
    <mergeCell ref="F16:G16"/>
    <mergeCell ref="F187:G187"/>
    <mergeCell ref="F485:G485"/>
    <mergeCell ref="F103:G103"/>
    <mergeCell ref="F423:G423"/>
    <mergeCell ref="F174:G174"/>
    <mergeCell ref="F108:G108"/>
    <mergeCell ref="F168:G168"/>
    <mergeCell ref="F339:G339"/>
    <mergeCell ref="F410:G410"/>
    <mergeCell ref="F466:G466"/>
    <mergeCell ref="F472:G472"/>
    <mergeCell ref="F143:G143"/>
    <mergeCell ref="F118:G118"/>
    <mergeCell ref="F403:G403"/>
    <mergeCell ref="F497:G497"/>
    <mergeCell ref="F326:G326"/>
    <mergeCell ref="F70:G70"/>
    <mergeCell ref="F263:G263"/>
    <mergeCell ref="F355:G355"/>
    <mergeCell ref="F134:G134"/>
    <mergeCell ref="F23:G23"/>
    <mergeCell ref="F121:G121"/>
    <mergeCell ref="F357:G357"/>
    <mergeCell ref="F96:G96"/>
    <mergeCell ref="F71:G71"/>
    <mergeCell ref="F332:G332"/>
    <mergeCell ref="F421:G421"/>
    <mergeCell ref="F98:G98"/>
    <mergeCell ref="F396:G396"/>
    <mergeCell ref="F175:G175"/>
    <mergeCell ref="F162:G162"/>
    <mergeCell ref="F398:G398"/>
    <mergeCell ref="F251:G251"/>
    <mergeCell ref="F322:G322"/>
    <mergeCell ref="F189:G189"/>
    <mergeCell ref="F18:G18"/>
    <mergeCell ref="F487:G487"/>
    <mergeCell ref="F238:G238"/>
    <mergeCell ref="F42:G42"/>
    <mergeCell ref="F45:G45"/>
    <mergeCell ref="F474:G474"/>
    <mergeCell ref="F66:G66"/>
    <mergeCell ref="F17:G17"/>
    <mergeCell ref="F126:G126"/>
    <mergeCell ref="F188:G188"/>
    <mergeCell ref="F253:G253"/>
    <mergeCell ref="F109:G109"/>
    <mergeCell ref="F351:G351"/>
    <mergeCell ref="F47:G47"/>
    <mergeCell ref="F240:G240"/>
    <mergeCell ref="F345:G345"/>
    <mergeCell ref="F411:G411"/>
    <mergeCell ref="F190:G190"/>
    <mergeCell ref="F46:G46"/>
    <mergeCell ref="F488:G488"/>
    <mergeCell ref="F317:G317"/>
    <mergeCell ref="F111:G111"/>
    <mergeCell ref="F409:G409"/>
    <mergeCell ref="F61:G61"/>
    <mergeCell ref="F48:G48"/>
    <mergeCell ref="F346:G346"/>
    <mergeCell ref="F477:G477"/>
    <mergeCell ref="F73:G73"/>
    <mergeCell ref="F266:G266"/>
    <mergeCell ref="F371:G371"/>
    <mergeCell ref="F442:G442"/>
    <mergeCell ref="F502:G502"/>
    <mergeCell ref="B6:E6"/>
    <mergeCell ref="F137:G137"/>
    <mergeCell ref="F208:G208"/>
    <mergeCell ref="F379:G379"/>
    <mergeCell ref="F124:G124"/>
    <mergeCell ref="F422:G422"/>
    <mergeCell ref="F360:G360"/>
    <mergeCell ref="F493:G493"/>
    <mergeCell ref="F201:G201"/>
    <mergeCell ref="F164:G164"/>
    <mergeCell ref="F139:G139"/>
    <mergeCell ref="F335:G335"/>
    <mergeCell ref="F406:G406"/>
    <mergeCell ref="F114:G114"/>
    <mergeCell ref="F424:G424"/>
    <mergeCell ref="F228:G228"/>
    <mergeCell ref="F203:G203"/>
    <mergeCell ref="F399:G399"/>
    <mergeCell ref="F470:G470"/>
    <mergeCell ref="F259:G259"/>
    <mergeCell ref="F495:G495"/>
    <mergeCell ref="F261:G261"/>
    <mergeCell ref="F117:G117"/>
    <mergeCell ref="F92:G92"/>
    <mergeCell ref="F353:G353"/>
    <mergeCell ref="F254:G254"/>
    <mergeCell ref="F496:G496"/>
    <mergeCell ref="F490:G490"/>
    <mergeCell ref="F119:G119"/>
    <mergeCell ref="F290:G290"/>
    <mergeCell ref="F417:G417"/>
    <mergeCell ref="F69:G69"/>
    <mergeCell ref="F367:G367"/>
    <mergeCell ref="F256:G256"/>
    <mergeCell ref="F427:G427"/>
    <mergeCell ref="F498:G498"/>
    <mergeCell ref="F112:G112"/>
    <mergeCell ref="F183:G183"/>
    <mergeCell ref="F354:G354"/>
    <mergeCell ref="F348:G348"/>
    <mergeCell ref="F419:G419"/>
    <mergeCell ref="F193:G193"/>
    <mergeCell ref="F127:G127"/>
    <mergeCell ref="F285:G285"/>
    <mergeCell ref="A3:A4"/>
    <mergeCell ref="F51:G51"/>
    <mergeCell ref="F145:G145"/>
    <mergeCell ref="F272:G272"/>
    <mergeCell ref="F443:G443"/>
    <mergeCell ref="I5:I6"/>
    <mergeCell ref="F38:G38"/>
    <mergeCell ref="F209:G209"/>
    <mergeCell ref="F380:G380"/>
    <mergeCell ref="F274:G274"/>
    <mergeCell ref="F445:G445"/>
    <mergeCell ref="F432:G432"/>
    <mergeCell ref="F140:G140"/>
    <mergeCell ref="F211:G211"/>
    <mergeCell ref="F382:G382"/>
    <mergeCell ref="F67:G67"/>
    <mergeCell ref="F338:G338"/>
    <mergeCell ref="F186:G186"/>
    <mergeCell ref="F82:G82"/>
    <mergeCell ref="F269:G269"/>
    <mergeCell ref="F440:G440"/>
    <mergeCell ref="F486:G486"/>
    <mergeCell ref="F206:G206"/>
    <mergeCell ref="F29:G29"/>
    <mergeCell ref="F300:G300"/>
    <mergeCell ref="F344:G344"/>
    <mergeCell ref="F158:G158"/>
    <mergeCell ref="F329:G329"/>
    <mergeCell ref="F133:G133"/>
    <mergeCell ref="F369:G369"/>
    <mergeCell ref="F418:G418"/>
    <mergeCell ref="F356:G356"/>
    <mergeCell ref="F160:G160"/>
    <mergeCell ref="F135:G135"/>
    <mergeCell ref="F433:G433"/>
    <mergeCell ref="F122:G122"/>
    <mergeCell ref="F153:G153"/>
    <mergeCell ref="F420:G420"/>
    <mergeCell ref="F224:G224"/>
    <mergeCell ref="F491:G491"/>
    <mergeCell ref="F72:G72"/>
    <mergeCell ref="F199:G199"/>
    <mergeCell ref="F370:G370"/>
    <mergeCell ref="F435:G435"/>
    <mergeCell ref="F484:G484"/>
    <mergeCell ref="F293:G293"/>
    <mergeCell ref="F88:G88"/>
    <mergeCell ref="F359:G359"/>
    <mergeCell ref="F148:G148"/>
    <mergeCell ref="F275:G275"/>
    <mergeCell ref="F446:G446"/>
    <mergeCell ref="F54:G54"/>
    <mergeCell ref="B3:B4"/>
    <mergeCell ref="F19:G19"/>
    <mergeCell ref="F212:G212"/>
    <mergeCell ref="F146:G146"/>
    <mergeCell ref="F388:G388"/>
    <mergeCell ref="F6:G6"/>
    <mergeCell ref="F277:G277"/>
    <mergeCell ref="F448:G448"/>
    <mergeCell ref="F304:G304"/>
    <mergeCell ref="F375:G375"/>
    <mergeCell ref="F83:G83"/>
    <mergeCell ref="F276:G276"/>
    <mergeCell ref="F214:G214"/>
    <mergeCell ref="F319:G319"/>
    <mergeCell ref="F368:G368"/>
    <mergeCell ref="F306:G306"/>
    <mergeCell ref="F20:G20"/>
    <mergeCell ref="F85:G85"/>
    <mergeCell ref="F383:G383"/>
    <mergeCell ref="F464:G464"/>
    <mergeCell ref="F303:G303"/>
    <mergeCell ref="F230:G230"/>
    <mergeCell ref="F401:G401"/>
    <mergeCell ref="F9:G9"/>
    <mergeCell ref="F167:G167"/>
    <mergeCell ref="F161:G161"/>
    <mergeCell ref="F459:G459"/>
    <mergeCell ref="F288:G288"/>
    <mergeCell ref="F136:G136"/>
    <mergeCell ref="F207:G207"/>
    <mergeCell ref="F225:G225"/>
    <mergeCell ref="F461:G461"/>
    <mergeCell ref="F271:G271"/>
    <mergeCell ref="F436:G436"/>
    <mergeCell ref="F227:G227"/>
    <mergeCell ref="F202:G202"/>
    <mergeCell ref="F283:G283"/>
    <mergeCell ref="F298:G298"/>
    <mergeCell ref="F154:G154"/>
    <mergeCell ref="F325:G325"/>
    <mergeCell ref="F390:G390"/>
    <mergeCell ref="F414:G414"/>
    <mergeCell ref="F291:G291"/>
    <mergeCell ref="F91:G91"/>
    <mergeCell ref="F389:G389"/>
    <mergeCell ref="F327:G327"/>
    <mergeCell ref="F156:G156"/>
    <mergeCell ref="F454:G454"/>
    <mergeCell ref="F180:G180"/>
    <mergeCell ref="H3:H4"/>
    <mergeCell ref="F416:G416"/>
    <mergeCell ref="J3:J4"/>
    <mergeCell ref="F22:G22"/>
    <mergeCell ref="F155:G155"/>
    <mergeCell ref="F93:G93"/>
    <mergeCell ref="F264:G264"/>
    <mergeCell ref="F149:G149"/>
    <mergeCell ref="F220:G220"/>
    <mergeCell ref="F391:G391"/>
    <mergeCell ref="F385:G385"/>
    <mergeCell ref="H5:H6"/>
    <mergeCell ref="J5:J6"/>
    <mergeCell ref="F151:G151"/>
    <mergeCell ref="F222:G222"/>
    <mergeCell ref="C1:E1"/>
    <mergeCell ref="F11:G11"/>
    <mergeCell ref="F182:G182"/>
    <mergeCell ref="F296:G296"/>
    <mergeCell ref="F467:G467"/>
    <mergeCell ref="F246:G246"/>
    <mergeCell ref="F40:G40"/>
    <mergeCell ref="F233:G233"/>
    <mergeCell ref="F469:G469"/>
    <mergeCell ref="F12:G12"/>
    <mergeCell ref="F177:G177"/>
    <mergeCell ref="F444:G444"/>
    <mergeCell ref="F248:G248"/>
    <mergeCell ref="F104:G104"/>
    <mergeCell ref="F297:G297"/>
    <mergeCell ref="F235:G235"/>
    <mergeCell ref="F340:G340"/>
    <mergeCell ref="F462:G462"/>
    <mergeCell ref="F41:G41"/>
    <mergeCell ref="F35:G35"/>
    <mergeCell ref="F302:G302"/>
    <mergeCell ref="F106:G106"/>
    <mergeCell ref="F404:G404"/>
    <mergeCell ref="F243:G243"/>
    <mergeCell ref="F366:G366"/>
    <mergeCell ref="F130:G130"/>
    <mergeCell ref="F480:G480"/>
    <mergeCell ref="F157:G157"/>
    <mergeCell ref="F132:G132"/>
    <mergeCell ref="F328:G328"/>
    <mergeCell ref="F455:G455"/>
    <mergeCell ref="F430:G430"/>
    <mergeCell ref="F234:G234"/>
    <mergeCell ref="F172:G172"/>
    <mergeCell ref="F221:G221"/>
    <mergeCell ref="F196:G196"/>
    <mergeCell ref="F463:G463"/>
    <mergeCell ref="F392:G392"/>
    <mergeCell ref="F25:G25"/>
    <mergeCell ref="F457:G457"/>
    <mergeCell ref="F236:G236"/>
    <mergeCell ref="F223:G223"/>
    <mergeCell ref="F394:G394"/>
    <mergeCell ref="F173:G173"/>
    <mergeCell ref="I3:I4"/>
    <mergeCell ref="F287:G287"/>
    <mergeCell ref="F458:G458"/>
    <mergeCell ref="F247:G247"/>
    <mergeCell ref="F125:G125"/>
    <mergeCell ref="F185:G185"/>
    <mergeCell ref="F318:G318"/>
    <mergeCell ref="F483:G483"/>
    <mergeCell ref="F312:G312"/>
    <mergeCell ref="F13:G13"/>
    <mergeCell ref="F56:G56"/>
    <mergeCell ref="F249:G249"/>
    <mergeCell ref="F105:G105"/>
    <mergeCell ref="F43:G43"/>
    <mergeCell ref="F176:G176"/>
    <mergeCell ref="F347:G347"/>
    <mergeCell ref="F170:G170"/>
    <mergeCell ref="F341:G341"/>
    <mergeCell ref="F412:G412"/>
    <mergeCell ref="F468:G468"/>
    <mergeCell ref="F120:G120"/>
    <mergeCell ref="F313:G313"/>
    <mergeCell ref="F278:G278"/>
    <mergeCell ref="F107:G107"/>
    <mergeCell ref="F349:G349"/>
    <mergeCell ref="F405:G405"/>
    <mergeCell ref="F57:G57"/>
    <mergeCell ref="F171:G171"/>
    <mergeCell ref="F407:G407"/>
    <mergeCell ref="F438:G438"/>
    <mergeCell ref="F267:G267"/>
    <mergeCell ref="F204:G204"/>
    <mergeCell ref="F33:G33"/>
    <mergeCell ref="D3:D4"/>
    <mergeCell ref="F198:G198"/>
    <mergeCell ref="F465:G465"/>
    <mergeCell ref="F489:G489"/>
    <mergeCell ref="F75:G75"/>
    <mergeCell ref="F231:G231"/>
    <mergeCell ref="F262:G262"/>
    <mergeCell ref="F62:G62"/>
    <mergeCell ref="F31:G31"/>
    <mergeCell ref="F273:G273"/>
    <mergeCell ref="F28:G28"/>
    <mergeCell ref="F239:G239"/>
    <mergeCell ref="F39:G39"/>
    <mergeCell ref="F337:G337"/>
    <mergeCell ref="F64:G64"/>
    <mergeCell ref="F257:G257"/>
    <mergeCell ref="F178:G178"/>
    <mergeCell ref="F476:G476"/>
    <mergeCell ref="F128:G128"/>
    <mergeCell ref="F426:G426"/>
    <mergeCell ref="F364:G364"/>
    <mergeCell ref="F413:G413"/>
    <mergeCell ref="F217:G217"/>
    <mergeCell ref="F478:G478"/>
    <mergeCell ref="F192:G192"/>
    <mergeCell ref="F21:G21"/>
    <mergeCell ref="F252:G252"/>
    <mergeCell ref="F428:G428"/>
    <mergeCell ref="F415:G415"/>
    <mergeCell ref="F194:G194"/>
    <mergeCell ref="F50:G50"/>
    <mergeCell ref="F492:G492"/>
    <mergeCell ref="F110:G110"/>
    <mergeCell ref="F181:G181"/>
    <mergeCell ref="F479:G479"/>
    <mergeCell ref="F141:G141"/>
    <mergeCell ref="F439:G439"/>
    <mergeCell ref="F504:G504"/>
    <mergeCell ref="F333:G333"/>
    <mergeCell ref="H1:J1"/>
    <mergeCell ref="F270:G270"/>
    <mergeCell ref="F441:G441"/>
    <mergeCell ref="F362:G362"/>
    <mergeCell ref="F245:G245"/>
    <mergeCell ref="F49:G49"/>
    <mergeCell ref="F14:G14"/>
    <mergeCell ref="F505:G505"/>
    <mergeCell ref="F1:G1"/>
    <mergeCell ref="F499:G499"/>
    <mergeCell ref="F299:G299"/>
    <mergeCell ref="F78:G78"/>
    <mergeCell ref="F205:G205"/>
    <mergeCell ref="F376:G376"/>
    <mergeCell ref="F265:G265"/>
    <mergeCell ref="F65:G65"/>
    <mergeCell ref="F314:G314"/>
    <mergeCell ref="F363:G363"/>
    <mergeCell ref="F55:G55"/>
    <mergeCell ref="F365:G365"/>
    <mergeCell ref="F169:G169"/>
    <mergeCell ref="F129:G129"/>
    <mergeCell ref="F200:G200"/>
    <mergeCell ref="F131:G131"/>
    <mergeCell ref="F258:G258"/>
    <mergeCell ref="F58:G58"/>
    <mergeCell ref="F429:G429"/>
    <mergeCell ref="F500:G500"/>
    <mergeCell ref="F52:G52"/>
    <mergeCell ref="F494:G494"/>
    <mergeCell ref="F294:G294"/>
    <mergeCell ref="F350:G350"/>
    <mergeCell ref="F37:G37"/>
    <mergeCell ref="F481:G481"/>
    <mergeCell ref="F195:G195"/>
    <mergeCell ref="F260:G260"/>
    <mergeCell ref="F60:G60"/>
    <mergeCell ref="F431:G431"/>
    <mergeCell ref="F358:G358"/>
    <mergeCell ref="F352:G352"/>
    <mergeCell ref="F197:G197"/>
    <mergeCell ref="F53:G53"/>
    <mergeCell ref="F289:G289"/>
    <mergeCell ref="F482:G482"/>
    <mergeCell ref="F68:G68"/>
    <mergeCell ref="F3:F4"/>
    <mergeCell ref="F84:G84"/>
    <mergeCell ref="F320:G320"/>
    <mergeCell ref="F447:G447"/>
    <mergeCell ref="F434:G434"/>
    <mergeCell ref="F15:G15"/>
    <mergeCell ref="F86:G86"/>
    <mergeCell ref="F142:G142"/>
    <mergeCell ref="F213:G213"/>
    <mergeCell ref="F384:G384"/>
    <mergeCell ref="F80:G80"/>
    <mergeCell ref="F378:G378"/>
    <mergeCell ref="F449:G449"/>
    <mergeCell ref="F79:G79"/>
    <mergeCell ref="F321:G321"/>
    <mergeCell ref="F144:G144"/>
    <mergeCell ref="F315:G315"/>
    <mergeCell ref="F215:G215"/>
    <mergeCell ref="F386:G386"/>
    <mergeCell ref="F373:G373"/>
    <mergeCell ref="F81:G81"/>
    <mergeCell ref="F460:G460"/>
    <mergeCell ref="F210:G210"/>
    <mergeCell ref="F381:G381"/>
    <mergeCell ref="F226:G226"/>
    <mergeCell ref="F437:G437"/>
    <mergeCell ref="F241:G241"/>
    <mergeCell ref="F284:G284"/>
    <mergeCell ref="F10:G10"/>
    <mergeCell ref="F63:G63"/>
    <mergeCell ref="F501:G501"/>
    <mergeCell ref="F34:G34"/>
    <mergeCell ref="F99:G99"/>
    <mergeCell ref="F292:G292"/>
    <mergeCell ref="F397:G397"/>
    <mergeCell ref="F286:G286"/>
    <mergeCell ref="F74:G74"/>
    <mergeCell ref="F372:G372"/>
    <mergeCell ref="F310:G310"/>
    <mergeCell ref="F503:G503"/>
    <mergeCell ref="F30:G30"/>
    <mergeCell ref="F5:G5"/>
    <mergeCell ref="F138:G138"/>
    <mergeCell ref="F76:G76"/>
    <mergeCell ref="F374:G374"/>
    <mergeCell ref="F94:G94"/>
    <mergeCell ref="F361:G361"/>
    <mergeCell ref="F150:G150"/>
    <mergeCell ref="F475:G475"/>
    <mergeCell ref="F152:G152"/>
    <mergeCell ref="F323:G323"/>
    <mergeCell ref="F279:G279"/>
    <mergeCell ref="F450:G450"/>
    <mergeCell ref="C3:C4"/>
    <mergeCell ref="E3:E4"/>
    <mergeCell ref="F216:G216"/>
    <mergeCell ref="F387:G387"/>
    <mergeCell ref="F343:G343"/>
    <mergeCell ref="F281:G281"/>
    <mergeCell ref="F452:G452"/>
    <mergeCell ref="F87:G87"/>
    <mergeCell ref="F147:G147"/>
    <mergeCell ref="F280:G280"/>
    <mergeCell ref="F218:G218"/>
    <mergeCell ref="F451:G451"/>
    <mergeCell ref="F89:G89"/>
    <mergeCell ref="F309:G309"/>
    <mergeCell ref="F7:G7"/>
    <mergeCell ref="F305:G305"/>
    <mergeCell ref="F242:G242"/>
    <mergeCell ref="F36:G36"/>
    <mergeCell ref="F307:G307"/>
    <mergeCell ref="F163:G163"/>
    <mergeCell ref="F334:G334"/>
    <mergeCell ref="F101:G101"/>
    <mergeCell ref="F8:G8"/>
    <mergeCell ref="F244:G244"/>
    <mergeCell ref="F100:G100"/>
    <mergeCell ref="F342:G342"/>
    <mergeCell ref="F165:G165"/>
    <mergeCell ref="F336:G336"/>
    <mergeCell ref="F311:G311"/>
    <mergeCell ref="F115:G115"/>
    <mergeCell ref="F308:G308"/>
    <mergeCell ref="F102:G102"/>
    <mergeCell ref="F425:G425"/>
    <mergeCell ref="F400:G400"/>
    <mergeCell ref="F229:G229"/>
    <mergeCell ref="F77:G77"/>
    <mergeCell ref="F166:G166"/>
    <mergeCell ref="F402:G402"/>
    <mergeCell ref="F377:G377"/>
    <mergeCell ref="F191:G191"/>
    <mergeCell ref="F255:G255"/>
    <mergeCell ref="F316:G316"/>
    <mergeCell ref="F59:G59"/>
    <mergeCell ref="F301:G301"/>
    <mergeCell ref="F24:G24"/>
    <mergeCell ref="F295:G295"/>
    <mergeCell ref="F95:G95"/>
    <mergeCell ref="F393:G393"/>
    <mergeCell ref="F331:G331"/>
    <mergeCell ref="F282:G282"/>
    <mergeCell ref="F453:G453"/>
    <mergeCell ref="F113:G113"/>
    <mergeCell ref="F232:G232"/>
    <mergeCell ref="F32:G32"/>
    <mergeCell ref="F26:G26"/>
    <mergeCell ref="F330:G330"/>
    <mergeCell ref="F268:G268"/>
    <mergeCell ref="F97:G97"/>
    <mergeCell ref="F219:G219"/>
    <mergeCell ref="F395:G395"/>
    <mergeCell ref="F159:G159"/>
    <mergeCell ref="F324:G324"/>
    <mergeCell ref="F90:G90"/>
    <mergeCell ref="F184:G184"/>
    <mergeCell ref="F27:G27"/>
    <mergeCell ref="F456:G456"/>
    <mergeCell ref="F471:G471"/>
    <mergeCell ref="F123:G123"/>
    <mergeCell ref="F179:G179"/>
    <mergeCell ref="F250:G250"/>
    <mergeCell ref="F44:G44"/>
  </mergeCells>
  <conditionalFormatting sqref="G3:G4">
    <cfRule type="cellIs" priority="2" operator="lessThan" dxfId="1">
      <formula>0</formula>
    </cfRule>
    <cfRule type="cellIs" priority="3" operator="greaterThanOrEqual" dxfId="0">
      <formula>0</formula>
    </cfRule>
  </conditionalFormatting>
  <pageMargins left="0.25" right="0.25" top="0.75" bottom="0.75" header="0.3" footer="0.3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6"/>
  <sheetViews>
    <sheetView tabSelected="1" zoomScaleNormal="100" workbookViewId="0">
      <selection activeCell="I11" sqref="I11"/>
    </sheetView>
  </sheetViews>
  <sheetFormatPr baseColWidth="8" defaultColWidth="8.875" defaultRowHeight="17.25"/>
  <cols>
    <col width="15.125" customWidth="1" style="11" min="1" max="2"/>
    <col width="15" customWidth="1" style="23" min="3" max="3"/>
    <col width="12.875" customWidth="1" style="11" min="4" max="4"/>
    <col width="17" customWidth="1" style="11" min="5" max="5"/>
    <col width="12.75" customWidth="1" style="11" min="6" max="6"/>
    <col width="12.875" customWidth="1" style="11" min="7" max="7"/>
    <col width="8.875" customWidth="1" style="12" min="8" max="8"/>
    <col width="12.625" customWidth="1" style="12" min="9" max="9"/>
    <col width="8.875" customWidth="1" style="12" min="10" max="10"/>
    <col width="8.875" customWidth="1" style="13" min="11" max="1024"/>
  </cols>
  <sheetData>
    <row r="1" ht="30" customHeight="1">
      <c r="A1" s="14" t="n"/>
      <c r="B1" s="15" t="n"/>
      <c r="C1" s="53" t="inlineStr">
        <is>
          <t>存股統計專用表格</t>
        </is>
      </c>
      <c r="D1" s="54" t="n"/>
      <c r="E1" s="54" t="n"/>
      <c r="F1" s="58" t="inlineStr">
        <is>
          <t>VOO</t>
        </is>
      </c>
      <c r="G1" s="42" t="n"/>
      <c r="H1" s="57" t="inlineStr">
        <is>
          <t>USD</t>
        </is>
      </c>
      <c r="I1" s="44" t="n"/>
      <c r="J1" s="42" t="n"/>
    </row>
    <row r="2" ht="21.75" customHeight="1">
      <c r="A2" s="4" t="inlineStr">
        <is>
          <t>實際成本</t>
        </is>
      </c>
      <c r="B2" s="4" t="inlineStr">
        <is>
          <t>帳面成本</t>
        </is>
      </c>
      <c r="C2" s="4" t="inlineStr">
        <is>
          <t>目前市價</t>
        </is>
      </c>
      <c r="D2" s="4" t="inlineStr">
        <is>
          <t>總股數</t>
        </is>
      </c>
      <c r="E2" s="4" t="inlineStr">
        <is>
          <t>總成本</t>
        </is>
      </c>
      <c r="F2" s="4" t="inlineStr">
        <is>
          <t>股利+借券</t>
        </is>
      </c>
      <c r="G2" s="4" t="inlineStr">
        <is>
          <t>報酬率(含息)</t>
        </is>
      </c>
      <c r="H2" s="47" t="inlineStr">
        <is>
          <t>目前市價</t>
        </is>
      </c>
      <c r="I2" s="47" t="inlineStr">
        <is>
          <t>目前匯率</t>
        </is>
      </c>
      <c r="J2" s="47" t="inlineStr">
        <is>
          <t>總成本</t>
        </is>
      </c>
    </row>
    <row r="3" ht="18.75" customHeight="1">
      <c r="A3" s="45">
        <f>(E3-F3)/D3</f>
        <v/>
      </c>
      <c r="B3" s="49">
        <f>E3/D3</f>
        <v/>
      </c>
      <c r="C3" s="61">
        <f>H3</f>
        <v/>
      </c>
      <c r="D3" s="56">
        <f>SUM(D7:D505)</f>
        <v/>
      </c>
      <c r="E3" s="59">
        <f>SUM(E7:E505)</f>
        <v/>
      </c>
      <c r="F3" s="59">
        <f>SUM(F6:G505)</f>
        <v/>
      </c>
      <c r="G3" s="7">
        <f>G4/E3</f>
        <v/>
      </c>
      <c r="H3" s="51" t="n">
        <v>22885.4772</v>
      </c>
      <c r="I3" s="140">
        <f>投資!G2</f>
        <v/>
      </c>
      <c r="J3" s="52">
        <f>SUM(J7:J505)</f>
        <v/>
      </c>
    </row>
    <row r="4" ht="18.75" customHeight="1">
      <c r="A4" s="46" t="n"/>
      <c r="B4" s="46" t="n"/>
      <c r="C4" s="48" t="n"/>
      <c r="D4" s="46" t="n"/>
      <c r="E4" s="46" t="n"/>
      <c r="F4" s="46" t="n"/>
      <c r="G4" s="136">
        <f>D3*C3-E3+F3</f>
        <v/>
      </c>
      <c r="H4" s="48" t="n"/>
      <c r="I4" s="48" t="n"/>
      <c r="J4" s="48" t="n"/>
    </row>
    <row r="5">
      <c r="A5" s="16" t="inlineStr">
        <is>
          <t>交易筆數</t>
        </is>
      </c>
      <c r="B5" s="24" t="inlineStr">
        <is>
          <t>購買日期</t>
        </is>
      </c>
      <c r="C5" s="16" t="inlineStr">
        <is>
          <t>購入價格</t>
        </is>
      </c>
      <c r="D5" s="16" t="inlineStr">
        <is>
          <t>股數</t>
        </is>
      </c>
      <c r="E5" s="16" t="inlineStr">
        <is>
          <t>持有成本</t>
        </is>
      </c>
      <c r="F5" s="60" t="inlineStr">
        <is>
          <t>股利</t>
        </is>
      </c>
      <c r="G5" s="42" t="n"/>
      <c r="H5" s="47" t="inlineStr">
        <is>
          <t>購入價格</t>
        </is>
      </c>
      <c r="I5" s="47" t="inlineStr">
        <is>
          <t>購入匯率</t>
        </is>
      </c>
      <c r="J5" s="47" t="inlineStr">
        <is>
          <t>購入金額</t>
        </is>
      </c>
    </row>
    <row r="6">
      <c r="A6" s="17" t="n">
        <v>1</v>
      </c>
      <c r="B6" s="43" t="inlineStr">
        <is>
          <t>借券收入</t>
        </is>
      </c>
      <c r="C6" s="44" t="n"/>
      <c r="D6" s="44" t="n"/>
      <c r="E6" s="42" t="n"/>
      <c r="F6" s="50" t="n"/>
      <c r="G6" s="42" t="n"/>
      <c r="H6" s="48" t="n"/>
      <c r="I6" s="48" t="n"/>
      <c r="J6" s="48" t="n"/>
    </row>
    <row r="7">
      <c r="A7" s="17" t="n">
        <v>2</v>
      </c>
      <c r="B7" s="25" t="inlineStr">
        <is>
          <t>2026.07.06</t>
        </is>
      </c>
      <c r="C7" s="141">
        <f>H7*I7</f>
        <v/>
      </c>
      <c r="D7" s="41" t="n">
        <v>0.24703</v>
      </c>
      <c r="E7" s="41">
        <f>J7*I7</f>
        <v/>
      </c>
      <c r="F7" s="41" t="n"/>
      <c r="G7" s="42" t="n"/>
      <c r="H7" s="20" t="n">
        <v>688.15</v>
      </c>
      <c r="I7" s="20" t="n">
        <v>31.934</v>
      </c>
      <c r="J7" s="20" t="n">
        <v>170.01</v>
      </c>
    </row>
    <row r="8">
      <c r="A8" s="17" t="n">
        <v>3</v>
      </c>
      <c r="B8" s="25" t="inlineStr">
        <is>
          <t>2026.08.06</t>
        </is>
      </c>
      <c r="C8" s="141">
        <f>H8*I8</f>
        <v/>
      </c>
      <c r="D8" s="41" t="n">
        <v>0.24018</v>
      </c>
      <c r="E8" s="41">
        <f>J8*I8</f>
        <v/>
      </c>
      <c r="F8" s="41" t="n"/>
      <c r="G8" s="42" t="n"/>
      <c r="H8" s="20" t="n">
        <v>707.8200000000001</v>
      </c>
      <c r="I8" s="20" t="n">
        <v>32.3526</v>
      </c>
      <c r="J8" s="20" t="n">
        <v>170.01</v>
      </c>
    </row>
    <row r="9">
      <c r="A9" s="17" t="n">
        <v>4</v>
      </c>
      <c r="B9" s="25" t="inlineStr">
        <is>
          <t>2026.09.08</t>
        </is>
      </c>
      <c r="C9" s="141">
        <f>H9*I9</f>
        <v/>
      </c>
      <c r="D9" s="41" t="n">
        <v>0.24045</v>
      </c>
      <c r="E9" s="41">
        <f>J9*I9</f>
        <v/>
      </c>
      <c r="F9" s="41" t="n"/>
      <c r="G9" s="42" t="n"/>
      <c r="H9" s="20" t="n">
        <v>707.03</v>
      </c>
      <c r="I9" s="20" t="n">
        <v>31.96</v>
      </c>
      <c r="J9" s="20" t="n">
        <v>170.01</v>
      </c>
    </row>
    <row r="10">
      <c r="A10" s="17" t="n">
        <v>5</v>
      </c>
      <c r="B10" s="25" t="inlineStr">
        <is>
          <t>2026.10.06</t>
        </is>
      </c>
      <c r="C10" s="141">
        <f>H10*I10</f>
        <v/>
      </c>
      <c r="D10" s="41" t="n">
        <v>0.23766</v>
      </c>
      <c r="E10" s="18">
        <f>J10*I10</f>
        <v/>
      </c>
      <c r="F10" s="41" t="n"/>
      <c r="G10" s="42" t="n"/>
      <c r="H10" s="20" t="n">
        <v>715.28</v>
      </c>
      <c r="I10" s="20" t="n">
        <v>31.81</v>
      </c>
      <c r="J10" s="20" t="n">
        <v>170.01</v>
      </c>
    </row>
    <row r="11">
      <c r="A11" s="17" t="n">
        <v>6</v>
      </c>
      <c r="B11" s="25" t="n"/>
      <c r="C11" s="141">
        <f>H11*I11</f>
        <v/>
      </c>
      <c r="D11" s="41" t="n"/>
      <c r="E11" s="41">
        <f>J11*I11</f>
        <v/>
      </c>
      <c r="F11" s="41" t="n"/>
      <c r="G11" s="42" t="n"/>
      <c r="H11" s="20" t="n"/>
      <c r="I11" s="20" t="n"/>
      <c r="J11" s="20" t="n"/>
    </row>
    <row r="12">
      <c r="A12" s="17" t="n">
        <v>7</v>
      </c>
      <c r="B12" s="25" t="n"/>
      <c r="C12" s="141">
        <f>H12*I12</f>
        <v/>
      </c>
      <c r="D12" s="41" t="n"/>
      <c r="E12" s="41">
        <f>J12*I12</f>
        <v/>
      </c>
      <c r="F12" s="41" t="n"/>
      <c r="G12" s="42" t="n"/>
      <c r="H12" s="20" t="n"/>
      <c r="I12" s="20" t="n"/>
      <c r="J12" s="20" t="n"/>
    </row>
    <row r="13">
      <c r="A13" s="17" t="n">
        <v>8</v>
      </c>
      <c r="B13" s="25" t="n"/>
      <c r="C13" s="141">
        <f>H13*I13</f>
        <v/>
      </c>
      <c r="D13" s="41" t="n"/>
      <c r="E13" s="41">
        <f>J13*I13</f>
        <v/>
      </c>
      <c r="F13" s="41" t="n"/>
      <c r="G13" s="42" t="n"/>
      <c r="H13" s="20" t="n"/>
      <c r="I13" s="20" t="n"/>
      <c r="J13" s="20" t="n"/>
    </row>
    <row r="14">
      <c r="A14" s="17" t="n">
        <v>9</v>
      </c>
      <c r="B14" s="25" t="n"/>
      <c r="C14" s="141">
        <f>H14*I14</f>
        <v/>
      </c>
      <c r="D14" s="41" t="n"/>
      <c r="E14" s="41">
        <f>J14*I14</f>
        <v/>
      </c>
      <c r="F14" s="41" t="n"/>
      <c r="G14" s="42" t="n"/>
      <c r="H14" s="20" t="n"/>
      <c r="I14" s="20" t="n"/>
      <c r="J14" s="20" t="n"/>
    </row>
    <row r="15">
      <c r="A15" s="17" t="n">
        <v>10</v>
      </c>
      <c r="B15" s="25" t="n"/>
      <c r="C15" s="141">
        <f>H15*I15</f>
        <v/>
      </c>
      <c r="D15" s="41" t="n"/>
      <c r="E15" s="41">
        <f>J15*I15</f>
        <v/>
      </c>
      <c r="F15" s="41" t="n"/>
      <c r="G15" s="42" t="n"/>
      <c r="H15" s="20" t="n"/>
      <c r="I15" s="20" t="n"/>
      <c r="J15" s="20" t="n"/>
    </row>
    <row r="16">
      <c r="A16" s="17" t="n">
        <v>11</v>
      </c>
      <c r="B16" s="25" t="n"/>
      <c r="C16" s="141">
        <f>H16*I16</f>
        <v/>
      </c>
      <c r="D16" s="41" t="n"/>
      <c r="E16" s="41">
        <f>J16*I16</f>
        <v/>
      </c>
      <c r="F16" s="41" t="n"/>
      <c r="G16" s="42" t="n"/>
      <c r="H16" s="20" t="n"/>
      <c r="I16" s="20" t="n"/>
      <c r="J16" s="20" t="n"/>
    </row>
    <row r="17" ht="16.5" customFormat="1" customHeight="1" s="12">
      <c r="A17" s="17" t="n">
        <v>12</v>
      </c>
      <c r="B17" s="25" t="n"/>
      <c r="C17" s="141">
        <f>H17*I17</f>
        <v/>
      </c>
      <c r="D17" s="41" t="n"/>
      <c r="E17" s="41">
        <f>J17*I17</f>
        <v/>
      </c>
      <c r="F17" s="41" t="n"/>
      <c r="G17" s="42" t="n"/>
      <c r="H17" s="20" t="n"/>
      <c r="I17" s="20" t="n"/>
      <c r="J17" s="20" t="n"/>
    </row>
    <row r="18" ht="16.5" customFormat="1" customHeight="1" s="12">
      <c r="A18" s="17" t="n">
        <v>13</v>
      </c>
      <c r="B18" s="25" t="n"/>
      <c r="C18" s="141">
        <f>H18*I18</f>
        <v/>
      </c>
      <c r="D18" s="41" t="n"/>
      <c r="E18" s="41">
        <f>J18*I18</f>
        <v/>
      </c>
      <c r="F18" s="41" t="n"/>
      <c r="G18" s="42" t="n"/>
      <c r="H18" s="20" t="n"/>
      <c r="I18" s="20" t="n"/>
      <c r="J18" s="20" t="n"/>
    </row>
    <row r="19" ht="16.5" customFormat="1" customHeight="1" s="12">
      <c r="A19" s="17" t="n">
        <v>14</v>
      </c>
      <c r="B19" s="25" t="n"/>
      <c r="C19" s="141">
        <f>H19*I19</f>
        <v/>
      </c>
      <c r="D19" s="41" t="n"/>
      <c r="E19" s="41">
        <f>J19*I19</f>
        <v/>
      </c>
      <c r="F19" s="41" t="n"/>
      <c r="G19" s="42" t="n"/>
      <c r="H19" s="20" t="n"/>
      <c r="I19" s="20" t="n"/>
      <c r="J19" s="20" t="n"/>
    </row>
    <row r="20" ht="16.5" customFormat="1" customHeight="1" s="12">
      <c r="A20" s="17" t="n">
        <v>15</v>
      </c>
      <c r="B20" s="25" t="n"/>
      <c r="C20" s="141">
        <f>H20*I20</f>
        <v/>
      </c>
      <c r="D20" s="41" t="n"/>
      <c r="E20" s="41">
        <f>J20*I20</f>
        <v/>
      </c>
      <c r="F20" s="41" t="n"/>
      <c r="G20" s="42" t="n"/>
      <c r="H20" s="20" t="n"/>
      <c r="I20" s="20" t="n"/>
      <c r="J20" s="20" t="n"/>
    </row>
    <row r="21" ht="16.5" customFormat="1" customHeight="1" s="12">
      <c r="A21" s="17" t="n">
        <v>16</v>
      </c>
      <c r="B21" s="25" t="n"/>
      <c r="C21" s="141">
        <f>H21*I21</f>
        <v/>
      </c>
      <c r="D21" s="41" t="n"/>
      <c r="E21" s="41">
        <f>J21*I21</f>
        <v/>
      </c>
      <c r="F21" s="41" t="n"/>
      <c r="G21" s="42" t="n"/>
      <c r="H21" s="20" t="n"/>
      <c r="I21" s="20" t="n"/>
      <c r="J21" s="20" t="n"/>
    </row>
    <row r="22" ht="16.5" customFormat="1" customHeight="1" s="12">
      <c r="A22" s="17" t="n">
        <v>17</v>
      </c>
      <c r="B22" s="25" t="n"/>
      <c r="C22" s="141">
        <f>H22*I22</f>
        <v/>
      </c>
      <c r="D22" s="41" t="n"/>
      <c r="E22" s="41">
        <f>J22*I22</f>
        <v/>
      </c>
      <c r="F22" s="41" t="n"/>
      <c r="G22" s="42" t="n"/>
      <c r="H22" s="20" t="n"/>
      <c r="I22" s="20" t="n"/>
      <c r="J22" s="20" t="n"/>
    </row>
    <row r="23" ht="16.5" customFormat="1" customHeight="1" s="12">
      <c r="A23" s="17" t="n">
        <v>18</v>
      </c>
      <c r="B23" s="25" t="n"/>
      <c r="C23" s="141">
        <f>H23*I23</f>
        <v/>
      </c>
      <c r="D23" s="41" t="n"/>
      <c r="E23" s="41">
        <f>J23*I23</f>
        <v/>
      </c>
      <c r="F23" s="41" t="n"/>
      <c r="G23" s="42" t="n"/>
      <c r="H23" s="20" t="n"/>
      <c r="I23" s="20" t="n"/>
      <c r="J23" s="20" t="n"/>
    </row>
    <row r="24" ht="16.5" customFormat="1" customHeight="1" s="12">
      <c r="A24" s="17" t="n">
        <v>19</v>
      </c>
      <c r="B24" s="25" t="n"/>
      <c r="C24" s="141">
        <f>H24*I24</f>
        <v/>
      </c>
      <c r="D24" s="41" t="n"/>
      <c r="E24" s="41">
        <f>J24*I24</f>
        <v/>
      </c>
      <c r="F24" s="41" t="n"/>
      <c r="G24" s="42" t="n"/>
      <c r="H24" s="20" t="n"/>
      <c r="I24" s="20" t="n"/>
      <c r="J24" s="20" t="n"/>
    </row>
    <row r="25" ht="16.5" customFormat="1" customHeight="1" s="12">
      <c r="A25" s="17" t="n">
        <v>20</v>
      </c>
      <c r="B25" s="25" t="n"/>
      <c r="C25" s="141">
        <f>H25*I25</f>
        <v/>
      </c>
      <c r="D25" s="41" t="n"/>
      <c r="E25" s="41">
        <f>J25*I25</f>
        <v/>
      </c>
      <c r="F25" s="41" t="n"/>
      <c r="G25" s="42" t="n"/>
      <c r="H25" s="20" t="n"/>
      <c r="I25" s="20" t="n"/>
      <c r="J25" s="20" t="n"/>
    </row>
    <row r="26" ht="16.5" customFormat="1" customHeight="1" s="12">
      <c r="A26" s="17" t="n">
        <v>21</v>
      </c>
      <c r="B26" s="25" t="n"/>
      <c r="C26" s="141">
        <f>H26*I26</f>
        <v/>
      </c>
      <c r="D26" s="41" t="n"/>
      <c r="E26" s="41">
        <f>J26*I26</f>
        <v/>
      </c>
      <c r="F26" s="41" t="n"/>
      <c r="G26" s="42" t="n"/>
      <c r="H26" s="20" t="n"/>
      <c r="I26" s="20" t="n"/>
      <c r="J26" s="20" t="n"/>
    </row>
    <row r="27" ht="16.5" customFormat="1" customHeight="1" s="12">
      <c r="A27" s="17" t="n">
        <v>22</v>
      </c>
      <c r="B27" s="25" t="n"/>
      <c r="C27" s="141">
        <f>H27*I27</f>
        <v/>
      </c>
      <c r="D27" s="41" t="n"/>
      <c r="E27" s="41">
        <f>J27*I27</f>
        <v/>
      </c>
      <c r="F27" s="41" t="n"/>
      <c r="G27" s="42" t="n"/>
      <c r="H27" s="20" t="n"/>
      <c r="I27" s="20" t="n"/>
      <c r="J27" s="20" t="n"/>
    </row>
    <row r="28" ht="16.5" customFormat="1" customHeight="1" s="12">
      <c r="A28" s="17" t="n">
        <v>23</v>
      </c>
      <c r="B28" s="25" t="n"/>
      <c r="C28" s="141">
        <f>H28*I28</f>
        <v/>
      </c>
      <c r="D28" s="41" t="n"/>
      <c r="E28" s="41">
        <f>J28*I28</f>
        <v/>
      </c>
      <c r="F28" s="41" t="n"/>
      <c r="G28" s="42" t="n"/>
      <c r="H28" s="20" t="n"/>
      <c r="I28" s="20" t="n"/>
      <c r="J28" s="20" t="n"/>
    </row>
    <row r="29" ht="16.5" customFormat="1" customHeight="1" s="12">
      <c r="A29" s="17" t="n">
        <v>24</v>
      </c>
      <c r="B29" s="25" t="n"/>
      <c r="C29" s="141">
        <f>H29*I29</f>
        <v/>
      </c>
      <c r="D29" s="41" t="n"/>
      <c r="E29" s="41">
        <f>J29*I29</f>
        <v/>
      </c>
      <c r="F29" s="41" t="n"/>
      <c r="G29" s="42" t="n"/>
      <c r="H29" s="20" t="n"/>
      <c r="I29" s="20" t="n"/>
      <c r="J29" s="20" t="n"/>
    </row>
    <row r="30" ht="16.5" customFormat="1" customHeight="1" s="12">
      <c r="A30" s="17" t="n">
        <v>25</v>
      </c>
      <c r="B30" s="25" t="n"/>
      <c r="C30" s="141">
        <f>H30*I30</f>
        <v/>
      </c>
      <c r="D30" s="41" t="n"/>
      <c r="E30" s="41">
        <f>J30*I30</f>
        <v/>
      </c>
      <c r="F30" s="41" t="n"/>
      <c r="G30" s="42" t="n"/>
      <c r="H30" s="20" t="n"/>
      <c r="I30" s="20" t="n"/>
      <c r="J30" s="20" t="n"/>
    </row>
    <row r="31" ht="16.5" customFormat="1" customHeight="1" s="12">
      <c r="A31" s="17" t="n">
        <v>26</v>
      </c>
      <c r="B31" s="25" t="n"/>
      <c r="C31" s="141">
        <f>H31*I31</f>
        <v/>
      </c>
      <c r="D31" s="41" t="n"/>
      <c r="E31" s="41">
        <f>J31*I31</f>
        <v/>
      </c>
      <c r="F31" s="41" t="n"/>
      <c r="G31" s="42" t="n"/>
      <c r="H31" s="20" t="n"/>
      <c r="I31" s="20" t="n"/>
      <c r="J31" s="20" t="n"/>
    </row>
    <row r="32" ht="16.5" customFormat="1" customHeight="1" s="12">
      <c r="A32" s="17" t="n">
        <v>27</v>
      </c>
      <c r="B32" s="25" t="n"/>
      <c r="C32" s="141">
        <f>H32*I32</f>
        <v/>
      </c>
      <c r="D32" s="41" t="n"/>
      <c r="E32" s="41">
        <f>J32*I32</f>
        <v/>
      </c>
      <c r="F32" s="41" t="n"/>
      <c r="G32" s="42" t="n"/>
      <c r="H32" s="20" t="n"/>
      <c r="I32" s="20" t="n"/>
      <c r="J32" s="20" t="n"/>
    </row>
    <row r="33" ht="16.5" customFormat="1" customHeight="1" s="12">
      <c r="A33" s="17" t="n">
        <v>28</v>
      </c>
      <c r="B33" s="25" t="n"/>
      <c r="C33" s="141">
        <f>H33*I33</f>
        <v/>
      </c>
      <c r="D33" s="41" t="n"/>
      <c r="E33" s="41">
        <f>J33*I33</f>
        <v/>
      </c>
      <c r="F33" s="41" t="n"/>
      <c r="G33" s="42" t="n"/>
      <c r="H33" s="20" t="n"/>
      <c r="I33" s="20" t="n"/>
      <c r="J33" s="20" t="n"/>
    </row>
    <row r="34" ht="16.5" customFormat="1" customHeight="1" s="12">
      <c r="A34" s="17" t="n">
        <v>29</v>
      </c>
      <c r="B34" s="25" t="n"/>
      <c r="C34" s="141">
        <f>H34*I34</f>
        <v/>
      </c>
      <c r="D34" s="41" t="n"/>
      <c r="E34" s="41">
        <f>J34*I34</f>
        <v/>
      </c>
      <c r="F34" s="41" t="n"/>
      <c r="G34" s="42" t="n"/>
      <c r="H34" s="20" t="n"/>
      <c r="I34" s="20" t="n"/>
      <c r="J34" s="20" t="n"/>
    </row>
    <row r="35" ht="16.5" customFormat="1" customHeight="1" s="12">
      <c r="A35" s="17" t="n">
        <v>30</v>
      </c>
      <c r="B35" s="25" t="n"/>
      <c r="C35" s="141">
        <f>H35*I35</f>
        <v/>
      </c>
      <c r="D35" s="41" t="n"/>
      <c r="E35" s="41">
        <f>J35*I35</f>
        <v/>
      </c>
      <c r="F35" s="41" t="n"/>
      <c r="G35" s="42" t="n"/>
      <c r="H35" s="20" t="n"/>
      <c r="I35" s="20" t="n"/>
      <c r="J35" s="20" t="n"/>
    </row>
    <row r="36" ht="16.5" customFormat="1" customHeight="1" s="12">
      <c r="A36" s="17" t="n">
        <v>31</v>
      </c>
      <c r="B36" s="25" t="n"/>
      <c r="C36" s="141">
        <f>H36*I36</f>
        <v/>
      </c>
      <c r="D36" s="41" t="n"/>
      <c r="E36" s="41">
        <f>J36*I36</f>
        <v/>
      </c>
      <c r="F36" s="41" t="n"/>
      <c r="G36" s="42" t="n"/>
      <c r="H36" s="20" t="n"/>
      <c r="I36" s="20" t="n"/>
      <c r="J36" s="20" t="n"/>
    </row>
    <row r="37" ht="16.5" customFormat="1" customHeight="1" s="12">
      <c r="A37" s="17" t="n">
        <v>32</v>
      </c>
      <c r="B37" s="25" t="n"/>
      <c r="C37" s="141">
        <f>H37*I37</f>
        <v/>
      </c>
      <c r="D37" s="41" t="n"/>
      <c r="E37" s="41">
        <f>J37*I37</f>
        <v/>
      </c>
      <c r="F37" s="41" t="n"/>
      <c r="G37" s="42" t="n"/>
      <c r="H37" s="20" t="n"/>
      <c r="I37" s="20" t="n"/>
      <c r="J37" s="20" t="n"/>
    </row>
    <row r="38" ht="16.5" customFormat="1" customHeight="1" s="12">
      <c r="A38" s="17" t="n">
        <v>33</v>
      </c>
      <c r="B38" s="25" t="n"/>
      <c r="C38" s="141">
        <f>H38*I38</f>
        <v/>
      </c>
      <c r="D38" s="41" t="n"/>
      <c r="E38" s="41">
        <f>J38*I38</f>
        <v/>
      </c>
      <c r="F38" s="41" t="n"/>
      <c r="G38" s="42" t="n"/>
      <c r="H38" s="20" t="n"/>
      <c r="I38" s="20" t="n"/>
      <c r="J38" s="20" t="n"/>
    </row>
    <row r="39" ht="16.5" customFormat="1" customHeight="1" s="12">
      <c r="A39" s="17" t="n">
        <v>34</v>
      </c>
      <c r="B39" s="25" t="n"/>
      <c r="C39" s="141">
        <f>H39*I39</f>
        <v/>
      </c>
      <c r="D39" s="41" t="n"/>
      <c r="E39" s="41">
        <f>J39*I39</f>
        <v/>
      </c>
      <c r="F39" s="41" t="n"/>
      <c r="G39" s="42" t="n"/>
      <c r="H39" s="20" t="n"/>
      <c r="I39" s="20" t="n"/>
      <c r="J39" s="20" t="n"/>
    </row>
    <row r="40" ht="16.5" customFormat="1" customHeight="1" s="12">
      <c r="A40" s="17" t="n">
        <v>35</v>
      </c>
      <c r="B40" s="25" t="n"/>
      <c r="C40" s="141">
        <f>H40*I40</f>
        <v/>
      </c>
      <c r="D40" s="41" t="n"/>
      <c r="E40" s="41">
        <f>J40*I40</f>
        <v/>
      </c>
      <c r="F40" s="41" t="n"/>
      <c r="G40" s="42" t="n"/>
      <c r="H40" s="20" t="n"/>
      <c r="I40" s="20" t="n"/>
      <c r="J40" s="20" t="n"/>
    </row>
    <row r="41" ht="16.5" customFormat="1" customHeight="1" s="12">
      <c r="A41" s="17" t="n">
        <v>36</v>
      </c>
      <c r="B41" s="25" t="n"/>
      <c r="C41" s="141">
        <f>H41*I41</f>
        <v/>
      </c>
      <c r="D41" s="41" t="n"/>
      <c r="E41" s="41">
        <f>J41*I41</f>
        <v/>
      </c>
      <c r="F41" s="41" t="n"/>
      <c r="G41" s="42" t="n"/>
      <c r="H41" s="20" t="n"/>
      <c r="I41" s="20" t="n"/>
      <c r="J41" s="20" t="n"/>
    </row>
    <row r="42" ht="16.5" customFormat="1" customHeight="1" s="12">
      <c r="A42" s="17" t="n">
        <v>37</v>
      </c>
      <c r="B42" s="25" t="n"/>
      <c r="C42" s="141">
        <f>H42*I42</f>
        <v/>
      </c>
      <c r="D42" s="41" t="n"/>
      <c r="E42" s="41">
        <f>J42*I42</f>
        <v/>
      </c>
      <c r="F42" s="41" t="n"/>
      <c r="G42" s="42" t="n"/>
      <c r="H42" s="20" t="n"/>
      <c r="I42" s="20" t="n"/>
      <c r="J42" s="20" t="n"/>
    </row>
    <row r="43" ht="16.5" customFormat="1" customHeight="1" s="12">
      <c r="A43" s="17" t="n">
        <v>38</v>
      </c>
      <c r="B43" s="25" t="n"/>
      <c r="C43" s="141">
        <f>H43*I43</f>
        <v/>
      </c>
      <c r="D43" s="41" t="n"/>
      <c r="E43" s="41">
        <f>J43*I43</f>
        <v/>
      </c>
      <c r="F43" s="41" t="n"/>
      <c r="G43" s="42" t="n"/>
      <c r="H43" s="20" t="n"/>
      <c r="I43" s="20" t="n"/>
      <c r="J43" s="20" t="n"/>
    </row>
    <row r="44" ht="16.5" customFormat="1" customHeight="1" s="12">
      <c r="A44" s="17" t="n">
        <v>39</v>
      </c>
      <c r="B44" s="25" t="n"/>
      <c r="C44" s="141">
        <f>H44*I44</f>
        <v/>
      </c>
      <c r="D44" s="41" t="n"/>
      <c r="E44" s="41">
        <f>J44*I44</f>
        <v/>
      </c>
      <c r="F44" s="41" t="n"/>
      <c r="G44" s="42" t="n"/>
      <c r="H44" s="20" t="n"/>
      <c r="I44" s="20" t="n"/>
      <c r="J44" s="20" t="n"/>
    </row>
    <row r="45" ht="16.5" customFormat="1" customHeight="1" s="12">
      <c r="A45" s="17" t="n">
        <v>40</v>
      </c>
      <c r="B45" s="25" t="n"/>
      <c r="C45" s="141">
        <f>H45*I45</f>
        <v/>
      </c>
      <c r="D45" s="41" t="n"/>
      <c r="E45" s="41">
        <f>J45*I45</f>
        <v/>
      </c>
      <c r="F45" s="41" t="n"/>
      <c r="G45" s="42" t="n"/>
      <c r="H45" s="20" t="n"/>
      <c r="I45" s="20" t="n"/>
      <c r="J45" s="20" t="n"/>
    </row>
    <row r="46" ht="16.5" customFormat="1" customHeight="1" s="12">
      <c r="A46" s="17" t="n">
        <v>41</v>
      </c>
      <c r="B46" s="25" t="n"/>
      <c r="C46" s="141">
        <f>H46*I46</f>
        <v/>
      </c>
      <c r="D46" s="41" t="n"/>
      <c r="E46" s="41">
        <f>J46*I46</f>
        <v/>
      </c>
      <c r="F46" s="41" t="n"/>
      <c r="G46" s="42" t="n"/>
      <c r="H46" s="20" t="n"/>
      <c r="I46" s="20" t="n"/>
      <c r="J46" s="20" t="n"/>
    </row>
    <row r="47" ht="16.5" customFormat="1" customHeight="1" s="12">
      <c r="A47" s="17" t="n">
        <v>42</v>
      </c>
      <c r="B47" s="25" t="n"/>
      <c r="C47" s="141">
        <f>H47*I47</f>
        <v/>
      </c>
      <c r="D47" s="41" t="n"/>
      <c r="E47" s="41">
        <f>J47*I47</f>
        <v/>
      </c>
      <c r="F47" s="41" t="n"/>
      <c r="G47" s="42" t="n"/>
      <c r="H47" s="20" t="n"/>
      <c r="I47" s="20" t="n"/>
      <c r="J47" s="20" t="n"/>
    </row>
    <row r="48" ht="16.5" customFormat="1" customHeight="1" s="12">
      <c r="A48" s="17" t="n">
        <v>43</v>
      </c>
      <c r="B48" s="25" t="n"/>
      <c r="C48" s="141">
        <f>H48*I48</f>
        <v/>
      </c>
      <c r="D48" s="41" t="n"/>
      <c r="E48" s="41">
        <f>J48*I48</f>
        <v/>
      </c>
      <c r="F48" s="41" t="n"/>
      <c r="G48" s="42" t="n"/>
      <c r="H48" s="20" t="n"/>
      <c r="I48" s="20" t="n"/>
      <c r="J48" s="20" t="n"/>
    </row>
    <row r="49" ht="16.5" customFormat="1" customHeight="1" s="12">
      <c r="A49" s="17" t="n">
        <v>44</v>
      </c>
      <c r="B49" s="25" t="n"/>
      <c r="C49" s="141">
        <f>H49*I49</f>
        <v/>
      </c>
      <c r="D49" s="41" t="n"/>
      <c r="E49" s="41">
        <f>J49*I49</f>
        <v/>
      </c>
      <c r="F49" s="41" t="n"/>
      <c r="G49" s="42" t="n"/>
      <c r="H49" s="20" t="n"/>
      <c r="I49" s="20" t="n"/>
      <c r="J49" s="20" t="n"/>
    </row>
    <row r="50" ht="16.5" customFormat="1" customHeight="1" s="12">
      <c r="A50" s="17" t="n">
        <v>45</v>
      </c>
      <c r="B50" s="25" t="n"/>
      <c r="C50" s="141">
        <f>H50*I50</f>
        <v/>
      </c>
      <c r="D50" s="41" t="n"/>
      <c r="E50" s="41">
        <f>J50*I50</f>
        <v/>
      </c>
      <c r="F50" s="41" t="n"/>
      <c r="G50" s="42" t="n"/>
      <c r="H50" s="20" t="n"/>
      <c r="I50" s="20" t="n"/>
      <c r="J50" s="20" t="n"/>
    </row>
    <row r="51" ht="16.5" customFormat="1" customHeight="1" s="12">
      <c r="A51" s="17" t="n">
        <v>46</v>
      </c>
      <c r="B51" s="25" t="n"/>
      <c r="C51" s="141">
        <f>H51*I51</f>
        <v/>
      </c>
      <c r="D51" s="41" t="n"/>
      <c r="E51" s="41">
        <f>J51*I51</f>
        <v/>
      </c>
      <c r="F51" s="41" t="n"/>
      <c r="G51" s="42" t="n"/>
      <c r="H51" s="20" t="n"/>
      <c r="I51" s="20" t="n"/>
      <c r="J51" s="20" t="n"/>
    </row>
    <row r="52" ht="16.5" customFormat="1" customHeight="1" s="12">
      <c r="A52" s="17" t="n">
        <v>47</v>
      </c>
      <c r="B52" s="25" t="n"/>
      <c r="C52" s="141">
        <f>H52*I52</f>
        <v/>
      </c>
      <c r="D52" s="41" t="n"/>
      <c r="E52" s="41">
        <f>J52*I52</f>
        <v/>
      </c>
      <c r="F52" s="41" t="n"/>
      <c r="G52" s="42" t="n"/>
      <c r="H52" s="20" t="n"/>
      <c r="I52" s="20" t="n"/>
      <c r="J52" s="20" t="n"/>
    </row>
    <row r="53" ht="16.5" customFormat="1" customHeight="1" s="12">
      <c r="A53" s="17" t="n">
        <v>48</v>
      </c>
      <c r="B53" s="25" t="n"/>
      <c r="C53" s="141">
        <f>H53*I53</f>
        <v/>
      </c>
      <c r="D53" s="41" t="n"/>
      <c r="E53" s="41">
        <f>J53*I53</f>
        <v/>
      </c>
      <c r="F53" s="41" t="n"/>
      <c r="G53" s="42" t="n"/>
      <c r="H53" s="20" t="n"/>
      <c r="I53" s="20" t="n"/>
      <c r="J53" s="20" t="n"/>
    </row>
    <row r="54" ht="16.5" customFormat="1" customHeight="1" s="12">
      <c r="A54" s="17" t="n">
        <v>49</v>
      </c>
      <c r="B54" s="25" t="n"/>
      <c r="C54" s="141">
        <f>H54*I54</f>
        <v/>
      </c>
      <c r="D54" s="41" t="n"/>
      <c r="E54" s="41">
        <f>J54*I54</f>
        <v/>
      </c>
      <c r="F54" s="41" t="n"/>
      <c r="G54" s="42" t="n"/>
      <c r="H54" s="20" t="n"/>
      <c r="I54" s="20" t="n"/>
      <c r="J54" s="20" t="n"/>
    </row>
    <row r="55" ht="16.5" customFormat="1" customHeight="1" s="12">
      <c r="A55" s="17" t="n">
        <v>50</v>
      </c>
      <c r="B55" s="25" t="n"/>
      <c r="C55" s="141">
        <f>H55*I55</f>
        <v/>
      </c>
      <c r="D55" s="41" t="n"/>
      <c r="E55" s="41">
        <f>J55*I55</f>
        <v/>
      </c>
      <c r="F55" s="41" t="n"/>
      <c r="G55" s="42" t="n"/>
      <c r="H55" s="20" t="n"/>
      <c r="I55" s="20" t="n"/>
      <c r="J55" s="20" t="n"/>
    </row>
    <row r="56" ht="16.5" customFormat="1" customHeight="1" s="12">
      <c r="A56" s="17" t="n">
        <v>51</v>
      </c>
      <c r="B56" s="25" t="n"/>
      <c r="C56" s="141">
        <f>H56*I56</f>
        <v/>
      </c>
      <c r="D56" s="41" t="n"/>
      <c r="E56" s="41">
        <f>J56*I56</f>
        <v/>
      </c>
      <c r="F56" s="41" t="n"/>
      <c r="G56" s="42" t="n"/>
      <c r="H56" s="20" t="n"/>
      <c r="I56" s="20" t="n"/>
      <c r="J56" s="20" t="n"/>
    </row>
    <row r="57" ht="16.5" customFormat="1" customHeight="1" s="12">
      <c r="A57" s="17" t="n">
        <v>52</v>
      </c>
      <c r="B57" s="25" t="n"/>
      <c r="C57" s="141">
        <f>H57*I57</f>
        <v/>
      </c>
      <c r="D57" s="41" t="n"/>
      <c r="E57" s="41">
        <f>J57*I57</f>
        <v/>
      </c>
      <c r="F57" s="41" t="n"/>
      <c r="G57" s="42" t="n"/>
      <c r="H57" s="20" t="n"/>
      <c r="I57" s="20" t="n"/>
      <c r="J57" s="20" t="n"/>
    </row>
    <row r="58" ht="16.5" customFormat="1" customHeight="1" s="12">
      <c r="A58" s="17" t="n">
        <v>53</v>
      </c>
      <c r="B58" s="25" t="n"/>
      <c r="C58" s="141">
        <f>H58*I58</f>
        <v/>
      </c>
      <c r="D58" s="41" t="n"/>
      <c r="E58" s="41">
        <f>J58*I58</f>
        <v/>
      </c>
      <c r="F58" s="41" t="n"/>
      <c r="G58" s="42" t="n"/>
      <c r="H58" s="20" t="n"/>
      <c r="I58" s="20" t="n"/>
      <c r="J58" s="20" t="n"/>
    </row>
    <row r="59" ht="16.5" customFormat="1" customHeight="1" s="12">
      <c r="A59" s="17" t="n">
        <v>54</v>
      </c>
      <c r="B59" s="25" t="n"/>
      <c r="C59" s="141">
        <f>H59*I59</f>
        <v/>
      </c>
      <c r="D59" s="41" t="n"/>
      <c r="E59" s="41">
        <f>J59*I59</f>
        <v/>
      </c>
      <c r="F59" s="41" t="n"/>
      <c r="G59" s="42" t="n"/>
      <c r="H59" s="20" t="n"/>
      <c r="I59" s="20" t="n"/>
      <c r="J59" s="20" t="n"/>
    </row>
    <row r="60" ht="16.5" customFormat="1" customHeight="1" s="12">
      <c r="A60" s="17" t="n">
        <v>55</v>
      </c>
      <c r="B60" s="25" t="n"/>
      <c r="C60" s="141">
        <f>H60*I60</f>
        <v/>
      </c>
      <c r="D60" s="41" t="n"/>
      <c r="E60" s="41">
        <f>J60*I60</f>
        <v/>
      </c>
      <c r="F60" s="41" t="n"/>
      <c r="G60" s="42" t="n"/>
      <c r="H60" s="20" t="n"/>
      <c r="I60" s="20" t="n"/>
      <c r="J60" s="20" t="n"/>
    </row>
    <row r="61" ht="16.5" customFormat="1" customHeight="1" s="12">
      <c r="A61" s="17" t="n">
        <v>56</v>
      </c>
      <c r="B61" s="25" t="n"/>
      <c r="C61" s="141">
        <f>H61*I61</f>
        <v/>
      </c>
      <c r="D61" s="41" t="n"/>
      <c r="E61" s="41">
        <f>J61*I61</f>
        <v/>
      </c>
      <c r="F61" s="41" t="n"/>
      <c r="G61" s="42" t="n"/>
      <c r="H61" s="20" t="n"/>
      <c r="I61" s="20" t="n"/>
      <c r="J61" s="20" t="n"/>
    </row>
    <row r="62" ht="16.5" customFormat="1" customHeight="1" s="12">
      <c r="A62" s="17" t="n">
        <v>57</v>
      </c>
      <c r="B62" s="25" t="n"/>
      <c r="C62" s="141">
        <f>H62*I62</f>
        <v/>
      </c>
      <c r="D62" s="41" t="n"/>
      <c r="E62" s="41">
        <f>J62*I62</f>
        <v/>
      </c>
      <c r="F62" s="41" t="n"/>
      <c r="G62" s="42" t="n"/>
      <c r="H62" s="20" t="n"/>
      <c r="I62" s="20" t="n"/>
      <c r="J62" s="20" t="n"/>
    </row>
    <row r="63" ht="16.5" customFormat="1" customHeight="1" s="12">
      <c r="A63" s="17" t="n">
        <v>58</v>
      </c>
      <c r="B63" s="25" t="n"/>
      <c r="C63" s="141">
        <f>H63*I63</f>
        <v/>
      </c>
      <c r="D63" s="41" t="n"/>
      <c r="E63" s="41">
        <f>J63*I63</f>
        <v/>
      </c>
      <c r="F63" s="41" t="n"/>
      <c r="G63" s="42" t="n"/>
      <c r="H63" s="20" t="n"/>
      <c r="I63" s="20" t="n"/>
      <c r="J63" s="20" t="n"/>
    </row>
    <row r="64" ht="16.5" customFormat="1" customHeight="1" s="12">
      <c r="A64" s="17" t="n">
        <v>59</v>
      </c>
      <c r="B64" s="25" t="n"/>
      <c r="C64" s="141">
        <f>H64*I64</f>
        <v/>
      </c>
      <c r="D64" s="41" t="n"/>
      <c r="E64" s="41">
        <f>J64*I64</f>
        <v/>
      </c>
      <c r="F64" s="41" t="n"/>
      <c r="G64" s="42" t="n"/>
      <c r="H64" s="20" t="n"/>
      <c r="I64" s="20" t="n"/>
      <c r="J64" s="20" t="n"/>
    </row>
    <row r="65" ht="16.5" customFormat="1" customHeight="1" s="12">
      <c r="A65" s="17" t="n">
        <v>60</v>
      </c>
      <c r="B65" s="25" t="n"/>
      <c r="C65" s="141">
        <f>H65*I65</f>
        <v/>
      </c>
      <c r="D65" s="41" t="n"/>
      <c r="E65" s="41">
        <f>J65*I65</f>
        <v/>
      </c>
      <c r="F65" s="41" t="n"/>
      <c r="G65" s="42" t="n"/>
      <c r="H65" s="20" t="n"/>
      <c r="I65" s="20" t="n"/>
      <c r="J65" s="20" t="n"/>
    </row>
    <row r="66" ht="16.5" customFormat="1" customHeight="1" s="12">
      <c r="A66" s="17" t="n">
        <v>61</v>
      </c>
      <c r="B66" s="25" t="n"/>
      <c r="C66" s="141">
        <f>H66*I66</f>
        <v/>
      </c>
      <c r="D66" s="41" t="n"/>
      <c r="E66" s="41">
        <f>J66*I66</f>
        <v/>
      </c>
      <c r="F66" s="41" t="n"/>
      <c r="G66" s="42" t="n"/>
      <c r="H66" s="20" t="n"/>
      <c r="I66" s="20" t="n"/>
      <c r="J66" s="20" t="n"/>
    </row>
    <row r="67" ht="16.5" customFormat="1" customHeight="1" s="12">
      <c r="A67" s="17" t="n">
        <v>62</v>
      </c>
      <c r="B67" s="25" t="n"/>
      <c r="C67" s="141">
        <f>H67*I67</f>
        <v/>
      </c>
      <c r="D67" s="41" t="n"/>
      <c r="E67" s="41">
        <f>J67*I67</f>
        <v/>
      </c>
      <c r="F67" s="41" t="n"/>
      <c r="G67" s="42" t="n"/>
      <c r="H67" s="20" t="n"/>
      <c r="I67" s="20" t="n"/>
      <c r="J67" s="20" t="n"/>
    </row>
    <row r="68" ht="16.5" customFormat="1" customHeight="1" s="12">
      <c r="A68" s="17" t="n">
        <v>63</v>
      </c>
      <c r="B68" s="25" t="n"/>
      <c r="C68" s="141">
        <f>H68*I68</f>
        <v/>
      </c>
      <c r="D68" s="41" t="n"/>
      <c r="E68" s="41">
        <f>J68*I68</f>
        <v/>
      </c>
      <c r="F68" s="41" t="n"/>
      <c r="G68" s="42" t="n"/>
      <c r="H68" s="20" t="n"/>
      <c r="I68" s="20" t="n"/>
      <c r="J68" s="20" t="n"/>
    </row>
    <row r="69" ht="16.5" customFormat="1" customHeight="1" s="12">
      <c r="A69" s="17" t="n">
        <v>64</v>
      </c>
      <c r="B69" s="25" t="n"/>
      <c r="C69" s="141">
        <f>H69*I69</f>
        <v/>
      </c>
      <c r="D69" s="41" t="n"/>
      <c r="E69" s="41">
        <f>J69*I69</f>
        <v/>
      </c>
      <c r="F69" s="41" t="n"/>
      <c r="G69" s="42" t="n"/>
      <c r="H69" s="20" t="n"/>
      <c r="I69" s="20" t="n"/>
      <c r="J69" s="20" t="n"/>
    </row>
    <row r="70" ht="16.5" customFormat="1" customHeight="1" s="12">
      <c r="A70" s="17" t="n">
        <v>65</v>
      </c>
      <c r="B70" s="25" t="n"/>
      <c r="C70" s="141">
        <f>H70*I70</f>
        <v/>
      </c>
      <c r="D70" s="41" t="n"/>
      <c r="E70" s="41">
        <f>J70*I70</f>
        <v/>
      </c>
      <c r="F70" s="41" t="n"/>
      <c r="G70" s="42" t="n"/>
      <c r="H70" s="20" t="n"/>
      <c r="I70" s="20" t="n"/>
      <c r="J70" s="20" t="n"/>
    </row>
    <row r="71" ht="16.5" customFormat="1" customHeight="1" s="12">
      <c r="A71" s="17" t="n">
        <v>66</v>
      </c>
      <c r="B71" s="25" t="n"/>
      <c r="C71" s="141">
        <f>H71*I71</f>
        <v/>
      </c>
      <c r="D71" s="41" t="n"/>
      <c r="E71" s="41">
        <f>J71*I71</f>
        <v/>
      </c>
      <c r="F71" s="41" t="n"/>
      <c r="G71" s="42" t="n"/>
      <c r="H71" s="20" t="n"/>
      <c r="I71" s="20" t="n"/>
      <c r="J71" s="20" t="n"/>
    </row>
    <row r="72" ht="16.5" customFormat="1" customHeight="1" s="12">
      <c r="A72" s="17" t="n">
        <v>67</v>
      </c>
      <c r="B72" s="25" t="n"/>
      <c r="C72" s="141">
        <f>H72*I72</f>
        <v/>
      </c>
      <c r="D72" s="41" t="n"/>
      <c r="E72" s="41">
        <f>J72*I72</f>
        <v/>
      </c>
      <c r="F72" s="41" t="n"/>
      <c r="G72" s="42" t="n"/>
      <c r="H72" s="20" t="n"/>
      <c r="I72" s="20" t="n"/>
      <c r="J72" s="20" t="n"/>
    </row>
    <row r="73" ht="16.5" customFormat="1" customHeight="1" s="12">
      <c r="A73" s="17" t="n">
        <v>68</v>
      </c>
      <c r="B73" s="25" t="n"/>
      <c r="C73" s="141">
        <f>H73*I73</f>
        <v/>
      </c>
      <c r="D73" s="41" t="n"/>
      <c r="E73" s="41">
        <f>J73*I73</f>
        <v/>
      </c>
      <c r="F73" s="41" t="n"/>
      <c r="G73" s="42" t="n"/>
      <c r="H73" s="20" t="n"/>
      <c r="I73" s="20" t="n"/>
      <c r="J73" s="20" t="n"/>
    </row>
    <row r="74" ht="16.5" customFormat="1" customHeight="1" s="12">
      <c r="A74" s="17" t="n">
        <v>69</v>
      </c>
      <c r="B74" s="25" t="n"/>
      <c r="C74" s="141">
        <f>H74*I74</f>
        <v/>
      </c>
      <c r="D74" s="41" t="n"/>
      <c r="E74" s="41">
        <f>J74*I74</f>
        <v/>
      </c>
      <c r="F74" s="41" t="n"/>
      <c r="G74" s="42" t="n"/>
      <c r="H74" s="20" t="n"/>
      <c r="I74" s="20" t="n"/>
      <c r="J74" s="20" t="n"/>
    </row>
    <row r="75" ht="16.5" customFormat="1" customHeight="1" s="12">
      <c r="A75" s="17" t="n">
        <v>70</v>
      </c>
      <c r="B75" s="25" t="n"/>
      <c r="C75" s="141">
        <f>H75*I75</f>
        <v/>
      </c>
      <c r="D75" s="41" t="n"/>
      <c r="E75" s="41">
        <f>J75*I75</f>
        <v/>
      </c>
      <c r="F75" s="41" t="n"/>
      <c r="G75" s="42" t="n"/>
      <c r="H75" s="20" t="n"/>
      <c r="I75" s="20" t="n"/>
      <c r="J75" s="20" t="n"/>
    </row>
    <row r="76" ht="16.5" customFormat="1" customHeight="1" s="12">
      <c r="A76" s="17" t="n">
        <v>71</v>
      </c>
      <c r="B76" s="25" t="n"/>
      <c r="C76" s="141">
        <f>H76*I76</f>
        <v/>
      </c>
      <c r="D76" s="41" t="n"/>
      <c r="E76" s="41">
        <f>J76*I76</f>
        <v/>
      </c>
      <c r="F76" s="41" t="n"/>
      <c r="G76" s="42" t="n"/>
      <c r="H76" s="20" t="n"/>
      <c r="I76" s="20" t="n"/>
      <c r="J76" s="20" t="n"/>
    </row>
    <row r="77" ht="16.5" customFormat="1" customHeight="1" s="12">
      <c r="A77" s="17" t="n">
        <v>72</v>
      </c>
      <c r="B77" s="25" t="n"/>
      <c r="C77" s="141">
        <f>H77*I77</f>
        <v/>
      </c>
      <c r="D77" s="41" t="n"/>
      <c r="E77" s="41">
        <f>J77*I77</f>
        <v/>
      </c>
      <c r="F77" s="41" t="n"/>
      <c r="G77" s="42" t="n"/>
      <c r="H77" s="20" t="n"/>
      <c r="I77" s="20" t="n"/>
      <c r="J77" s="20" t="n"/>
    </row>
    <row r="78" ht="16.5" customFormat="1" customHeight="1" s="12">
      <c r="A78" s="17" t="n">
        <v>73</v>
      </c>
      <c r="B78" s="25" t="n"/>
      <c r="C78" s="141">
        <f>H78*I78</f>
        <v/>
      </c>
      <c r="D78" s="41" t="n"/>
      <c r="E78" s="41">
        <f>J78*I78</f>
        <v/>
      </c>
      <c r="F78" s="41" t="n"/>
      <c r="G78" s="42" t="n"/>
      <c r="H78" s="20" t="n"/>
      <c r="I78" s="20" t="n"/>
      <c r="J78" s="20" t="n"/>
    </row>
    <row r="79" ht="16.5" customFormat="1" customHeight="1" s="12">
      <c r="A79" s="17" t="n">
        <v>74</v>
      </c>
      <c r="B79" s="25" t="n"/>
      <c r="C79" s="141">
        <f>H79*I79</f>
        <v/>
      </c>
      <c r="D79" s="41" t="n"/>
      <c r="E79" s="41">
        <f>J79*I79</f>
        <v/>
      </c>
      <c r="F79" s="41" t="n"/>
      <c r="G79" s="42" t="n"/>
      <c r="H79" s="20" t="n"/>
      <c r="I79" s="20" t="n"/>
      <c r="J79" s="20" t="n"/>
    </row>
    <row r="80" ht="16.5" customFormat="1" customHeight="1" s="12">
      <c r="A80" s="17" t="n">
        <v>75</v>
      </c>
      <c r="B80" s="25" t="n"/>
      <c r="C80" s="141">
        <f>H80*I80</f>
        <v/>
      </c>
      <c r="D80" s="41" t="n"/>
      <c r="E80" s="41">
        <f>J80*I80</f>
        <v/>
      </c>
      <c r="F80" s="41" t="n"/>
      <c r="G80" s="42" t="n"/>
      <c r="H80" s="20" t="n"/>
      <c r="I80" s="20" t="n"/>
      <c r="J80" s="20" t="n"/>
    </row>
    <row r="81" ht="16.5" customFormat="1" customHeight="1" s="12">
      <c r="A81" s="17" t="n">
        <v>76</v>
      </c>
      <c r="B81" s="25" t="n"/>
      <c r="C81" s="141">
        <f>H81*I81</f>
        <v/>
      </c>
      <c r="D81" s="41" t="n"/>
      <c r="E81" s="41">
        <f>J81*I81</f>
        <v/>
      </c>
      <c r="F81" s="41" t="n"/>
      <c r="G81" s="42" t="n"/>
      <c r="H81" s="20" t="n"/>
      <c r="I81" s="20" t="n"/>
      <c r="J81" s="20" t="n"/>
    </row>
    <row r="82" ht="16.5" customFormat="1" customHeight="1" s="12">
      <c r="A82" s="17" t="n">
        <v>77</v>
      </c>
      <c r="B82" s="25" t="n"/>
      <c r="C82" s="141">
        <f>H82*I82</f>
        <v/>
      </c>
      <c r="D82" s="41" t="n"/>
      <c r="E82" s="41">
        <f>J82*I82</f>
        <v/>
      </c>
      <c r="F82" s="41" t="n"/>
      <c r="G82" s="42" t="n"/>
      <c r="H82" s="20" t="n"/>
      <c r="I82" s="20" t="n"/>
      <c r="J82" s="20" t="n"/>
    </row>
    <row r="83" ht="16.5" customFormat="1" customHeight="1" s="12">
      <c r="A83" s="17" t="n">
        <v>78</v>
      </c>
      <c r="B83" s="25" t="n"/>
      <c r="C83" s="141">
        <f>H83*I83</f>
        <v/>
      </c>
      <c r="D83" s="41" t="n"/>
      <c r="E83" s="41">
        <f>J83*I83</f>
        <v/>
      </c>
      <c r="F83" s="41" t="n"/>
      <c r="G83" s="42" t="n"/>
      <c r="H83" s="20" t="n"/>
      <c r="I83" s="20" t="n"/>
      <c r="J83" s="20" t="n"/>
    </row>
    <row r="84" ht="16.5" customFormat="1" customHeight="1" s="12">
      <c r="A84" s="17" t="n">
        <v>79</v>
      </c>
      <c r="B84" s="25" t="n"/>
      <c r="C84" s="141">
        <f>H84*I84</f>
        <v/>
      </c>
      <c r="D84" s="41" t="n"/>
      <c r="E84" s="41">
        <f>J84*I84</f>
        <v/>
      </c>
      <c r="F84" s="41" t="n"/>
      <c r="G84" s="42" t="n"/>
      <c r="H84" s="20" t="n"/>
      <c r="I84" s="20" t="n"/>
      <c r="J84" s="20" t="n"/>
    </row>
    <row r="85" ht="16.5" customFormat="1" customHeight="1" s="12">
      <c r="A85" s="17" t="n">
        <v>80</v>
      </c>
      <c r="B85" s="25" t="n"/>
      <c r="C85" s="141">
        <f>H85*I85</f>
        <v/>
      </c>
      <c r="D85" s="41" t="n"/>
      <c r="E85" s="41">
        <f>J85*I85</f>
        <v/>
      </c>
      <c r="F85" s="41" t="n"/>
      <c r="G85" s="42" t="n"/>
      <c r="H85" s="20" t="n"/>
      <c r="I85" s="20" t="n"/>
      <c r="J85" s="20" t="n"/>
    </row>
    <row r="86" ht="16.5" customFormat="1" customHeight="1" s="12">
      <c r="A86" s="17" t="n">
        <v>81</v>
      </c>
      <c r="B86" s="25" t="n"/>
      <c r="C86" s="141">
        <f>H86*I86</f>
        <v/>
      </c>
      <c r="D86" s="41" t="n"/>
      <c r="E86" s="41">
        <f>J86*I86</f>
        <v/>
      </c>
      <c r="F86" s="41" t="n"/>
      <c r="G86" s="42" t="n"/>
      <c r="H86" s="20" t="n"/>
      <c r="I86" s="20" t="n"/>
      <c r="J86" s="20" t="n"/>
    </row>
    <row r="87" ht="16.5" customFormat="1" customHeight="1" s="12">
      <c r="A87" s="17" t="n">
        <v>82</v>
      </c>
      <c r="B87" s="25" t="n"/>
      <c r="C87" s="141">
        <f>H87*I87</f>
        <v/>
      </c>
      <c r="D87" s="41" t="n"/>
      <c r="E87" s="41">
        <f>J87*I87</f>
        <v/>
      </c>
      <c r="F87" s="41" t="n"/>
      <c r="G87" s="42" t="n"/>
      <c r="H87" s="20" t="n"/>
      <c r="I87" s="20" t="n"/>
      <c r="J87" s="20" t="n"/>
    </row>
    <row r="88" ht="16.5" customFormat="1" customHeight="1" s="12">
      <c r="A88" s="17" t="n">
        <v>83</v>
      </c>
      <c r="B88" s="25" t="n"/>
      <c r="C88" s="141">
        <f>H88*I88</f>
        <v/>
      </c>
      <c r="D88" s="41" t="n"/>
      <c r="E88" s="41">
        <f>J88*I88</f>
        <v/>
      </c>
      <c r="F88" s="41" t="n"/>
      <c r="G88" s="42" t="n"/>
      <c r="H88" s="20" t="n"/>
      <c r="I88" s="20" t="n"/>
      <c r="J88" s="20" t="n"/>
    </row>
    <row r="89" ht="16.5" customFormat="1" customHeight="1" s="12">
      <c r="A89" s="17" t="n">
        <v>84</v>
      </c>
      <c r="B89" s="25" t="n"/>
      <c r="C89" s="141">
        <f>H89*I89</f>
        <v/>
      </c>
      <c r="D89" s="41" t="n"/>
      <c r="E89" s="41">
        <f>J89*I89</f>
        <v/>
      </c>
      <c r="F89" s="41" t="n"/>
      <c r="G89" s="42" t="n"/>
      <c r="H89" s="20" t="n"/>
      <c r="I89" s="20" t="n"/>
      <c r="J89" s="20" t="n"/>
    </row>
    <row r="90" ht="16.5" customFormat="1" customHeight="1" s="12">
      <c r="A90" s="17" t="n">
        <v>85</v>
      </c>
      <c r="B90" s="25" t="n"/>
      <c r="C90" s="141">
        <f>H90*I90</f>
        <v/>
      </c>
      <c r="D90" s="41" t="n"/>
      <c r="E90" s="41">
        <f>J90*I90</f>
        <v/>
      </c>
      <c r="F90" s="41" t="n"/>
      <c r="G90" s="42" t="n"/>
      <c r="H90" s="20" t="n"/>
      <c r="I90" s="20" t="n"/>
      <c r="J90" s="20" t="n"/>
    </row>
    <row r="91" ht="16.5" customFormat="1" customHeight="1" s="12">
      <c r="A91" s="17" t="n">
        <v>86</v>
      </c>
      <c r="B91" s="25" t="n"/>
      <c r="C91" s="141">
        <f>H91*I91</f>
        <v/>
      </c>
      <c r="D91" s="41" t="n"/>
      <c r="E91" s="41">
        <f>J91*I91</f>
        <v/>
      </c>
      <c r="F91" s="41" t="n"/>
      <c r="G91" s="42" t="n"/>
      <c r="H91" s="20" t="n"/>
      <c r="I91" s="20" t="n"/>
      <c r="J91" s="20" t="n"/>
    </row>
    <row r="92" ht="16.5" customFormat="1" customHeight="1" s="12">
      <c r="A92" s="17" t="n">
        <v>87</v>
      </c>
      <c r="B92" s="25" t="n"/>
      <c r="C92" s="141">
        <f>H92*I92</f>
        <v/>
      </c>
      <c r="D92" s="41" t="n"/>
      <c r="E92" s="41">
        <f>J92*I92</f>
        <v/>
      </c>
      <c r="F92" s="41" t="n"/>
      <c r="G92" s="42" t="n"/>
      <c r="H92" s="20" t="n"/>
      <c r="I92" s="20" t="n"/>
      <c r="J92" s="20" t="n"/>
    </row>
    <row r="93" ht="16.5" customFormat="1" customHeight="1" s="12">
      <c r="A93" s="17" t="n">
        <v>88</v>
      </c>
      <c r="B93" s="25" t="n"/>
      <c r="C93" s="141">
        <f>H93*I93</f>
        <v/>
      </c>
      <c r="D93" s="41" t="n"/>
      <c r="E93" s="41">
        <f>J93*I93</f>
        <v/>
      </c>
      <c r="F93" s="41" t="n"/>
      <c r="G93" s="42" t="n"/>
      <c r="H93" s="20" t="n"/>
      <c r="I93" s="20" t="n"/>
      <c r="J93" s="20" t="n"/>
    </row>
    <row r="94" ht="16.5" customFormat="1" customHeight="1" s="12">
      <c r="A94" s="17" t="n">
        <v>89</v>
      </c>
      <c r="B94" s="25" t="n"/>
      <c r="C94" s="141">
        <f>H94*I94</f>
        <v/>
      </c>
      <c r="D94" s="41" t="n"/>
      <c r="E94" s="41">
        <f>J94*I94</f>
        <v/>
      </c>
      <c r="F94" s="41" t="n"/>
      <c r="G94" s="42" t="n"/>
      <c r="H94" s="20" t="n"/>
      <c r="I94" s="20" t="n"/>
      <c r="J94" s="20" t="n"/>
    </row>
    <row r="95" ht="16.5" customFormat="1" customHeight="1" s="12">
      <c r="A95" s="17" t="n">
        <v>90</v>
      </c>
      <c r="B95" s="25" t="n"/>
      <c r="C95" s="141">
        <f>H95*I95</f>
        <v/>
      </c>
      <c r="D95" s="41" t="n"/>
      <c r="E95" s="41">
        <f>J95*I95</f>
        <v/>
      </c>
      <c r="F95" s="41" t="n"/>
      <c r="G95" s="42" t="n"/>
      <c r="H95" s="20" t="n"/>
      <c r="I95" s="20" t="n"/>
      <c r="J95" s="20" t="n"/>
    </row>
    <row r="96" ht="16.5" customFormat="1" customHeight="1" s="12">
      <c r="A96" s="17" t="n">
        <v>91</v>
      </c>
      <c r="B96" s="25" t="n"/>
      <c r="C96" s="141">
        <f>H96*I96</f>
        <v/>
      </c>
      <c r="D96" s="41" t="n"/>
      <c r="E96" s="41">
        <f>J96*I96</f>
        <v/>
      </c>
      <c r="F96" s="41" t="n"/>
      <c r="G96" s="42" t="n"/>
      <c r="H96" s="20" t="n"/>
      <c r="I96" s="20" t="n"/>
      <c r="J96" s="20" t="n"/>
    </row>
    <row r="97" ht="16.5" customFormat="1" customHeight="1" s="12">
      <c r="A97" s="17" t="n">
        <v>92</v>
      </c>
      <c r="B97" s="25" t="n"/>
      <c r="C97" s="141">
        <f>H97*I97</f>
        <v/>
      </c>
      <c r="D97" s="41" t="n"/>
      <c r="E97" s="41">
        <f>J97*I97</f>
        <v/>
      </c>
      <c r="F97" s="41" t="n"/>
      <c r="G97" s="42" t="n"/>
      <c r="H97" s="20" t="n"/>
      <c r="I97" s="20" t="n"/>
      <c r="J97" s="20" t="n"/>
    </row>
    <row r="98" ht="16.5" customFormat="1" customHeight="1" s="12">
      <c r="A98" s="17" t="n">
        <v>93</v>
      </c>
      <c r="B98" s="25" t="n"/>
      <c r="C98" s="141">
        <f>H98*I98</f>
        <v/>
      </c>
      <c r="D98" s="41" t="n"/>
      <c r="E98" s="41">
        <f>J98*I98</f>
        <v/>
      </c>
      <c r="F98" s="41" t="n"/>
      <c r="G98" s="42" t="n"/>
      <c r="H98" s="20" t="n"/>
      <c r="I98" s="20" t="n"/>
      <c r="J98" s="20" t="n"/>
    </row>
    <row r="99" ht="16.5" customFormat="1" customHeight="1" s="12">
      <c r="A99" s="17" t="n">
        <v>94</v>
      </c>
      <c r="B99" s="25" t="n"/>
      <c r="C99" s="141">
        <f>H99*I99</f>
        <v/>
      </c>
      <c r="D99" s="41" t="n"/>
      <c r="E99" s="41">
        <f>J99*I99</f>
        <v/>
      </c>
      <c r="F99" s="41" t="n"/>
      <c r="G99" s="42" t="n"/>
      <c r="H99" s="20" t="n"/>
      <c r="I99" s="20" t="n"/>
      <c r="J99" s="20" t="n"/>
    </row>
    <row r="100" ht="16.5" customFormat="1" customHeight="1" s="12">
      <c r="A100" s="17" t="n">
        <v>95</v>
      </c>
      <c r="B100" s="25" t="n"/>
      <c r="C100" s="141">
        <f>H100*I100</f>
        <v/>
      </c>
      <c r="D100" s="41" t="n"/>
      <c r="E100" s="41">
        <f>J100*I100</f>
        <v/>
      </c>
      <c r="F100" s="41" t="n"/>
      <c r="G100" s="42" t="n"/>
      <c r="H100" s="20" t="n"/>
      <c r="I100" s="20" t="n"/>
      <c r="J100" s="20" t="n"/>
    </row>
    <row r="101" ht="16.5" customFormat="1" customHeight="1" s="12">
      <c r="A101" s="17" t="n">
        <v>96</v>
      </c>
      <c r="B101" s="25" t="n"/>
      <c r="C101" s="141">
        <f>H101*I101</f>
        <v/>
      </c>
      <c r="D101" s="41" t="n"/>
      <c r="E101" s="41">
        <f>J101*I101</f>
        <v/>
      </c>
      <c r="F101" s="41" t="n"/>
      <c r="G101" s="42" t="n"/>
      <c r="H101" s="20" t="n"/>
      <c r="I101" s="20" t="n"/>
      <c r="J101" s="20" t="n"/>
    </row>
    <row r="102" ht="16.5" customFormat="1" customHeight="1" s="12">
      <c r="A102" s="17" t="n">
        <v>97</v>
      </c>
      <c r="B102" s="25" t="n"/>
      <c r="C102" s="141">
        <f>H102*I102</f>
        <v/>
      </c>
      <c r="D102" s="41" t="n"/>
      <c r="E102" s="41">
        <f>J102*I102</f>
        <v/>
      </c>
      <c r="F102" s="41" t="n"/>
      <c r="G102" s="42" t="n"/>
      <c r="H102" s="20" t="n"/>
      <c r="I102" s="20" t="n"/>
      <c r="J102" s="20" t="n"/>
    </row>
    <row r="103" ht="16.5" customFormat="1" customHeight="1" s="12">
      <c r="A103" s="17" t="n">
        <v>98</v>
      </c>
      <c r="B103" s="25" t="n"/>
      <c r="C103" s="141">
        <f>H103*I103</f>
        <v/>
      </c>
      <c r="D103" s="41" t="n"/>
      <c r="E103" s="41">
        <f>J103*I103</f>
        <v/>
      </c>
      <c r="F103" s="41" t="n"/>
      <c r="G103" s="42" t="n"/>
      <c r="H103" s="20" t="n"/>
      <c r="I103" s="20" t="n"/>
      <c r="J103" s="20" t="n"/>
    </row>
    <row r="104" ht="16.5" customFormat="1" customHeight="1" s="12">
      <c r="A104" s="17" t="n">
        <v>99</v>
      </c>
      <c r="B104" s="25" t="n"/>
      <c r="C104" s="141">
        <f>H104*I104</f>
        <v/>
      </c>
      <c r="D104" s="41" t="n"/>
      <c r="E104" s="41">
        <f>J104*I104</f>
        <v/>
      </c>
      <c r="F104" s="41" t="n"/>
      <c r="G104" s="42" t="n"/>
      <c r="H104" s="20" t="n"/>
      <c r="I104" s="20" t="n"/>
      <c r="J104" s="20" t="n"/>
    </row>
    <row r="105" ht="16.5" customFormat="1" customHeight="1" s="12">
      <c r="A105" s="17" t="n">
        <v>100</v>
      </c>
      <c r="B105" s="25" t="n"/>
      <c r="C105" s="141">
        <f>H105*I105</f>
        <v/>
      </c>
      <c r="D105" s="41" t="n"/>
      <c r="E105" s="41">
        <f>J105*I105</f>
        <v/>
      </c>
      <c r="F105" s="41" t="n"/>
      <c r="G105" s="42" t="n"/>
      <c r="H105" s="20" t="n"/>
      <c r="I105" s="20" t="n"/>
      <c r="J105" s="20" t="n"/>
    </row>
    <row r="106" ht="16.5" customFormat="1" customHeight="1" s="12">
      <c r="A106" s="17" t="n">
        <v>101</v>
      </c>
      <c r="B106" s="25" t="n"/>
      <c r="C106" s="141">
        <f>H106*I106</f>
        <v/>
      </c>
      <c r="D106" s="41" t="n"/>
      <c r="E106" s="41">
        <f>J106*I106</f>
        <v/>
      </c>
      <c r="F106" s="41" t="n"/>
      <c r="G106" s="42" t="n"/>
      <c r="H106" s="20" t="n"/>
      <c r="I106" s="20" t="n"/>
      <c r="J106" s="20" t="n"/>
    </row>
    <row r="107" ht="16.5" customFormat="1" customHeight="1" s="12">
      <c r="A107" s="17" t="n">
        <v>102</v>
      </c>
      <c r="B107" s="25" t="n"/>
      <c r="C107" s="141">
        <f>H107*I107</f>
        <v/>
      </c>
      <c r="D107" s="41" t="n"/>
      <c r="E107" s="41">
        <f>J107*I107</f>
        <v/>
      </c>
      <c r="F107" s="41" t="n"/>
      <c r="G107" s="42" t="n"/>
      <c r="H107" s="20" t="n"/>
      <c r="I107" s="20" t="n"/>
      <c r="J107" s="20" t="n"/>
    </row>
    <row r="108" ht="16.5" customFormat="1" customHeight="1" s="12">
      <c r="A108" s="17" t="n">
        <v>103</v>
      </c>
      <c r="B108" s="25" t="n"/>
      <c r="C108" s="141">
        <f>H108*I108</f>
        <v/>
      </c>
      <c r="D108" s="41" t="n"/>
      <c r="E108" s="41">
        <f>J108*I108</f>
        <v/>
      </c>
      <c r="F108" s="41" t="n"/>
      <c r="G108" s="42" t="n"/>
      <c r="H108" s="20" t="n"/>
      <c r="I108" s="20" t="n"/>
      <c r="J108" s="20" t="n"/>
    </row>
    <row r="109" ht="16.5" customFormat="1" customHeight="1" s="12">
      <c r="A109" s="17" t="n">
        <v>104</v>
      </c>
      <c r="B109" s="25" t="n"/>
      <c r="C109" s="141">
        <f>H109*I109</f>
        <v/>
      </c>
      <c r="D109" s="41" t="n"/>
      <c r="E109" s="41">
        <f>J109*I109</f>
        <v/>
      </c>
      <c r="F109" s="41" t="n"/>
      <c r="G109" s="42" t="n"/>
      <c r="H109" s="20" t="n"/>
      <c r="I109" s="20" t="n"/>
      <c r="J109" s="20" t="n"/>
    </row>
    <row r="110" ht="16.5" customFormat="1" customHeight="1" s="12">
      <c r="A110" s="17" t="n">
        <v>105</v>
      </c>
      <c r="B110" s="25" t="n"/>
      <c r="C110" s="141">
        <f>H110*I110</f>
        <v/>
      </c>
      <c r="D110" s="41" t="n"/>
      <c r="E110" s="41">
        <f>J110*I110</f>
        <v/>
      </c>
      <c r="F110" s="41" t="n"/>
      <c r="G110" s="42" t="n"/>
      <c r="H110" s="20" t="n"/>
      <c r="I110" s="20" t="n"/>
      <c r="J110" s="20" t="n"/>
    </row>
    <row r="111" ht="16.5" customFormat="1" customHeight="1" s="12">
      <c r="A111" s="17" t="n">
        <v>106</v>
      </c>
      <c r="B111" s="25" t="n"/>
      <c r="C111" s="141">
        <f>H111*I111</f>
        <v/>
      </c>
      <c r="D111" s="41" t="n"/>
      <c r="E111" s="41">
        <f>J111*I111</f>
        <v/>
      </c>
      <c r="F111" s="41" t="n"/>
      <c r="G111" s="42" t="n"/>
      <c r="H111" s="20" t="n"/>
      <c r="I111" s="20" t="n"/>
      <c r="J111" s="20" t="n"/>
    </row>
    <row r="112" ht="16.5" customFormat="1" customHeight="1" s="12">
      <c r="A112" s="17" t="n">
        <v>107</v>
      </c>
      <c r="B112" s="25" t="n"/>
      <c r="C112" s="141">
        <f>H112*I112</f>
        <v/>
      </c>
      <c r="D112" s="41" t="n"/>
      <c r="E112" s="41">
        <f>J112*I112</f>
        <v/>
      </c>
      <c r="F112" s="41" t="n"/>
      <c r="G112" s="42" t="n"/>
      <c r="H112" s="20" t="n"/>
      <c r="I112" s="20" t="n"/>
      <c r="J112" s="20" t="n"/>
    </row>
    <row r="113" ht="16.5" customFormat="1" customHeight="1" s="12">
      <c r="A113" s="17" t="n">
        <v>108</v>
      </c>
      <c r="B113" s="25" t="n"/>
      <c r="C113" s="141">
        <f>H113*I113</f>
        <v/>
      </c>
      <c r="D113" s="41" t="n"/>
      <c r="E113" s="41">
        <f>J113*I113</f>
        <v/>
      </c>
      <c r="F113" s="41" t="n"/>
      <c r="G113" s="42" t="n"/>
      <c r="H113" s="20" t="n"/>
      <c r="I113" s="20" t="n"/>
      <c r="J113" s="20" t="n"/>
    </row>
    <row r="114" ht="16.5" customFormat="1" customHeight="1" s="12">
      <c r="A114" s="17" t="n">
        <v>109</v>
      </c>
      <c r="B114" s="25" t="n"/>
      <c r="C114" s="141">
        <f>H114*I114</f>
        <v/>
      </c>
      <c r="D114" s="41" t="n"/>
      <c r="E114" s="41">
        <f>J114*I114</f>
        <v/>
      </c>
      <c r="F114" s="41" t="n"/>
      <c r="G114" s="42" t="n"/>
      <c r="H114" s="20" t="n"/>
      <c r="I114" s="20" t="n"/>
      <c r="J114" s="20" t="n"/>
    </row>
    <row r="115" ht="16.5" customFormat="1" customHeight="1" s="12">
      <c r="A115" s="17" t="n">
        <v>110</v>
      </c>
      <c r="B115" s="25" t="n"/>
      <c r="C115" s="141">
        <f>H115*I115</f>
        <v/>
      </c>
      <c r="D115" s="41" t="n"/>
      <c r="E115" s="41">
        <f>J115*I115</f>
        <v/>
      </c>
      <c r="F115" s="41" t="n"/>
      <c r="G115" s="42" t="n"/>
      <c r="H115" s="20" t="n"/>
      <c r="I115" s="20" t="n"/>
      <c r="J115" s="20" t="n"/>
    </row>
    <row r="116" ht="16.5" customFormat="1" customHeight="1" s="12">
      <c r="A116" s="17" t="n">
        <v>111</v>
      </c>
      <c r="B116" s="25" t="n"/>
      <c r="C116" s="141">
        <f>H116*I116</f>
        <v/>
      </c>
      <c r="D116" s="41" t="n"/>
      <c r="E116" s="41">
        <f>J116*I116</f>
        <v/>
      </c>
      <c r="F116" s="41" t="n"/>
      <c r="G116" s="42" t="n"/>
      <c r="H116" s="20" t="n"/>
      <c r="I116" s="20" t="n"/>
      <c r="J116" s="20" t="n"/>
    </row>
    <row r="117" ht="16.5" customFormat="1" customHeight="1" s="12">
      <c r="A117" s="17" t="n">
        <v>112</v>
      </c>
      <c r="B117" s="25" t="n"/>
      <c r="C117" s="141">
        <f>H117*I117</f>
        <v/>
      </c>
      <c r="D117" s="41" t="n"/>
      <c r="E117" s="41">
        <f>J117*I117</f>
        <v/>
      </c>
      <c r="F117" s="41" t="n"/>
      <c r="G117" s="42" t="n"/>
      <c r="H117" s="20" t="n"/>
      <c r="I117" s="20" t="n"/>
      <c r="J117" s="20" t="n"/>
    </row>
    <row r="118" ht="16.5" customFormat="1" customHeight="1" s="12">
      <c r="A118" s="17" t="n">
        <v>113</v>
      </c>
      <c r="B118" s="25" t="n"/>
      <c r="C118" s="141">
        <f>H118*I118</f>
        <v/>
      </c>
      <c r="D118" s="41" t="n"/>
      <c r="E118" s="41">
        <f>J118*I118</f>
        <v/>
      </c>
      <c r="F118" s="41" t="n"/>
      <c r="G118" s="42" t="n"/>
      <c r="H118" s="20" t="n"/>
      <c r="I118" s="20" t="n"/>
      <c r="J118" s="20" t="n"/>
    </row>
    <row r="119" ht="16.5" customFormat="1" customHeight="1" s="12">
      <c r="A119" s="17" t="n">
        <v>114</v>
      </c>
      <c r="B119" s="25" t="n"/>
      <c r="C119" s="141">
        <f>H119*I119</f>
        <v/>
      </c>
      <c r="D119" s="41" t="n"/>
      <c r="E119" s="41">
        <f>J119*I119</f>
        <v/>
      </c>
      <c r="F119" s="41" t="n"/>
      <c r="G119" s="42" t="n"/>
      <c r="H119" s="20" t="n"/>
      <c r="I119" s="20" t="n"/>
      <c r="J119" s="20" t="n"/>
    </row>
    <row r="120" ht="16.5" customFormat="1" customHeight="1" s="12">
      <c r="A120" s="17" t="n">
        <v>115</v>
      </c>
      <c r="B120" s="25" t="n"/>
      <c r="C120" s="141">
        <f>H120*I120</f>
        <v/>
      </c>
      <c r="D120" s="41" t="n"/>
      <c r="E120" s="41">
        <f>J120*I120</f>
        <v/>
      </c>
      <c r="F120" s="41" t="n"/>
      <c r="G120" s="42" t="n"/>
      <c r="H120" s="20" t="n"/>
      <c r="I120" s="20" t="n"/>
      <c r="J120" s="20" t="n"/>
    </row>
    <row r="121" ht="16.5" customFormat="1" customHeight="1" s="12">
      <c r="A121" s="17" t="n">
        <v>116</v>
      </c>
      <c r="B121" s="25" t="n"/>
      <c r="C121" s="141">
        <f>H121*I121</f>
        <v/>
      </c>
      <c r="D121" s="41" t="n"/>
      <c r="E121" s="41">
        <f>J121*I121</f>
        <v/>
      </c>
      <c r="F121" s="41" t="n"/>
      <c r="G121" s="42" t="n"/>
      <c r="H121" s="20" t="n"/>
      <c r="I121" s="20" t="n"/>
      <c r="J121" s="20" t="n"/>
    </row>
    <row r="122" ht="16.5" customFormat="1" customHeight="1" s="12">
      <c r="A122" s="17" t="n">
        <v>117</v>
      </c>
      <c r="B122" s="25" t="n"/>
      <c r="C122" s="141">
        <f>H122*I122</f>
        <v/>
      </c>
      <c r="D122" s="41" t="n"/>
      <c r="E122" s="41">
        <f>J122*I122</f>
        <v/>
      </c>
      <c r="F122" s="41" t="n"/>
      <c r="G122" s="42" t="n"/>
      <c r="H122" s="20" t="n"/>
      <c r="I122" s="20" t="n"/>
      <c r="J122" s="20" t="n"/>
    </row>
    <row r="123" ht="16.5" customFormat="1" customHeight="1" s="12">
      <c r="A123" s="17" t="n">
        <v>118</v>
      </c>
      <c r="B123" s="25" t="n"/>
      <c r="C123" s="141">
        <f>H123*I123</f>
        <v/>
      </c>
      <c r="D123" s="41" t="n"/>
      <c r="E123" s="41">
        <f>J123*I123</f>
        <v/>
      </c>
      <c r="F123" s="41" t="n"/>
      <c r="G123" s="42" t="n"/>
      <c r="H123" s="20" t="n"/>
      <c r="I123" s="20" t="n"/>
      <c r="J123" s="20" t="n"/>
    </row>
    <row r="124" ht="16.5" customFormat="1" customHeight="1" s="12">
      <c r="A124" s="17" t="n">
        <v>119</v>
      </c>
      <c r="B124" s="25" t="n"/>
      <c r="C124" s="141">
        <f>H124*I124</f>
        <v/>
      </c>
      <c r="D124" s="41" t="n"/>
      <c r="E124" s="41">
        <f>J124*I124</f>
        <v/>
      </c>
      <c r="F124" s="41" t="n"/>
      <c r="G124" s="42" t="n"/>
      <c r="H124" s="20" t="n"/>
      <c r="I124" s="20" t="n"/>
      <c r="J124" s="20" t="n"/>
    </row>
    <row r="125" ht="16.5" customFormat="1" customHeight="1" s="12">
      <c r="A125" s="17" t="n">
        <v>120</v>
      </c>
      <c r="B125" s="25" t="n"/>
      <c r="C125" s="141">
        <f>H125*I125</f>
        <v/>
      </c>
      <c r="D125" s="41" t="n"/>
      <c r="E125" s="41">
        <f>J125*I125</f>
        <v/>
      </c>
      <c r="F125" s="41" t="n"/>
      <c r="G125" s="42" t="n"/>
      <c r="H125" s="20" t="n"/>
      <c r="I125" s="20" t="n"/>
      <c r="J125" s="20" t="n"/>
    </row>
    <row r="126" ht="16.5" customFormat="1" customHeight="1" s="12">
      <c r="A126" s="17" t="n">
        <v>121</v>
      </c>
      <c r="B126" s="25" t="n"/>
      <c r="C126" s="141">
        <f>H126*I126</f>
        <v/>
      </c>
      <c r="D126" s="41" t="n"/>
      <c r="E126" s="41">
        <f>J126*I126</f>
        <v/>
      </c>
      <c r="F126" s="41" t="n"/>
      <c r="G126" s="42" t="n"/>
      <c r="H126" s="20" t="n"/>
      <c r="I126" s="20" t="n"/>
      <c r="J126" s="20" t="n"/>
    </row>
    <row r="127" ht="16.5" customFormat="1" customHeight="1" s="12">
      <c r="A127" s="17" t="n">
        <v>122</v>
      </c>
      <c r="B127" s="25" t="n"/>
      <c r="C127" s="141">
        <f>H127*I127</f>
        <v/>
      </c>
      <c r="D127" s="41" t="n"/>
      <c r="E127" s="41">
        <f>J127*I127</f>
        <v/>
      </c>
      <c r="F127" s="41" t="n"/>
      <c r="G127" s="42" t="n"/>
      <c r="H127" s="20" t="n"/>
      <c r="I127" s="20" t="n"/>
      <c r="J127" s="20" t="n"/>
    </row>
    <row r="128" ht="16.5" customFormat="1" customHeight="1" s="12">
      <c r="A128" s="17" t="n">
        <v>123</v>
      </c>
      <c r="B128" s="25" t="n"/>
      <c r="C128" s="141">
        <f>H128*I128</f>
        <v/>
      </c>
      <c r="D128" s="41" t="n"/>
      <c r="E128" s="41">
        <f>J128*I128</f>
        <v/>
      </c>
      <c r="F128" s="41" t="n"/>
      <c r="G128" s="42" t="n"/>
      <c r="H128" s="20" t="n"/>
      <c r="I128" s="20" t="n"/>
      <c r="J128" s="20" t="n"/>
    </row>
    <row r="129" ht="16.5" customFormat="1" customHeight="1" s="12">
      <c r="A129" s="17" t="n">
        <v>124</v>
      </c>
      <c r="B129" s="25" t="n"/>
      <c r="C129" s="141">
        <f>H129*I129</f>
        <v/>
      </c>
      <c r="D129" s="41" t="n"/>
      <c r="E129" s="41">
        <f>J129*I129</f>
        <v/>
      </c>
      <c r="F129" s="41" t="n"/>
      <c r="G129" s="42" t="n"/>
      <c r="H129" s="20" t="n"/>
      <c r="I129" s="20" t="n"/>
      <c r="J129" s="20" t="n"/>
    </row>
    <row r="130" ht="16.5" customFormat="1" customHeight="1" s="12">
      <c r="A130" s="17" t="n">
        <v>125</v>
      </c>
      <c r="B130" s="25" t="n"/>
      <c r="C130" s="141">
        <f>H130*I130</f>
        <v/>
      </c>
      <c r="D130" s="41" t="n"/>
      <c r="E130" s="41">
        <f>J130*I130</f>
        <v/>
      </c>
      <c r="F130" s="41" t="n"/>
      <c r="G130" s="42" t="n"/>
      <c r="H130" s="20" t="n"/>
      <c r="I130" s="20" t="n"/>
      <c r="J130" s="20" t="n"/>
    </row>
    <row r="131" ht="16.5" customFormat="1" customHeight="1" s="12">
      <c r="A131" s="17" t="n">
        <v>126</v>
      </c>
      <c r="B131" s="25" t="n"/>
      <c r="C131" s="141">
        <f>H131*I131</f>
        <v/>
      </c>
      <c r="D131" s="41" t="n"/>
      <c r="E131" s="41">
        <f>J131*I131</f>
        <v/>
      </c>
      <c r="F131" s="41" t="n"/>
      <c r="G131" s="42" t="n"/>
      <c r="H131" s="20" t="n"/>
      <c r="I131" s="20" t="n"/>
      <c r="J131" s="20" t="n"/>
    </row>
    <row r="132" ht="16.5" customFormat="1" customHeight="1" s="12">
      <c r="A132" s="17" t="n">
        <v>127</v>
      </c>
      <c r="B132" s="25" t="n"/>
      <c r="C132" s="141">
        <f>H132*I132</f>
        <v/>
      </c>
      <c r="D132" s="41" t="n"/>
      <c r="E132" s="41">
        <f>J132*I132</f>
        <v/>
      </c>
      <c r="F132" s="41" t="n"/>
      <c r="G132" s="42" t="n"/>
      <c r="H132" s="20" t="n"/>
      <c r="I132" s="20" t="n"/>
      <c r="J132" s="20" t="n"/>
    </row>
    <row r="133" ht="16.5" customFormat="1" customHeight="1" s="12">
      <c r="A133" s="17" t="n">
        <v>128</v>
      </c>
      <c r="B133" s="25" t="n"/>
      <c r="C133" s="141">
        <f>H133*I133</f>
        <v/>
      </c>
      <c r="D133" s="41" t="n"/>
      <c r="E133" s="41">
        <f>J133*I133</f>
        <v/>
      </c>
      <c r="F133" s="41" t="n"/>
      <c r="G133" s="42" t="n"/>
      <c r="H133" s="20" t="n"/>
      <c r="I133" s="20" t="n"/>
      <c r="J133" s="20" t="n"/>
    </row>
    <row r="134" ht="16.5" customFormat="1" customHeight="1" s="12">
      <c r="A134" s="17" t="n">
        <v>129</v>
      </c>
      <c r="B134" s="25" t="n"/>
      <c r="C134" s="141">
        <f>H134*I134</f>
        <v/>
      </c>
      <c r="D134" s="41" t="n"/>
      <c r="E134" s="41">
        <f>J134*I134</f>
        <v/>
      </c>
      <c r="F134" s="41" t="n"/>
      <c r="G134" s="42" t="n"/>
      <c r="H134" s="20" t="n"/>
      <c r="I134" s="20" t="n"/>
      <c r="J134" s="20" t="n"/>
    </row>
    <row r="135" ht="16.5" customFormat="1" customHeight="1" s="12">
      <c r="A135" s="17" t="n">
        <v>130</v>
      </c>
      <c r="B135" s="25" t="n"/>
      <c r="C135" s="141">
        <f>H135*I135</f>
        <v/>
      </c>
      <c r="D135" s="41" t="n"/>
      <c r="E135" s="41">
        <f>J135*I135</f>
        <v/>
      </c>
      <c r="F135" s="41" t="n"/>
      <c r="G135" s="42" t="n"/>
      <c r="H135" s="20" t="n"/>
      <c r="I135" s="20" t="n"/>
      <c r="J135" s="20" t="n"/>
    </row>
    <row r="136" ht="16.5" customFormat="1" customHeight="1" s="12">
      <c r="A136" s="17" t="n">
        <v>131</v>
      </c>
      <c r="B136" s="25" t="n"/>
      <c r="C136" s="141">
        <f>H136*I136</f>
        <v/>
      </c>
      <c r="D136" s="41" t="n"/>
      <c r="E136" s="41">
        <f>J136*I136</f>
        <v/>
      </c>
      <c r="F136" s="41" t="n"/>
      <c r="G136" s="42" t="n"/>
      <c r="H136" s="20" t="n"/>
      <c r="I136" s="20" t="n"/>
      <c r="J136" s="20" t="n"/>
    </row>
    <row r="137" ht="16.5" customFormat="1" customHeight="1" s="12">
      <c r="A137" s="17" t="n">
        <v>132</v>
      </c>
      <c r="B137" s="25" t="n"/>
      <c r="C137" s="141">
        <f>H137*I137</f>
        <v/>
      </c>
      <c r="D137" s="41" t="n"/>
      <c r="E137" s="41">
        <f>J137*I137</f>
        <v/>
      </c>
      <c r="F137" s="41" t="n"/>
      <c r="G137" s="42" t="n"/>
      <c r="H137" s="20" t="n"/>
      <c r="I137" s="20" t="n"/>
      <c r="J137" s="20" t="n"/>
    </row>
    <row r="138" ht="16.5" customFormat="1" customHeight="1" s="12">
      <c r="A138" s="17" t="n">
        <v>133</v>
      </c>
      <c r="B138" s="25" t="n"/>
      <c r="C138" s="141">
        <f>H138*I138</f>
        <v/>
      </c>
      <c r="D138" s="41" t="n"/>
      <c r="E138" s="41">
        <f>J138*I138</f>
        <v/>
      </c>
      <c r="F138" s="41" t="n"/>
      <c r="G138" s="42" t="n"/>
      <c r="H138" s="20" t="n"/>
      <c r="I138" s="20" t="n"/>
      <c r="J138" s="20" t="n"/>
    </row>
    <row r="139" ht="16.5" customFormat="1" customHeight="1" s="12">
      <c r="A139" s="17" t="n">
        <v>134</v>
      </c>
      <c r="B139" s="25" t="n"/>
      <c r="C139" s="141">
        <f>H139*I139</f>
        <v/>
      </c>
      <c r="D139" s="41" t="n"/>
      <c r="E139" s="41">
        <f>J139*I139</f>
        <v/>
      </c>
      <c r="F139" s="41" t="n"/>
      <c r="G139" s="42" t="n"/>
      <c r="H139" s="20" t="n"/>
      <c r="I139" s="20" t="n"/>
      <c r="J139" s="20" t="n"/>
    </row>
    <row r="140" ht="16.5" customFormat="1" customHeight="1" s="12">
      <c r="A140" s="17" t="n">
        <v>135</v>
      </c>
      <c r="B140" s="25" t="n"/>
      <c r="C140" s="141">
        <f>H140*I140</f>
        <v/>
      </c>
      <c r="D140" s="41" t="n"/>
      <c r="E140" s="41">
        <f>J140*I140</f>
        <v/>
      </c>
      <c r="F140" s="41" t="n"/>
      <c r="G140" s="42" t="n"/>
      <c r="H140" s="20" t="n"/>
      <c r="I140" s="20" t="n"/>
      <c r="J140" s="20" t="n"/>
    </row>
    <row r="141" ht="16.5" customFormat="1" customHeight="1" s="12">
      <c r="A141" s="17" t="n">
        <v>136</v>
      </c>
      <c r="B141" s="25" t="n"/>
      <c r="C141" s="141">
        <f>H141*I141</f>
        <v/>
      </c>
      <c r="D141" s="41" t="n"/>
      <c r="E141" s="41">
        <f>J141*I141</f>
        <v/>
      </c>
      <c r="F141" s="41" t="n"/>
      <c r="G141" s="42" t="n"/>
      <c r="H141" s="20" t="n"/>
      <c r="I141" s="20" t="n"/>
      <c r="J141" s="20" t="n"/>
    </row>
    <row r="142" ht="16.5" customFormat="1" customHeight="1" s="12">
      <c r="A142" s="17" t="n">
        <v>137</v>
      </c>
      <c r="B142" s="25" t="n"/>
      <c r="C142" s="141">
        <f>H142*I142</f>
        <v/>
      </c>
      <c r="D142" s="41" t="n"/>
      <c r="E142" s="41">
        <f>J142*I142</f>
        <v/>
      </c>
      <c r="F142" s="41" t="n"/>
      <c r="G142" s="42" t="n"/>
      <c r="H142" s="20" t="n"/>
      <c r="I142" s="20" t="n"/>
      <c r="J142" s="20" t="n"/>
    </row>
    <row r="143" ht="16.5" customFormat="1" customHeight="1" s="12">
      <c r="A143" s="17" t="n">
        <v>138</v>
      </c>
      <c r="B143" s="25" t="n"/>
      <c r="C143" s="141">
        <f>H143*I143</f>
        <v/>
      </c>
      <c r="D143" s="41" t="n"/>
      <c r="E143" s="41">
        <f>J143*I143</f>
        <v/>
      </c>
      <c r="F143" s="41" t="n"/>
      <c r="G143" s="42" t="n"/>
      <c r="H143" s="20" t="n"/>
      <c r="I143" s="20" t="n"/>
      <c r="J143" s="20" t="n"/>
    </row>
    <row r="144" ht="16.5" customFormat="1" customHeight="1" s="12">
      <c r="A144" s="17" t="n">
        <v>139</v>
      </c>
      <c r="B144" s="25" t="n"/>
      <c r="C144" s="141">
        <f>H144*I144</f>
        <v/>
      </c>
      <c r="D144" s="41" t="n"/>
      <c r="E144" s="41">
        <f>J144*I144</f>
        <v/>
      </c>
      <c r="F144" s="41" t="n"/>
      <c r="G144" s="42" t="n"/>
      <c r="H144" s="20" t="n"/>
      <c r="I144" s="20" t="n"/>
      <c r="J144" s="20" t="n"/>
    </row>
    <row r="145" ht="16.5" customFormat="1" customHeight="1" s="12">
      <c r="A145" s="17" t="n">
        <v>140</v>
      </c>
      <c r="B145" s="25" t="n"/>
      <c r="C145" s="141">
        <f>H145*I145</f>
        <v/>
      </c>
      <c r="D145" s="41" t="n"/>
      <c r="E145" s="41">
        <f>J145*I145</f>
        <v/>
      </c>
      <c r="F145" s="41" t="n"/>
      <c r="G145" s="42" t="n"/>
      <c r="H145" s="20" t="n"/>
      <c r="I145" s="20" t="n"/>
      <c r="J145" s="20" t="n"/>
    </row>
    <row r="146" ht="16.5" customFormat="1" customHeight="1" s="12">
      <c r="A146" s="17" t="n">
        <v>141</v>
      </c>
      <c r="B146" s="25" t="n"/>
      <c r="C146" s="141">
        <f>H146*I146</f>
        <v/>
      </c>
      <c r="D146" s="41" t="n"/>
      <c r="E146" s="41">
        <f>J146*I146</f>
        <v/>
      </c>
      <c r="F146" s="41" t="n"/>
      <c r="G146" s="42" t="n"/>
      <c r="H146" s="20" t="n"/>
      <c r="I146" s="20" t="n"/>
      <c r="J146" s="20" t="n"/>
    </row>
    <row r="147" ht="16.5" customFormat="1" customHeight="1" s="12">
      <c r="A147" s="17" t="n">
        <v>142</v>
      </c>
      <c r="B147" s="25" t="n"/>
      <c r="C147" s="141">
        <f>H147*I147</f>
        <v/>
      </c>
      <c r="D147" s="41" t="n"/>
      <c r="E147" s="41">
        <f>J147*I147</f>
        <v/>
      </c>
      <c r="F147" s="41" t="n"/>
      <c r="G147" s="42" t="n"/>
      <c r="H147" s="20" t="n"/>
      <c r="I147" s="20" t="n"/>
      <c r="J147" s="20" t="n"/>
    </row>
    <row r="148" ht="16.5" customFormat="1" customHeight="1" s="12">
      <c r="A148" s="17" t="n">
        <v>143</v>
      </c>
      <c r="B148" s="25" t="n"/>
      <c r="C148" s="141">
        <f>H148*I148</f>
        <v/>
      </c>
      <c r="D148" s="41" t="n"/>
      <c r="E148" s="41">
        <f>J148*I148</f>
        <v/>
      </c>
      <c r="F148" s="41" t="n"/>
      <c r="G148" s="42" t="n"/>
      <c r="H148" s="20" t="n"/>
      <c r="I148" s="20" t="n"/>
      <c r="J148" s="20" t="n"/>
    </row>
    <row r="149" ht="16.5" customFormat="1" customHeight="1" s="12">
      <c r="A149" s="17" t="n">
        <v>144</v>
      </c>
      <c r="B149" s="25" t="n"/>
      <c r="C149" s="141">
        <f>H149*I149</f>
        <v/>
      </c>
      <c r="D149" s="41" t="n"/>
      <c r="E149" s="41">
        <f>J149*I149</f>
        <v/>
      </c>
      <c r="F149" s="41" t="n"/>
      <c r="G149" s="42" t="n"/>
      <c r="H149" s="20" t="n"/>
      <c r="I149" s="20" t="n"/>
      <c r="J149" s="20" t="n"/>
    </row>
    <row r="150" ht="16.5" customFormat="1" customHeight="1" s="12">
      <c r="A150" s="17" t="n">
        <v>145</v>
      </c>
      <c r="B150" s="25" t="n"/>
      <c r="C150" s="141">
        <f>H150*I150</f>
        <v/>
      </c>
      <c r="D150" s="41" t="n"/>
      <c r="E150" s="41">
        <f>J150*I150</f>
        <v/>
      </c>
      <c r="F150" s="41" t="n"/>
      <c r="G150" s="42" t="n"/>
      <c r="H150" s="20" t="n"/>
      <c r="I150" s="20" t="n"/>
      <c r="J150" s="20" t="n"/>
    </row>
    <row r="151" ht="16.5" customFormat="1" customHeight="1" s="12">
      <c r="A151" s="17" t="n">
        <v>146</v>
      </c>
      <c r="B151" s="25" t="n"/>
      <c r="C151" s="141">
        <f>H151*I151</f>
        <v/>
      </c>
      <c r="D151" s="41" t="n"/>
      <c r="E151" s="41">
        <f>J151*I151</f>
        <v/>
      </c>
      <c r="F151" s="41" t="n"/>
      <c r="G151" s="42" t="n"/>
      <c r="H151" s="20" t="n"/>
      <c r="I151" s="20" t="n"/>
      <c r="J151" s="20" t="n"/>
    </row>
    <row r="152" ht="16.5" customFormat="1" customHeight="1" s="12">
      <c r="A152" s="17" t="n">
        <v>147</v>
      </c>
      <c r="B152" s="25" t="n"/>
      <c r="C152" s="141">
        <f>H152*I152</f>
        <v/>
      </c>
      <c r="D152" s="41" t="n"/>
      <c r="E152" s="41">
        <f>J152*I152</f>
        <v/>
      </c>
      <c r="F152" s="41" t="n"/>
      <c r="G152" s="42" t="n"/>
      <c r="H152" s="20" t="n"/>
      <c r="I152" s="20" t="n"/>
      <c r="J152" s="20" t="n"/>
    </row>
    <row r="153" ht="16.5" customFormat="1" customHeight="1" s="12">
      <c r="A153" s="17" t="n">
        <v>148</v>
      </c>
      <c r="B153" s="25" t="n"/>
      <c r="C153" s="141">
        <f>H153*I153</f>
        <v/>
      </c>
      <c r="D153" s="41" t="n"/>
      <c r="E153" s="41">
        <f>J153*I153</f>
        <v/>
      </c>
      <c r="F153" s="41" t="n"/>
      <c r="G153" s="42" t="n"/>
      <c r="H153" s="20" t="n"/>
      <c r="I153" s="20" t="n"/>
      <c r="J153" s="20" t="n"/>
    </row>
    <row r="154" ht="16.5" customFormat="1" customHeight="1" s="12">
      <c r="A154" s="17" t="n">
        <v>149</v>
      </c>
      <c r="B154" s="25" t="n"/>
      <c r="C154" s="141">
        <f>H154*I154</f>
        <v/>
      </c>
      <c r="D154" s="41" t="n"/>
      <c r="E154" s="41">
        <f>J154*I154</f>
        <v/>
      </c>
      <c r="F154" s="41" t="n"/>
      <c r="G154" s="42" t="n"/>
      <c r="H154" s="20" t="n"/>
      <c r="I154" s="20" t="n"/>
      <c r="J154" s="20" t="n"/>
    </row>
    <row r="155" ht="16.5" customFormat="1" customHeight="1" s="12">
      <c r="A155" s="17" t="n">
        <v>150</v>
      </c>
      <c r="B155" s="25" t="n"/>
      <c r="C155" s="141">
        <f>H155*I155</f>
        <v/>
      </c>
      <c r="D155" s="41" t="n"/>
      <c r="E155" s="41">
        <f>J155*I155</f>
        <v/>
      </c>
      <c r="F155" s="41" t="n"/>
      <c r="G155" s="42" t="n"/>
      <c r="H155" s="20" t="n"/>
      <c r="I155" s="20" t="n"/>
      <c r="J155" s="20" t="n"/>
    </row>
    <row r="156" ht="16.5" customFormat="1" customHeight="1" s="12">
      <c r="A156" s="17" t="n">
        <v>151</v>
      </c>
      <c r="B156" s="25" t="n"/>
      <c r="C156" s="141">
        <f>H156*I156</f>
        <v/>
      </c>
      <c r="D156" s="41" t="n"/>
      <c r="E156" s="41">
        <f>J156*I156</f>
        <v/>
      </c>
      <c r="F156" s="41" t="n"/>
      <c r="G156" s="42" t="n"/>
      <c r="H156" s="20" t="n"/>
      <c r="I156" s="20" t="n"/>
      <c r="J156" s="20" t="n"/>
    </row>
    <row r="157" ht="16.5" customFormat="1" customHeight="1" s="12">
      <c r="A157" s="17" t="n">
        <v>152</v>
      </c>
      <c r="B157" s="25" t="n"/>
      <c r="C157" s="141">
        <f>H157*I157</f>
        <v/>
      </c>
      <c r="D157" s="41" t="n"/>
      <c r="E157" s="41">
        <f>J157*I157</f>
        <v/>
      </c>
      <c r="F157" s="41" t="n"/>
      <c r="G157" s="42" t="n"/>
      <c r="H157" s="20" t="n"/>
      <c r="I157" s="20" t="n"/>
      <c r="J157" s="20" t="n"/>
    </row>
    <row r="158" ht="16.5" customFormat="1" customHeight="1" s="12">
      <c r="A158" s="17" t="n">
        <v>153</v>
      </c>
      <c r="B158" s="25" t="n"/>
      <c r="C158" s="141">
        <f>H158*I158</f>
        <v/>
      </c>
      <c r="D158" s="41" t="n"/>
      <c r="E158" s="41">
        <f>J158*I158</f>
        <v/>
      </c>
      <c r="F158" s="41" t="n"/>
      <c r="G158" s="42" t="n"/>
      <c r="H158" s="20" t="n"/>
      <c r="I158" s="20" t="n"/>
      <c r="J158" s="20" t="n"/>
    </row>
    <row r="159" ht="16.5" customFormat="1" customHeight="1" s="12">
      <c r="A159" s="17" t="n">
        <v>154</v>
      </c>
      <c r="B159" s="25" t="n"/>
      <c r="C159" s="141">
        <f>H159*I159</f>
        <v/>
      </c>
      <c r="D159" s="41" t="n"/>
      <c r="E159" s="41">
        <f>J159*I159</f>
        <v/>
      </c>
      <c r="F159" s="41" t="n"/>
      <c r="G159" s="42" t="n"/>
      <c r="H159" s="20" t="n"/>
      <c r="I159" s="20" t="n"/>
      <c r="J159" s="20" t="n"/>
    </row>
    <row r="160" ht="16.5" customFormat="1" customHeight="1" s="12">
      <c r="A160" s="17" t="n">
        <v>155</v>
      </c>
      <c r="B160" s="25" t="n"/>
      <c r="C160" s="141">
        <f>H160*I160</f>
        <v/>
      </c>
      <c r="D160" s="41" t="n"/>
      <c r="E160" s="41">
        <f>J160*I160</f>
        <v/>
      </c>
      <c r="F160" s="41" t="n"/>
      <c r="G160" s="42" t="n"/>
      <c r="H160" s="20" t="n"/>
      <c r="I160" s="20" t="n"/>
      <c r="J160" s="20" t="n"/>
    </row>
    <row r="161" ht="16.5" customFormat="1" customHeight="1" s="12">
      <c r="A161" s="17" t="n">
        <v>156</v>
      </c>
      <c r="B161" s="25" t="n"/>
      <c r="C161" s="141">
        <f>H161*I161</f>
        <v/>
      </c>
      <c r="D161" s="41" t="n"/>
      <c r="E161" s="41">
        <f>J161*I161</f>
        <v/>
      </c>
      <c r="F161" s="41" t="n"/>
      <c r="G161" s="42" t="n"/>
      <c r="H161" s="20" t="n"/>
      <c r="I161" s="20" t="n"/>
      <c r="J161" s="20" t="n"/>
    </row>
    <row r="162" ht="16.5" customFormat="1" customHeight="1" s="12">
      <c r="A162" s="17" t="n">
        <v>157</v>
      </c>
      <c r="B162" s="25" t="n"/>
      <c r="C162" s="141">
        <f>H162*I162</f>
        <v/>
      </c>
      <c r="D162" s="41" t="n"/>
      <c r="E162" s="41">
        <f>J162*I162</f>
        <v/>
      </c>
      <c r="F162" s="41" t="n"/>
      <c r="G162" s="42" t="n"/>
      <c r="H162" s="20" t="n"/>
      <c r="I162" s="20" t="n"/>
      <c r="J162" s="20" t="n"/>
    </row>
    <row r="163" ht="16.5" customFormat="1" customHeight="1" s="12">
      <c r="A163" s="17" t="n">
        <v>158</v>
      </c>
      <c r="B163" s="25" t="n"/>
      <c r="C163" s="141">
        <f>H163*I163</f>
        <v/>
      </c>
      <c r="D163" s="41" t="n"/>
      <c r="E163" s="41">
        <f>J163*I163</f>
        <v/>
      </c>
      <c r="F163" s="41" t="n"/>
      <c r="G163" s="42" t="n"/>
      <c r="H163" s="20" t="n"/>
      <c r="I163" s="20" t="n"/>
      <c r="J163" s="20" t="n"/>
    </row>
    <row r="164" ht="16.5" customFormat="1" customHeight="1" s="12">
      <c r="A164" s="17" t="n">
        <v>159</v>
      </c>
      <c r="B164" s="25" t="n"/>
      <c r="C164" s="141">
        <f>H164*I164</f>
        <v/>
      </c>
      <c r="D164" s="41" t="n"/>
      <c r="E164" s="41">
        <f>J164*I164</f>
        <v/>
      </c>
      <c r="F164" s="41" t="n"/>
      <c r="G164" s="42" t="n"/>
      <c r="H164" s="20" t="n"/>
      <c r="I164" s="20" t="n"/>
      <c r="J164" s="20" t="n"/>
    </row>
    <row r="165" ht="16.5" customFormat="1" customHeight="1" s="12">
      <c r="A165" s="17" t="n">
        <v>160</v>
      </c>
      <c r="B165" s="25" t="n"/>
      <c r="C165" s="141">
        <f>H165*I165</f>
        <v/>
      </c>
      <c r="D165" s="41" t="n"/>
      <c r="E165" s="41">
        <f>J165*I165</f>
        <v/>
      </c>
      <c r="F165" s="41" t="n"/>
      <c r="G165" s="42" t="n"/>
      <c r="H165" s="20" t="n"/>
      <c r="I165" s="20" t="n"/>
      <c r="J165" s="20" t="n"/>
    </row>
    <row r="166" ht="16.5" customFormat="1" customHeight="1" s="12">
      <c r="A166" s="17" t="n">
        <v>161</v>
      </c>
      <c r="B166" s="25" t="n"/>
      <c r="C166" s="141">
        <f>H166*I166</f>
        <v/>
      </c>
      <c r="D166" s="41" t="n"/>
      <c r="E166" s="41">
        <f>J166*I166</f>
        <v/>
      </c>
      <c r="F166" s="41" t="n"/>
      <c r="G166" s="42" t="n"/>
      <c r="H166" s="20" t="n"/>
      <c r="I166" s="20" t="n"/>
      <c r="J166" s="20" t="n"/>
    </row>
    <row r="167" ht="16.5" customFormat="1" customHeight="1" s="12">
      <c r="A167" s="17" t="n">
        <v>162</v>
      </c>
      <c r="B167" s="25" t="n"/>
      <c r="C167" s="141">
        <f>H167*I167</f>
        <v/>
      </c>
      <c r="D167" s="41" t="n"/>
      <c r="E167" s="41">
        <f>J167*I167</f>
        <v/>
      </c>
      <c r="F167" s="41" t="n"/>
      <c r="G167" s="42" t="n"/>
      <c r="H167" s="20" t="n"/>
      <c r="I167" s="20" t="n"/>
      <c r="J167" s="20" t="n"/>
    </row>
    <row r="168" ht="16.5" customFormat="1" customHeight="1" s="12">
      <c r="A168" s="17" t="n">
        <v>163</v>
      </c>
      <c r="B168" s="25" t="n"/>
      <c r="C168" s="141">
        <f>H168*I168</f>
        <v/>
      </c>
      <c r="D168" s="41" t="n"/>
      <c r="E168" s="41">
        <f>J168*I168</f>
        <v/>
      </c>
      <c r="F168" s="41" t="n"/>
      <c r="G168" s="42" t="n"/>
      <c r="H168" s="20" t="n"/>
      <c r="I168" s="20" t="n"/>
      <c r="J168" s="20" t="n"/>
    </row>
    <row r="169" ht="16.5" customFormat="1" customHeight="1" s="12">
      <c r="A169" s="17" t="n">
        <v>164</v>
      </c>
      <c r="B169" s="25" t="n"/>
      <c r="C169" s="141">
        <f>H169*I169</f>
        <v/>
      </c>
      <c r="D169" s="41" t="n"/>
      <c r="E169" s="41">
        <f>J169*I169</f>
        <v/>
      </c>
      <c r="F169" s="41" t="n"/>
      <c r="G169" s="42" t="n"/>
      <c r="H169" s="20" t="n"/>
      <c r="I169" s="20" t="n"/>
      <c r="J169" s="20" t="n"/>
    </row>
    <row r="170" ht="16.5" customFormat="1" customHeight="1" s="12">
      <c r="A170" s="17" t="n">
        <v>165</v>
      </c>
      <c r="B170" s="25" t="n"/>
      <c r="C170" s="141">
        <f>H170*I170</f>
        <v/>
      </c>
      <c r="D170" s="41" t="n"/>
      <c r="E170" s="41">
        <f>J170*I170</f>
        <v/>
      </c>
      <c r="F170" s="41" t="n"/>
      <c r="G170" s="42" t="n"/>
      <c r="H170" s="20" t="n"/>
      <c r="I170" s="20" t="n"/>
      <c r="J170" s="20" t="n"/>
    </row>
    <row r="171" ht="16.5" customFormat="1" customHeight="1" s="12">
      <c r="A171" s="17" t="n">
        <v>166</v>
      </c>
      <c r="B171" s="25" t="n"/>
      <c r="C171" s="141">
        <f>H171*I171</f>
        <v/>
      </c>
      <c r="D171" s="41" t="n"/>
      <c r="E171" s="41">
        <f>J171*I171</f>
        <v/>
      </c>
      <c r="F171" s="41" t="n"/>
      <c r="G171" s="42" t="n"/>
      <c r="H171" s="20" t="n"/>
      <c r="I171" s="20" t="n"/>
      <c r="J171" s="20" t="n"/>
    </row>
    <row r="172" ht="16.5" customFormat="1" customHeight="1" s="12">
      <c r="A172" s="17" t="n">
        <v>167</v>
      </c>
      <c r="B172" s="25" t="n"/>
      <c r="C172" s="141">
        <f>H172*I172</f>
        <v/>
      </c>
      <c r="D172" s="41" t="n"/>
      <c r="E172" s="41">
        <f>J172*I172</f>
        <v/>
      </c>
      <c r="F172" s="41" t="n"/>
      <c r="G172" s="42" t="n"/>
      <c r="H172" s="20" t="n"/>
      <c r="I172" s="20" t="n"/>
      <c r="J172" s="20" t="n"/>
    </row>
    <row r="173" ht="16.5" customFormat="1" customHeight="1" s="12">
      <c r="A173" s="17" t="n">
        <v>168</v>
      </c>
      <c r="B173" s="25" t="n"/>
      <c r="C173" s="141">
        <f>H173*I173</f>
        <v/>
      </c>
      <c r="D173" s="41" t="n"/>
      <c r="E173" s="41">
        <f>J173*I173</f>
        <v/>
      </c>
      <c r="F173" s="41" t="n"/>
      <c r="G173" s="42" t="n"/>
      <c r="H173" s="20" t="n"/>
      <c r="I173" s="20" t="n"/>
      <c r="J173" s="20" t="n"/>
    </row>
    <row r="174" ht="16.5" customFormat="1" customHeight="1" s="12">
      <c r="A174" s="17" t="n">
        <v>169</v>
      </c>
      <c r="B174" s="25" t="n"/>
      <c r="C174" s="141">
        <f>H174*I174</f>
        <v/>
      </c>
      <c r="D174" s="41" t="n"/>
      <c r="E174" s="41">
        <f>J174*I174</f>
        <v/>
      </c>
      <c r="F174" s="41" t="n"/>
      <c r="G174" s="42" t="n"/>
      <c r="H174" s="20" t="n"/>
      <c r="I174" s="20" t="n"/>
      <c r="J174" s="20" t="n"/>
    </row>
    <row r="175" ht="16.5" customFormat="1" customHeight="1" s="12">
      <c r="A175" s="17" t="n">
        <v>170</v>
      </c>
      <c r="B175" s="25" t="n"/>
      <c r="C175" s="141">
        <f>H175*I175</f>
        <v/>
      </c>
      <c r="D175" s="41" t="n"/>
      <c r="E175" s="41">
        <f>J175*I175</f>
        <v/>
      </c>
      <c r="F175" s="41" t="n"/>
      <c r="G175" s="42" t="n"/>
      <c r="H175" s="20" t="n"/>
      <c r="I175" s="20" t="n"/>
      <c r="J175" s="20" t="n"/>
    </row>
    <row r="176" ht="16.5" customFormat="1" customHeight="1" s="12">
      <c r="A176" s="17" t="n">
        <v>171</v>
      </c>
      <c r="B176" s="25" t="n"/>
      <c r="C176" s="141">
        <f>H176*I176</f>
        <v/>
      </c>
      <c r="D176" s="41" t="n"/>
      <c r="E176" s="41">
        <f>J176*I176</f>
        <v/>
      </c>
      <c r="F176" s="41" t="n"/>
      <c r="G176" s="42" t="n"/>
      <c r="H176" s="20" t="n"/>
      <c r="I176" s="20" t="n"/>
      <c r="J176" s="20" t="n"/>
    </row>
    <row r="177" ht="16.5" customFormat="1" customHeight="1" s="12">
      <c r="A177" s="17" t="n">
        <v>172</v>
      </c>
      <c r="B177" s="25" t="n"/>
      <c r="C177" s="141">
        <f>H177*I177</f>
        <v/>
      </c>
      <c r="D177" s="41" t="n"/>
      <c r="E177" s="41">
        <f>J177*I177</f>
        <v/>
      </c>
      <c r="F177" s="41" t="n"/>
      <c r="G177" s="42" t="n"/>
      <c r="H177" s="20" t="n"/>
      <c r="I177" s="20" t="n"/>
      <c r="J177" s="20" t="n"/>
    </row>
    <row r="178" ht="16.5" customFormat="1" customHeight="1" s="12">
      <c r="A178" s="17" t="n">
        <v>173</v>
      </c>
      <c r="B178" s="25" t="n"/>
      <c r="C178" s="141">
        <f>H178*I178</f>
        <v/>
      </c>
      <c r="D178" s="41" t="n"/>
      <c r="E178" s="41">
        <f>J178*I178</f>
        <v/>
      </c>
      <c r="F178" s="41" t="n"/>
      <c r="G178" s="42" t="n"/>
      <c r="H178" s="20" t="n"/>
      <c r="I178" s="20" t="n"/>
      <c r="J178" s="20" t="n"/>
    </row>
    <row r="179" ht="16.5" customFormat="1" customHeight="1" s="12">
      <c r="A179" s="17" t="n">
        <v>174</v>
      </c>
      <c r="B179" s="25" t="n"/>
      <c r="C179" s="141">
        <f>H179*I179</f>
        <v/>
      </c>
      <c r="D179" s="41" t="n"/>
      <c r="E179" s="41">
        <f>J179*I179</f>
        <v/>
      </c>
      <c r="F179" s="41" t="n"/>
      <c r="G179" s="42" t="n"/>
      <c r="H179" s="20" t="n"/>
      <c r="I179" s="20" t="n"/>
      <c r="J179" s="20" t="n"/>
    </row>
    <row r="180" ht="16.5" customFormat="1" customHeight="1" s="12">
      <c r="A180" s="17" t="n">
        <v>175</v>
      </c>
      <c r="B180" s="25" t="n"/>
      <c r="C180" s="141">
        <f>H180*I180</f>
        <v/>
      </c>
      <c r="D180" s="41" t="n"/>
      <c r="E180" s="41">
        <f>J180*I180</f>
        <v/>
      </c>
      <c r="F180" s="41" t="n"/>
      <c r="G180" s="42" t="n"/>
      <c r="H180" s="20" t="n"/>
      <c r="I180" s="20" t="n"/>
      <c r="J180" s="20" t="n"/>
    </row>
    <row r="181" ht="16.5" customFormat="1" customHeight="1" s="12">
      <c r="A181" s="17" t="n">
        <v>176</v>
      </c>
      <c r="B181" s="25" t="n"/>
      <c r="C181" s="141">
        <f>H181*I181</f>
        <v/>
      </c>
      <c r="D181" s="41" t="n"/>
      <c r="E181" s="41">
        <f>J181*I181</f>
        <v/>
      </c>
      <c r="F181" s="41" t="n"/>
      <c r="G181" s="42" t="n"/>
      <c r="H181" s="20" t="n"/>
      <c r="I181" s="20" t="n"/>
      <c r="J181" s="20" t="n"/>
    </row>
    <row r="182" ht="16.5" customFormat="1" customHeight="1" s="12">
      <c r="A182" s="17" t="n">
        <v>177</v>
      </c>
      <c r="B182" s="25" t="n"/>
      <c r="C182" s="141">
        <f>H182*I182</f>
        <v/>
      </c>
      <c r="D182" s="41" t="n"/>
      <c r="E182" s="41">
        <f>J182*I182</f>
        <v/>
      </c>
      <c r="F182" s="41" t="n"/>
      <c r="G182" s="42" t="n"/>
      <c r="H182" s="20" t="n"/>
      <c r="I182" s="20" t="n"/>
      <c r="J182" s="20" t="n"/>
    </row>
    <row r="183" ht="16.5" customFormat="1" customHeight="1" s="12">
      <c r="A183" s="17" t="n">
        <v>178</v>
      </c>
      <c r="B183" s="25" t="n"/>
      <c r="C183" s="141">
        <f>H183*I183</f>
        <v/>
      </c>
      <c r="D183" s="41" t="n"/>
      <c r="E183" s="41">
        <f>J183*I183</f>
        <v/>
      </c>
      <c r="F183" s="41" t="n"/>
      <c r="G183" s="42" t="n"/>
      <c r="H183" s="20" t="n"/>
      <c r="I183" s="20" t="n"/>
      <c r="J183" s="20" t="n"/>
    </row>
    <row r="184" ht="16.5" customFormat="1" customHeight="1" s="12">
      <c r="A184" s="17" t="n">
        <v>179</v>
      </c>
      <c r="B184" s="25" t="n"/>
      <c r="C184" s="141">
        <f>H184*I184</f>
        <v/>
      </c>
      <c r="D184" s="41" t="n"/>
      <c r="E184" s="41">
        <f>J184*I184</f>
        <v/>
      </c>
      <c r="F184" s="41" t="n"/>
      <c r="G184" s="42" t="n"/>
      <c r="H184" s="20" t="n"/>
      <c r="I184" s="20" t="n"/>
      <c r="J184" s="20" t="n"/>
    </row>
    <row r="185" ht="16.5" customFormat="1" customHeight="1" s="12">
      <c r="A185" s="17" t="n">
        <v>180</v>
      </c>
      <c r="B185" s="25" t="n"/>
      <c r="C185" s="141">
        <f>H185*I185</f>
        <v/>
      </c>
      <c r="D185" s="41" t="n"/>
      <c r="E185" s="41">
        <f>J185*I185</f>
        <v/>
      </c>
      <c r="F185" s="41" t="n"/>
      <c r="G185" s="42" t="n"/>
      <c r="H185" s="20" t="n"/>
      <c r="I185" s="20" t="n"/>
      <c r="J185" s="20" t="n"/>
    </row>
    <row r="186" ht="16.5" customFormat="1" customHeight="1" s="12">
      <c r="A186" s="17" t="n">
        <v>181</v>
      </c>
      <c r="B186" s="25" t="n"/>
      <c r="C186" s="141">
        <f>H186*I186</f>
        <v/>
      </c>
      <c r="D186" s="41" t="n"/>
      <c r="E186" s="41">
        <f>J186*I186</f>
        <v/>
      </c>
      <c r="F186" s="41" t="n"/>
      <c r="G186" s="42" t="n"/>
      <c r="H186" s="20" t="n"/>
      <c r="I186" s="20" t="n"/>
      <c r="J186" s="20" t="n"/>
    </row>
    <row r="187" ht="16.5" customFormat="1" customHeight="1" s="12">
      <c r="A187" s="17" t="n">
        <v>182</v>
      </c>
      <c r="B187" s="25" t="n"/>
      <c r="C187" s="141">
        <f>H187*I187</f>
        <v/>
      </c>
      <c r="D187" s="41" t="n"/>
      <c r="E187" s="41">
        <f>J187*I187</f>
        <v/>
      </c>
      <c r="F187" s="41" t="n"/>
      <c r="G187" s="42" t="n"/>
      <c r="H187" s="20" t="n"/>
      <c r="I187" s="20" t="n"/>
      <c r="J187" s="20" t="n"/>
    </row>
    <row r="188" ht="16.5" customFormat="1" customHeight="1" s="12">
      <c r="A188" s="17" t="n">
        <v>183</v>
      </c>
      <c r="B188" s="25" t="n"/>
      <c r="C188" s="141">
        <f>H188*I188</f>
        <v/>
      </c>
      <c r="D188" s="41" t="n"/>
      <c r="E188" s="41">
        <f>J188*I188</f>
        <v/>
      </c>
      <c r="F188" s="41" t="n"/>
      <c r="G188" s="42" t="n"/>
      <c r="H188" s="20" t="n"/>
      <c r="I188" s="20" t="n"/>
      <c r="J188" s="20" t="n"/>
    </row>
    <row r="189" ht="16.5" customFormat="1" customHeight="1" s="12">
      <c r="A189" s="17" t="n">
        <v>184</v>
      </c>
      <c r="B189" s="25" t="n"/>
      <c r="C189" s="141">
        <f>H189*I189</f>
        <v/>
      </c>
      <c r="D189" s="41" t="n"/>
      <c r="E189" s="41">
        <f>J189*I189</f>
        <v/>
      </c>
      <c r="F189" s="41" t="n"/>
      <c r="G189" s="42" t="n"/>
      <c r="H189" s="20" t="n"/>
      <c r="I189" s="20" t="n"/>
      <c r="J189" s="20" t="n"/>
    </row>
    <row r="190" ht="16.5" customFormat="1" customHeight="1" s="12">
      <c r="A190" s="17" t="n">
        <v>185</v>
      </c>
      <c r="B190" s="25" t="n"/>
      <c r="C190" s="141">
        <f>H190*I190</f>
        <v/>
      </c>
      <c r="D190" s="41" t="n"/>
      <c r="E190" s="41">
        <f>J190*I190</f>
        <v/>
      </c>
      <c r="F190" s="41" t="n"/>
      <c r="G190" s="42" t="n"/>
      <c r="H190" s="20" t="n"/>
      <c r="I190" s="20" t="n"/>
      <c r="J190" s="20" t="n"/>
    </row>
    <row r="191" ht="16.5" customFormat="1" customHeight="1" s="12">
      <c r="A191" s="17" t="n">
        <v>186</v>
      </c>
      <c r="B191" s="25" t="n"/>
      <c r="C191" s="141">
        <f>H191*I191</f>
        <v/>
      </c>
      <c r="D191" s="41" t="n"/>
      <c r="E191" s="41">
        <f>J191*I191</f>
        <v/>
      </c>
      <c r="F191" s="41" t="n"/>
      <c r="G191" s="42" t="n"/>
      <c r="H191" s="20" t="n"/>
      <c r="I191" s="20" t="n"/>
      <c r="J191" s="20" t="n"/>
    </row>
    <row r="192" ht="16.5" customFormat="1" customHeight="1" s="12">
      <c r="A192" s="17" t="n">
        <v>187</v>
      </c>
      <c r="B192" s="25" t="n"/>
      <c r="C192" s="141">
        <f>H192*I192</f>
        <v/>
      </c>
      <c r="D192" s="41" t="n"/>
      <c r="E192" s="41">
        <f>J192*I192</f>
        <v/>
      </c>
      <c r="F192" s="41" t="n"/>
      <c r="G192" s="42" t="n"/>
      <c r="H192" s="20" t="n"/>
      <c r="I192" s="20" t="n"/>
      <c r="J192" s="20" t="n"/>
    </row>
    <row r="193" ht="16.5" customFormat="1" customHeight="1" s="12">
      <c r="A193" s="17" t="n">
        <v>188</v>
      </c>
      <c r="B193" s="25" t="n"/>
      <c r="C193" s="141">
        <f>H193*I193</f>
        <v/>
      </c>
      <c r="D193" s="41" t="n"/>
      <c r="E193" s="41">
        <f>J193*I193</f>
        <v/>
      </c>
      <c r="F193" s="41" t="n"/>
      <c r="G193" s="42" t="n"/>
      <c r="H193" s="20" t="n"/>
      <c r="I193" s="20" t="n"/>
      <c r="J193" s="20" t="n"/>
    </row>
    <row r="194" ht="16.5" customFormat="1" customHeight="1" s="12">
      <c r="A194" s="17" t="n">
        <v>189</v>
      </c>
      <c r="B194" s="25" t="n"/>
      <c r="C194" s="141">
        <f>H194*I194</f>
        <v/>
      </c>
      <c r="D194" s="41" t="n"/>
      <c r="E194" s="41">
        <f>J194*I194</f>
        <v/>
      </c>
      <c r="F194" s="41" t="n"/>
      <c r="G194" s="42" t="n"/>
      <c r="H194" s="20" t="n"/>
      <c r="I194" s="20" t="n"/>
      <c r="J194" s="20" t="n"/>
    </row>
    <row r="195" ht="16.5" customFormat="1" customHeight="1" s="12">
      <c r="A195" s="17" t="n">
        <v>190</v>
      </c>
      <c r="B195" s="25" t="n"/>
      <c r="C195" s="141">
        <f>H195*I195</f>
        <v/>
      </c>
      <c r="D195" s="41" t="n"/>
      <c r="E195" s="41">
        <f>J195*I195</f>
        <v/>
      </c>
      <c r="F195" s="41" t="n"/>
      <c r="G195" s="42" t="n"/>
      <c r="H195" s="20" t="n"/>
      <c r="I195" s="20" t="n"/>
      <c r="J195" s="20" t="n"/>
    </row>
    <row r="196" ht="16.5" customFormat="1" customHeight="1" s="12">
      <c r="A196" s="17" t="n">
        <v>191</v>
      </c>
      <c r="B196" s="25" t="n"/>
      <c r="C196" s="141">
        <f>H196*I196</f>
        <v/>
      </c>
      <c r="D196" s="41" t="n"/>
      <c r="E196" s="41">
        <f>J196*I196</f>
        <v/>
      </c>
      <c r="F196" s="41" t="n"/>
      <c r="G196" s="42" t="n"/>
      <c r="H196" s="20" t="n"/>
      <c r="I196" s="20" t="n"/>
      <c r="J196" s="20" t="n"/>
    </row>
    <row r="197" ht="16.5" customFormat="1" customHeight="1" s="12">
      <c r="A197" s="17" t="n">
        <v>192</v>
      </c>
      <c r="B197" s="25" t="n"/>
      <c r="C197" s="141">
        <f>H197*I197</f>
        <v/>
      </c>
      <c r="D197" s="41" t="n"/>
      <c r="E197" s="41">
        <f>J197*I197</f>
        <v/>
      </c>
      <c r="F197" s="41" t="n"/>
      <c r="G197" s="42" t="n"/>
      <c r="H197" s="20" t="n"/>
      <c r="I197" s="20" t="n"/>
      <c r="J197" s="20" t="n"/>
    </row>
    <row r="198" ht="16.5" customFormat="1" customHeight="1" s="12">
      <c r="A198" s="17" t="n">
        <v>193</v>
      </c>
      <c r="B198" s="25" t="n"/>
      <c r="C198" s="141">
        <f>H198*I198</f>
        <v/>
      </c>
      <c r="D198" s="41" t="n"/>
      <c r="E198" s="41">
        <f>J198*I198</f>
        <v/>
      </c>
      <c r="F198" s="41" t="n"/>
      <c r="G198" s="42" t="n"/>
      <c r="H198" s="20" t="n"/>
      <c r="I198" s="20" t="n"/>
      <c r="J198" s="20" t="n"/>
    </row>
    <row r="199" ht="16.5" customFormat="1" customHeight="1" s="12">
      <c r="A199" s="17" t="n">
        <v>194</v>
      </c>
      <c r="B199" s="25" t="n"/>
      <c r="C199" s="141">
        <f>H199*I199</f>
        <v/>
      </c>
      <c r="D199" s="41" t="n"/>
      <c r="E199" s="41">
        <f>J199*I199</f>
        <v/>
      </c>
      <c r="F199" s="41" t="n"/>
      <c r="G199" s="42" t="n"/>
      <c r="H199" s="20" t="n"/>
      <c r="I199" s="20" t="n"/>
      <c r="J199" s="20" t="n"/>
    </row>
    <row r="200" ht="16.5" customFormat="1" customHeight="1" s="12">
      <c r="A200" s="17" t="n">
        <v>195</v>
      </c>
      <c r="B200" s="25" t="n"/>
      <c r="C200" s="141">
        <f>H200*I200</f>
        <v/>
      </c>
      <c r="D200" s="41" t="n"/>
      <c r="E200" s="41">
        <f>J200*I200</f>
        <v/>
      </c>
      <c r="F200" s="41" t="n"/>
      <c r="G200" s="42" t="n"/>
      <c r="H200" s="20" t="n"/>
      <c r="I200" s="20" t="n"/>
      <c r="J200" s="20" t="n"/>
    </row>
    <row r="201" ht="16.5" customFormat="1" customHeight="1" s="12">
      <c r="A201" s="17" t="n">
        <v>196</v>
      </c>
      <c r="B201" s="25" t="n"/>
      <c r="C201" s="141">
        <f>H201*I201</f>
        <v/>
      </c>
      <c r="D201" s="41" t="n"/>
      <c r="E201" s="41">
        <f>J201*I201</f>
        <v/>
      </c>
      <c r="F201" s="41" t="n"/>
      <c r="G201" s="42" t="n"/>
      <c r="H201" s="20" t="n"/>
      <c r="I201" s="20" t="n"/>
      <c r="J201" s="20" t="n"/>
    </row>
    <row r="202" ht="16.5" customFormat="1" customHeight="1" s="12">
      <c r="A202" s="17" t="n">
        <v>197</v>
      </c>
      <c r="B202" s="25" t="n"/>
      <c r="C202" s="141">
        <f>H202*I202</f>
        <v/>
      </c>
      <c r="D202" s="41" t="n"/>
      <c r="E202" s="41">
        <f>J202*I202</f>
        <v/>
      </c>
      <c r="F202" s="41" t="n"/>
      <c r="G202" s="42" t="n"/>
      <c r="H202" s="20" t="n"/>
      <c r="I202" s="20" t="n"/>
      <c r="J202" s="20" t="n"/>
    </row>
    <row r="203" ht="16.5" customFormat="1" customHeight="1" s="12">
      <c r="A203" s="17" t="n">
        <v>198</v>
      </c>
      <c r="B203" s="25" t="n"/>
      <c r="C203" s="141">
        <f>H203*I203</f>
        <v/>
      </c>
      <c r="D203" s="41" t="n"/>
      <c r="E203" s="41">
        <f>J203*I203</f>
        <v/>
      </c>
      <c r="F203" s="41" t="n"/>
      <c r="G203" s="42" t="n"/>
      <c r="H203" s="20" t="n"/>
      <c r="I203" s="20" t="n"/>
      <c r="J203" s="20" t="n"/>
    </row>
    <row r="204" ht="16.5" customFormat="1" customHeight="1" s="12">
      <c r="A204" s="17" t="n">
        <v>199</v>
      </c>
      <c r="B204" s="25" t="n"/>
      <c r="C204" s="141">
        <f>H204*I204</f>
        <v/>
      </c>
      <c r="D204" s="41" t="n"/>
      <c r="E204" s="41">
        <f>J204*I204</f>
        <v/>
      </c>
      <c r="F204" s="41" t="n"/>
      <c r="G204" s="42" t="n"/>
      <c r="H204" s="20" t="n"/>
      <c r="I204" s="20" t="n"/>
      <c r="J204" s="20" t="n"/>
    </row>
    <row r="205" ht="16.5" customFormat="1" customHeight="1" s="12">
      <c r="A205" s="17" t="n">
        <v>200</v>
      </c>
      <c r="B205" s="25" t="n"/>
      <c r="C205" s="141">
        <f>H205*I205</f>
        <v/>
      </c>
      <c r="D205" s="41" t="n"/>
      <c r="E205" s="41">
        <f>J205*I205</f>
        <v/>
      </c>
      <c r="F205" s="41" t="n"/>
      <c r="G205" s="42" t="n"/>
      <c r="H205" s="20" t="n"/>
      <c r="I205" s="20" t="n"/>
      <c r="J205" s="20" t="n"/>
    </row>
    <row r="206" ht="16.5" customFormat="1" customHeight="1" s="12">
      <c r="A206" s="17" t="n">
        <v>201</v>
      </c>
      <c r="B206" s="25" t="n"/>
      <c r="C206" s="141">
        <f>H206*I206</f>
        <v/>
      </c>
      <c r="D206" s="41" t="n"/>
      <c r="E206" s="41">
        <f>J206*I206</f>
        <v/>
      </c>
      <c r="F206" s="41" t="n"/>
      <c r="G206" s="42" t="n"/>
      <c r="H206" s="20" t="n"/>
      <c r="I206" s="20" t="n"/>
      <c r="J206" s="20" t="n"/>
    </row>
    <row r="207" ht="16.5" customFormat="1" customHeight="1" s="12">
      <c r="A207" s="17" t="n">
        <v>202</v>
      </c>
      <c r="B207" s="25" t="n"/>
      <c r="C207" s="141">
        <f>H207*I207</f>
        <v/>
      </c>
      <c r="D207" s="41" t="n"/>
      <c r="E207" s="41">
        <f>J207*I207</f>
        <v/>
      </c>
      <c r="F207" s="41" t="n"/>
      <c r="G207" s="42" t="n"/>
      <c r="H207" s="20" t="n"/>
      <c r="I207" s="20" t="n"/>
      <c r="J207" s="20" t="n"/>
    </row>
    <row r="208" ht="16.5" customFormat="1" customHeight="1" s="12">
      <c r="A208" s="17" t="n">
        <v>203</v>
      </c>
      <c r="B208" s="25" t="n"/>
      <c r="C208" s="141">
        <f>H208*I208</f>
        <v/>
      </c>
      <c r="D208" s="41" t="n"/>
      <c r="E208" s="41">
        <f>J208*I208</f>
        <v/>
      </c>
      <c r="F208" s="41" t="n"/>
      <c r="G208" s="42" t="n"/>
      <c r="H208" s="20" t="n"/>
      <c r="I208" s="20" t="n"/>
      <c r="J208" s="20" t="n"/>
    </row>
    <row r="209" ht="16.5" customFormat="1" customHeight="1" s="12">
      <c r="A209" s="17" t="n">
        <v>204</v>
      </c>
      <c r="B209" s="25" t="n"/>
      <c r="C209" s="141">
        <f>H209*I209</f>
        <v/>
      </c>
      <c r="D209" s="41" t="n"/>
      <c r="E209" s="41">
        <f>J209*I209</f>
        <v/>
      </c>
      <c r="F209" s="41" t="n"/>
      <c r="G209" s="42" t="n"/>
      <c r="H209" s="20" t="n"/>
      <c r="I209" s="20" t="n"/>
      <c r="J209" s="20" t="n"/>
    </row>
    <row r="210" ht="16.5" customFormat="1" customHeight="1" s="12">
      <c r="A210" s="17" t="n">
        <v>205</v>
      </c>
      <c r="B210" s="25" t="n"/>
      <c r="C210" s="141">
        <f>H210*I210</f>
        <v/>
      </c>
      <c r="D210" s="41" t="n"/>
      <c r="E210" s="41">
        <f>J210*I210</f>
        <v/>
      </c>
      <c r="F210" s="41" t="n"/>
      <c r="G210" s="42" t="n"/>
      <c r="H210" s="20" t="n"/>
      <c r="I210" s="20" t="n"/>
      <c r="J210" s="20" t="n"/>
    </row>
    <row r="211" ht="16.5" customFormat="1" customHeight="1" s="12">
      <c r="A211" s="17" t="n">
        <v>206</v>
      </c>
      <c r="B211" s="25" t="n"/>
      <c r="C211" s="141">
        <f>H211*I211</f>
        <v/>
      </c>
      <c r="D211" s="41" t="n"/>
      <c r="E211" s="41">
        <f>J211*I211</f>
        <v/>
      </c>
      <c r="F211" s="41" t="n"/>
      <c r="G211" s="42" t="n"/>
      <c r="H211" s="20" t="n"/>
      <c r="I211" s="20" t="n"/>
      <c r="J211" s="20" t="n"/>
    </row>
    <row r="212" ht="16.5" customFormat="1" customHeight="1" s="12">
      <c r="A212" s="17" t="n">
        <v>207</v>
      </c>
      <c r="B212" s="25" t="n"/>
      <c r="C212" s="141">
        <f>H212*I212</f>
        <v/>
      </c>
      <c r="D212" s="41" t="n"/>
      <c r="E212" s="41">
        <f>J212*I212</f>
        <v/>
      </c>
      <c r="F212" s="41" t="n"/>
      <c r="G212" s="42" t="n"/>
      <c r="H212" s="20" t="n"/>
      <c r="I212" s="20" t="n"/>
      <c r="J212" s="20" t="n"/>
    </row>
    <row r="213" ht="16.5" customFormat="1" customHeight="1" s="12">
      <c r="A213" s="17" t="n">
        <v>208</v>
      </c>
      <c r="B213" s="25" t="n"/>
      <c r="C213" s="141">
        <f>H213*I213</f>
        <v/>
      </c>
      <c r="D213" s="41" t="n"/>
      <c r="E213" s="41">
        <f>J213*I213</f>
        <v/>
      </c>
      <c r="F213" s="41" t="n"/>
      <c r="G213" s="42" t="n"/>
      <c r="H213" s="20" t="n"/>
      <c r="I213" s="20" t="n"/>
      <c r="J213" s="20" t="n"/>
    </row>
    <row r="214" ht="16.5" customFormat="1" customHeight="1" s="12">
      <c r="A214" s="17" t="n">
        <v>209</v>
      </c>
      <c r="B214" s="25" t="n"/>
      <c r="C214" s="141">
        <f>H214*I214</f>
        <v/>
      </c>
      <c r="D214" s="41" t="n"/>
      <c r="E214" s="41">
        <f>J214*I214</f>
        <v/>
      </c>
      <c r="F214" s="41" t="n"/>
      <c r="G214" s="42" t="n"/>
      <c r="H214" s="20" t="n"/>
      <c r="I214" s="20" t="n"/>
      <c r="J214" s="20" t="n"/>
    </row>
    <row r="215" ht="16.5" customFormat="1" customHeight="1" s="12">
      <c r="A215" s="17" t="n">
        <v>210</v>
      </c>
      <c r="B215" s="25" t="n"/>
      <c r="C215" s="141">
        <f>H215*I215</f>
        <v/>
      </c>
      <c r="D215" s="41" t="n"/>
      <c r="E215" s="41">
        <f>J215*I215</f>
        <v/>
      </c>
      <c r="F215" s="41" t="n"/>
      <c r="G215" s="42" t="n"/>
      <c r="H215" s="20" t="n"/>
      <c r="I215" s="20" t="n"/>
      <c r="J215" s="20" t="n"/>
    </row>
    <row r="216" ht="16.5" customFormat="1" customHeight="1" s="12">
      <c r="A216" s="17" t="n">
        <v>211</v>
      </c>
      <c r="B216" s="25" t="n"/>
      <c r="C216" s="141">
        <f>H216*I216</f>
        <v/>
      </c>
      <c r="D216" s="41" t="n"/>
      <c r="E216" s="41">
        <f>J216*I216</f>
        <v/>
      </c>
      <c r="F216" s="41" t="n"/>
      <c r="G216" s="42" t="n"/>
      <c r="H216" s="20" t="n"/>
      <c r="I216" s="20" t="n"/>
      <c r="J216" s="20" t="n"/>
    </row>
    <row r="217" ht="16.5" customFormat="1" customHeight="1" s="12">
      <c r="A217" s="17" t="n">
        <v>212</v>
      </c>
      <c r="B217" s="25" t="n"/>
      <c r="C217" s="141">
        <f>H217*I217</f>
        <v/>
      </c>
      <c r="D217" s="41" t="n"/>
      <c r="E217" s="41">
        <f>J217*I217</f>
        <v/>
      </c>
      <c r="F217" s="41" t="n"/>
      <c r="G217" s="42" t="n"/>
      <c r="H217" s="20" t="n"/>
      <c r="I217" s="20" t="n"/>
      <c r="J217" s="20" t="n"/>
    </row>
    <row r="218" ht="16.5" customFormat="1" customHeight="1" s="12">
      <c r="A218" s="17" t="n">
        <v>213</v>
      </c>
      <c r="B218" s="25" t="n"/>
      <c r="C218" s="141">
        <f>H218*I218</f>
        <v/>
      </c>
      <c r="D218" s="41" t="n"/>
      <c r="E218" s="41">
        <f>J218*I218</f>
        <v/>
      </c>
      <c r="F218" s="41" t="n"/>
      <c r="G218" s="42" t="n"/>
      <c r="H218" s="20" t="n"/>
      <c r="I218" s="20" t="n"/>
      <c r="J218" s="20" t="n"/>
    </row>
    <row r="219" ht="16.5" customFormat="1" customHeight="1" s="12">
      <c r="A219" s="17" t="n">
        <v>214</v>
      </c>
      <c r="B219" s="25" t="n"/>
      <c r="C219" s="141">
        <f>H219*I219</f>
        <v/>
      </c>
      <c r="D219" s="41" t="n"/>
      <c r="E219" s="41">
        <f>J219*I219</f>
        <v/>
      </c>
      <c r="F219" s="41" t="n"/>
      <c r="G219" s="42" t="n"/>
      <c r="H219" s="20" t="n"/>
      <c r="I219" s="20" t="n"/>
      <c r="J219" s="20" t="n"/>
    </row>
    <row r="220" ht="16.5" customFormat="1" customHeight="1" s="12">
      <c r="A220" s="17" t="n">
        <v>215</v>
      </c>
      <c r="B220" s="25" t="n"/>
      <c r="C220" s="141">
        <f>H220*I220</f>
        <v/>
      </c>
      <c r="D220" s="41" t="n"/>
      <c r="E220" s="41">
        <f>J220*I220</f>
        <v/>
      </c>
      <c r="F220" s="41" t="n"/>
      <c r="G220" s="42" t="n"/>
      <c r="H220" s="20" t="n"/>
      <c r="I220" s="20" t="n"/>
      <c r="J220" s="20" t="n"/>
    </row>
    <row r="221" ht="16.5" customFormat="1" customHeight="1" s="12">
      <c r="A221" s="17" t="n">
        <v>216</v>
      </c>
      <c r="B221" s="25" t="n"/>
      <c r="C221" s="141">
        <f>H221*I221</f>
        <v/>
      </c>
      <c r="D221" s="41" t="n"/>
      <c r="E221" s="41">
        <f>J221*I221</f>
        <v/>
      </c>
      <c r="F221" s="41" t="n"/>
      <c r="G221" s="42" t="n"/>
      <c r="H221" s="20" t="n"/>
      <c r="I221" s="20" t="n"/>
      <c r="J221" s="20" t="n"/>
    </row>
    <row r="222" ht="16.5" customFormat="1" customHeight="1" s="12">
      <c r="A222" s="17" t="n">
        <v>217</v>
      </c>
      <c r="B222" s="25" t="n"/>
      <c r="C222" s="141">
        <f>H222*I222</f>
        <v/>
      </c>
      <c r="D222" s="41" t="n"/>
      <c r="E222" s="41">
        <f>J222*I222</f>
        <v/>
      </c>
      <c r="F222" s="41" t="n"/>
      <c r="G222" s="42" t="n"/>
      <c r="H222" s="20" t="n"/>
      <c r="I222" s="20" t="n"/>
      <c r="J222" s="20" t="n"/>
    </row>
    <row r="223" ht="16.5" customFormat="1" customHeight="1" s="12">
      <c r="A223" s="17" t="n">
        <v>218</v>
      </c>
      <c r="B223" s="25" t="n"/>
      <c r="C223" s="141">
        <f>H223*I223</f>
        <v/>
      </c>
      <c r="D223" s="41" t="n"/>
      <c r="E223" s="41">
        <f>J223*I223</f>
        <v/>
      </c>
      <c r="F223" s="41" t="n"/>
      <c r="G223" s="42" t="n"/>
      <c r="H223" s="20" t="n"/>
      <c r="I223" s="20" t="n"/>
      <c r="J223" s="20" t="n"/>
    </row>
    <row r="224" ht="16.5" customFormat="1" customHeight="1" s="12">
      <c r="A224" s="17" t="n">
        <v>219</v>
      </c>
      <c r="B224" s="25" t="n"/>
      <c r="C224" s="141">
        <f>H224*I224</f>
        <v/>
      </c>
      <c r="D224" s="41" t="n"/>
      <c r="E224" s="41">
        <f>J224*I224</f>
        <v/>
      </c>
      <c r="F224" s="41" t="n"/>
      <c r="G224" s="42" t="n"/>
      <c r="H224" s="20" t="n"/>
      <c r="I224" s="20" t="n"/>
      <c r="J224" s="20" t="n"/>
    </row>
    <row r="225" ht="16.5" customFormat="1" customHeight="1" s="12">
      <c r="A225" s="17" t="n">
        <v>220</v>
      </c>
      <c r="B225" s="25" t="n"/>
      <c r="C225" s="141">
        <f>H225*I225</f>
        <v/>
      </c>
      <c r="D225" s="41" t="n"/>
      <c r="E225" s="41">
        <f>J225*I225</f>
        <v/>
      </c>
      <c r="F225" s="41" t="n"/>
      <c r="G225" s="42" t="n"/>
      <c r="H225" s="20" t="n"/>
      <c r="I225" s="20" t="n"/>
      <c r="J225" s="20" t="n"/>
    </row>
    <row r="226" ht="16.5" customFormat="1" customHeight="1" s="12">
      <c r="A226" s="17" t="n">
        <v>221</v>
      </c>
      <c r="B226" s="25" t="n"/>
      <c r="C226" s="141">
        <f>H226*I226</f>
        <v/>
      </c>
      <c r="D226" s="41" t="n"/>
      <c r="E226" s="41">
        <f>J226*I226</f>
        <v/>
      </c>
      <c r="F226" s="41" t="n"/>
      <c r="G226" s="42" t="n"/>
      <c r="H226" s="20" t="n"/>
      <c r="I226" s="20" t="n"/>
      <c r="J226" s="20" t="n"/>
    </row>
    <row r="227" ht="16.5" customFormat="1" customHeight="1" s="12">
      <c r="A227" s="17" t="n">
        <v>222</v>
      </c>
      <c r="B227" s="25" t="n"/>
      <c r="C227" s="141">
        <f>H227*I227</f>
        <v/>
      </c>
      <c r="D227" s="41" t="n"/>
      <c r="E227" s="41">
        <f>J227*I227</f>
        <v/>
      </c>
      <c r="F227" s="41" t="n"/>
      <c r="G227" s="42" t="n"/>
      <c r="H227" s="20" t="n"/>
      <c r="I227" s="20" t="n"/>
      <c r="J227" s="20" t="n"/>
    </row>
    <row r="228" ht="16.5" customFormat="1" customHeight="1" s="12">
      <c r="A228" s="17" t="n">
        <v>223</v>
      </c>
      <c r="B228" s="25" t="n"/>
      <c r="C228" s="141">
        <f>H228*I228</f>
        <v/>
      </c>
      <c r="D228" s="41" t="n"/>
      <c r="E228" s="41">
        <f>J228*I228</f>
        <v/>
      </c>
      <c r="F228" s="41" t="n"/>
      <c r="G228" s="42" t="n"/>
      <c r="H228" s="20" t="n"/>
      <c r="I228" s="20" t="n"/>
      <c r="J228" s="20" t="n"/>
    </row>
    <row r="229" ht="16.5" customFormat="1" customHeight="1" s="12">
      <c r="A229" s="17" t="n">
        <v>224</v>
      </c>
      <c r="B229" s="25" t="n"/>
      <c r="C229" s="141">
        <f>H229*I229</f>
        <v/>
      </c>
      <c r="D229" s="41" t="n"/>
      <c r="E229" s="41">
        <f>J229*I229</f>
        <v/>
      </c>
      <c r="F229" s="41" t="n"/>
      <c r="G229" s="42" t="n"/>
      <c r="H229" s="20" t="n"/>
      <c r="I229" s="20" t="n"/>
      <c r="J229" s="20" t="n"/>
    </row>
    <row r="230" ht="16.5" customFormat="1" customHeight="1" s="12">
      <c r="A230" s="17" t="n">
        <v>225</v>
      </c>
      <c r="B230" s="25" t="n"/>
      <c r="C230" s="141">
        <f>H230*I230</f>
        <v/>
      </c>
      <c r="D230" s="41" t="n"/>
      <c r="E230" s="41">
        <f>J230*I230</f>
        <v/>
      </c>
      <c r="F230" s="41" t="n"/>
      <c r="G230" s="42" t="n"/>
      <c r="H230" s="20" t="n"/>
      <c r="I230" s="20" t="n"/>
      <c r="J230" s="20" t="n"/>
    </row>
    <row r="231" ht="16.5" customFormat="1" customHeight="1" s="12">
      <c r="A231" s="17" t="n">
        <v>226</v>
      </c>
      <c r="B231" s="25" t="n"/>
      <c r="C231" s="141">
        <f>H231*I231</f>
        <v/>
      </c>
      <c r="D231" s="41" t="n"/>
      <c r="E231" s="41">
        <f>J231*I231</f>
        <v/>
      </c>
      <c r="F231" s="41" t="n"/>
      <c r="G231" s="42" t="n"/>
      <c r="H231" s="20" t="n"/>
      <c r="I231" s="20" t="n"/>
      <c r="J231" s="20" t="n"/>
    </row>
    <row r="232" ht="16.5" customFormat="1" customHeight="1" s="12">
      <c r="A232" s="17" t="n">
        <v>227</v>
      </c>
      <c r="B232" s="25" t="n"/>
      <c r="C232" s="141">
        <f>H232*I232</f>
        <v/>
      </c>
      <c r="D232" s="41" t="n"/>
      <c r="E232" s="41">
        <f>J232*I232</f>
        <v/>
      </c>
      <c r="F232" s="41" t="n"/>
      <c r="G232" s="42" t="n"/>
      <c r="H232" s="20" t="n"/>
      <c r="I232" s="20" t="n"/>
      <c r="J232" s="20" t="n"/>
    </row>
    <row r="233" ht="16.5" customFormat="1" customHeight="1" s="12">
      <c r="A233" s="17" t="n">
        <v>228</v>
      </c>
      <c r="B233" s="25" t="n"/>
      <c r="C233" s="141">
        <f>H233*I233</f>
        <v/>
      </c>
      <c r="D233" s="41" t="n"/>
      <c r="E233" s="41">
        <f>J233*I233</f>
        <v/>
      </c>
      <c r="F233" s="41" t="n"/>
      <c r="G233" s="42" t="n"/>
      <c r="H233" s="20" t="n"/>
      <c r="I233" s="20" t="n"/>
      <c r="J233" s="20" t="n"/>
    </row>
    <row r="234" ht="16.5" customFormat="1" customHeight="1" s="12">
      <c r="A234" s="17" t="n">
        <v>229</v>
      </c>
      <c r="B234" s="25" t="n"/>
      <c r="C234" s="141">
        <f>H234*I234</f>
        <v/>
      </c>
      <c r="D234" s="41" t="n"/>
      <c r="E234" s="41">
        <f>J234*I234</f>
        <v/>
      </c>
      <c r="F234" s="41" t="n"/>
      <c r="G234" s="42" t="n"/>
      <c r="H234" s="20" t="n"/>
      <c r="I234" s="20" t="n"/>
      <c r="J234" s="20" t="n"/>
    </row>
    <row r="235" ht="16.5" customFormat="1" customHeight="1" s="12">
      <c r="A235" s="17" t="n">
        <v>230</v>
      </c>
      <c r="B235" s="25" t="n"/>
      <c r="C235" s="141">
        <f>H235*I235</f>
        <v/>
      </c>
      <c r="D235" s="41" t="n"/>
      <c r="E235" s="41">
        <f>J235*I235</f>
        <v/>
      </c>
      <c r="F235" s="41" t="n"/>
      <c r="G235" s="42" t="n"/>
      <c r="H235" s="20" t="n"/>
      <c r="I235" s="20" t="n"/>
      <c r="J235" s="20" t="n"/>
    </row>
    <row r="236" ht="16.5" customFormat="1" customHeight="1" s="12">
      <c r="A236" s="17" t="n">
        <v>231</v>
      </c>
      <c r="B236" s="25" t="n"/>
      <c r="C236" s="141">
        <f>H236*I236</f>
        <v/>
      </c>
      <c r="D236" s="41" t="n"/>
      <c r="E236" s="41">
        <f>J236*I236</f>
        <v/>
      </c>
      <c r="F236" s="41" t="n"/>
      <c r="G236" s="42" t="n"/>
      <c r="H236" s="20" t="n"/>
      <c r="I236" s="20" t="n"/>
      <c r="J236" s="20" t="n"/>
    </row>
    <row r="237" ht="16.5" customFormat="1" customHeight="1" s="12">
      <c r="A237" s="17" t="n">
        <v>232</v>
      </c>
      <c r="B237" s="25" t="n"/>
      <c r="C237" s="141">
        <f>H237*I237</f>
        <v/>
      </c>
      <c r="D237" s="41" t="n"/>
      <c r="E237" s="41">
        <f>J237*I237</f>
        <v/>
      </c>
      <c r="F237" s="41" t="n"/>
      <c r="G237" s="42" t="n"/>
      <c r="H237" s="20" t="n"/>
      <c r="I237" s="20" t="n"/>
      <c r="J237" s="20" t="n"/>
    </row>
    <row r="238" ht="16.5" customFormat="1" customHeight="1" s="12">
      <c r="A238" s="17" t="n">
        <v>233</v>
      </c>
      <c r="B238" s="25" t="n"/>
      <c r="C238" s="141">
        <f>H238*I238</f>
        <v/>
      </c>
      <c r="D238" s="41" t="n"/>
      <c r="E238" s="41">
        <f>J238*I238</f>
        <v/>
      </c>
      <c r="F238" s="41" t="n"/>
      <c r="G238" s="42" t="n"/>
      <c r="H238" s="20" t="n"/>
      <c r="I238" s="20" t="n"/>
      <c r="J238" s="20" t="n"/>
    </row>
    <row r="239" ht="16.5" customFormat="1" customHeight="1" s="12">
      <c r="A239" s="17" t="n">
        <v>234</v>
      </c>
      <c r="B239" s="25" t="n"/>
      <c r="C239" s="141">
        <f>H239*I239</f>
        <v/>
      </c>
      <c r="D239" s="41" t="n"/>
      <c r="E239" s="41">
        <f>J239*I239</f>
        <v/>
      </c>
      <c r="F239" s="41" t="n"/>
      <c r="G239" s="42" t="n"/>
      <c r="H239" s="20" t="n"/>
      <c r="I239" s="20" t="n"/>
      <c r="J239" s="20" t="n"/>
    </row>
    <row r="240" ht="16.5" customFormat="1" customHeight="1" s="12">
      <c r="A240" s="17" t="n">
        <v>235</v>
      </c>
      <c r="B240" s="25" t="n"/>
      <c r="C240" s="141">
        <f>H240*I240</f>
        <v/>
      </c>
      <c r="D240" s="41" t="n"/>
      <c r="E240" s="41">
        <f>J240*I240</f>
        <v/>
      </c>
      <c r="F240" s="41" t="n"/>
      <c r="G240" s="42" t="n"/>
      <c r="H240" s="20" t="n"/>
      <c r="I240" s="20" t="n"/>
      <c r="J240" s="20" t="n"/>
    </row>
    <row r="241" ht="16.5" customFormat="1" customHeight="1" s="12">
      <c r="A241" s="17" t="n">
        <v>236</v>
      </c>
      <c r="B241" s="25" t="n"/>
      <c r="C241" s="141">
        <f>H241*I241</f>
        <v/>
      </c>
      <c r="D241" s="41" t="n"/>
      <c r="E241" s="41">
        <f>J241*I241</f>
        <v/>
      </c>
      <c r="F241" s="41" t="n"/>
      <c r="G241" s="42" t="n"/>
      <c r="H241" s="20" t="n"/>
      <c r="I241" s="20" t="n"/>
      <c r="J241" s="20" t="n"/>
    </row>
    <row r="242" ht="16.5" customFormat="1" customHeight="1" s="12">
      <c r="A242" s="17" t="n">
        <v>237</v>
      </c>
      <c r="B242" s="25" t="n"/>
      <c r="C242" s="141">
        <f>H242*I242</f>
        <v/>
      </c>
      <c r="D242" s="41" t="n"/>
      <c r="E242" s="41">
        <f>J242*I242</f>
        <v/>
      </c>
      <c r="F242" s="41" t="n"/>
      <c r="G242" s="42" t="n"/>
      <c r="H242" s="20" t="n"/>
      <c r="I242" s="20" t="n"/>
      <c r="J242" s="20" t="n"/>
    </row>
    <row r="243" ht="16.5" customFormat="1" customHeight="1" s="12">
      <c r="A243" s="17" t="n">
        <v>238</v>
      </c>
      <c r="B243" s="25" t="n"/>
      <c r="C243" s="141">
        <f>H243*I243</f>
        <v/>
      </c>
      <c r="D243" s="41" t="n"/>
      <c r="E243" s="41">
        <f>J243*I243</f>
        <v/>
      </c>
      <c r="F243" s="41" t="n"/>
      <c r="G243" s="42" t="n"/>
      <c r="H243" s="20" t="n"/>
      <c r="I243" s="20" t="n"/>
      <c r="J243" s="20" t="n"/>
    </row>
    <row r="244" ht="16.5" customFormat="1" customHeight="1" s="12">
      <c r="A244" s="17" t="n">
        <v>239</v>
      </c>
      <c r="B244" s="25" t="n"/>
      <c r="C244" s="141">
        <f>H244*I244</f>
        <v/>
      </c>
      <c r="D244" s="41" t="n"/>
      <c r="E244" s="41">
        <f>J244*I244</f>
        <v/>
      </c>
      <c r="F244" s="41" t="n"/>
      <c r="G244" s="42" t="n"/>
      <c r="H244" s="20" t="n"/>
      <c r="I244" s="20" t="n"/>
      <c r="J244" s="20" t="n"/>
    </row>
    <row r="245" ht="16.5" customFormat="1" customHeight="1" s="12">
      <c r="A245" s="17" t="n">
        <v>240</v>
      </c>
      <c r="B245" s="25" t="n"/>
      <c r="C245" s="141">
        <f>H245*I245</f>
        <v/>
      </c>
      <c r="D245" s="41" t="n"/>
      <c r="E245" s="41">
        <f>J245*I245</f>
        <v/>
      </c>
      <c r="F245" s="41" t="n"/>
      <c r="G245" s="42" t="n"/>
      <c r="H245" s="20" t="n"/>
      <c r="I245" s="20" t="n"/>
      <c r="J245" s="20" t="n"/>
    </row>
    <row r="246" ht="16.5" customFormat="1" customHeight="1" s="12">
      <c r="A246" s="17" t="n">
        <v>241</v>
      </c>
      <c r="B246" s="25" t="n"/>
      <c r="C246" s="141">
        <f>H246*I246</f>
        <v/>
      </c>
      <c r="D246" s="41" t="n"/>
      <c r="E246" s="41">
        <f>J246*I246</f>
        <v/>
      </c>
      <c r="F246" s="41" t="n"/>
      <c r="G246" s="42" t="n"/>
      <c r="H246" s="20" t="n"/>
      <c r="I246" s="20" t="n"/>
      <c r="J246" s="20" t="n"/>
    </row>
    <row r="247" ht="16.5" customFormat="1" customHeight="1" s="12">
      <c r="A247" s="17" t="n">
        <v>242</v>
      </c>
      <c r="B247" s="25" t="n"/>
      <c r="C247" s="141">
        <f>H247*I247</f>
        <v/>
      </c>
      <c r="D247" s="41" t="n"/>
      <c r="E247" s="41">
        <f>J247*I247</f>
        <v/>
      </c>
      <c r="F247" s="41" t="n"/>
      <c r="G247" s="42" t="n"/>
      <c r="H247" s="20" t="n"/>
      <c r="I247" s="20" t="n"/>
      <c r="J247" s="20" t="n"/>
    </row>
    <row r="248" ht="16.5" customFormat="1" customHeight="1" s="12">
      <c r="A248" s="17" t="n">
        <v>243</v>
      </c>
      <c r="B248" s="25" t="n"/>
      <c r="C248" s="141">
        <f>H248*I248</f>
        <v/>
      </c>
      <c r="D248" s="41" t="n"/>
      <c r="E248" s="41">
        <f>J248*I248</f>
        <v/>
      </c>
      <c r="F248" s="41" t="n"/>
      <c r="G248" s="42" t="n"/>
      <c r="H248" s="20" t="n"/>
      <c r="I248" s="20" t="n"/>
      <c r="J248" s="20" t="n"/>
    </row>
    <row r="249" ht="16.5" customFormat="1" customHeight="1" s="12">
      <c r="A249" s="17" t="n">
        <v>244</v>
      </c>
      <c r="B249" s="25" t="n"/>
      <c r="C249" s="141">
        <f>H249*I249</f>
        <v/>
      </c>
      <c r="D249" s="41" t="n"/>
      <c r="E249" s="41">
        <f>J249*I249</f>
        <v/>
      </c>
      <c r="F249" s="41" t="n"/>
      <c r="G249" s="42" t="n"/>
      <c r="H249" s="20" t="n"/>
      <c r="I249" s="20" t="n"/>
      <c r="J249" s="20" t="n"/>
    </row>
    <row r="250" ht="16.5" customFormat="1" customHeight="1" s="12">
      <c r="A250" s="17" t="n">
        <v>245</v>
      </c>
      <c r="B250" s="25" t="n"/>
      <c r="C250" s="141">
        <f>H250*I250</f>
        <v/>
      </c>
      <c r="D250" s="41" t="n"/>
      <c r="E250" s="41">
        <f>J250*I250</f>
        <v/>
      </c>
      <c r="F250" s="41" t="n"/>
      <c r="G250" s="42" t="n"/>
      <c r="H250" s="20" t="n"/>
      <c r="I250" s="20" t="n"/>
      <c r="J250" s="20" t="n"/>
    </row>
    <row r="251" ht="16.5" customFormat="1" customHeight="1" s="12">
      <c r="A251" s="17" t="n">
        <v>246</v>
      </c>
      <c r="B251" s="25" t="n"/>
      <c r="C251" s="141">
        <f>H251*I251</f>
        <v/>
      </c>
      <c r="D251" s="41" t="n"/>
      <c r="E251" s="41">
        <f>J251*I251</f>
        <v/>
      </c>
      <c r="F251" s="41" t="n"/>
      <c r="G251" s="42" t="n"/>
      <c r="H251" s="20" t="n"/>
      <c r="I251" s="20" t="n"/>
      <c r="J251" s="20" t="n"/>
    </row>
    <row r="252" ht="16.5" customFormat="1" customHeight="1" s="12">
      <c r="A252" s="17" t="n">
        <v>247</v>
      </c>
      <c r="B252" s="25" t="n"/>
      <c r="C252" s="141">
        <f>H252*I252</f>
        <v/>
      </c>
      <c r="D252" s="41" t="n"/>
      <c r="E252" s="41">
        <f>J252*I252</f>
        <v/>
      </c>
      <c r="F252" s="41" t="n"/>
      <c r="G252" s="42" t="n"/>
      <c r="H252" s="20" t="n"/>
      <c r="I252" s="20" t="n"/>
      <c r="J252" s="20" t="n"/>
    </row>
    <row r="253" ht="16.5" customFormat="1" customHeight="1" s="12">
      <c r="A253" s="17" t="n">
        <v>248</v>
      </c>
      <c r="B253" s="25" t="n"/>
      <c r="C253" s="141">
        <f>H253*I253</f>
        <v/>
      </c>
      <c r="D253" s="41" t="n"/>
      <c r="E253" s="41">
        <f>J253*I253</f>
        <v/>
      </c>
      <c r="F253" s="41" t="n"/>
      <c r="G253" s="42" t="n"/>
      <c r="H253" s="20" t="n"/>
      <c r="I253" s="20" t="n"/>
      <c r="J253" s="20" t="n"/>
    </row>
    <row r="254" ht="16.5" customFormat="1" customHeight="1" s="12">
      <c r="A254" s="17" t="n">
        <v>249</v>
      </c>
      <c r="B254" s="25" t="n"/>
      <c r="C254" s="141">
        <f>H254*I254</f>
        <v/>
      </c>
      <c r="D254" s="41" t="n"/>
      <c r="E254" s="41">
        <f>J254*I254</f>
        <v/>
      </c>
      <c r="F254" s="41" t="n"/>
      <c r="G254" s="42" t="n"/>
      <c r="H254" s="20" t="n"/>
      <c r="I254" s="20" t="n"/>
      <c r="J254" s="20" t="n"/>
    </row>
    <row r="255" ht="16.5" customFormat="1" customHeight="1" s="12">
      <c r="A255" s="17" t="n">
        <v>250</v>
      </c>
      <c r="B255" s="25" t="n"/>
      <c r="C255" s="141">
        <f>H255*I255</f>
        <v/>
      </c>
      <c r="D255" s="41" t="n"/>
      <c r="E255" s="41">
        <f>J255*I255</f>
        <v/>
      </c>
      <c r="F255" s="41" t="n"/>
      <c r="G255" s="42" t="n"/>
      <c r="H255" s="20" t="n"/>
      <c r="I255" s="20" t="n"/>
      <c r="J255" s="20" t="n"/>
    </row>
    <row r="256" ht="16.5" customFormat="1" customHeight="1" s="12">
      <c r="A256" s="17" t="n">
        <v>251</v>
      </c>
      <c r="B256" s="25" t="n"/>
      <c r="C256" s="141">
        <f>H256*I256</f>
        <v/>
      </c>
      <c r="D256" s="41" t="n"/>
      <c r="E256" s="41">
        <f>J256*I256</f>
        <v/>
      </c>
      <c r="F256" s="41" t="n"/>
      <c r="G256" s="42" t="n"/>
      <c r="H256" s="20" t="n"/>
      <c r="I256" s="20" t="n"/>
      <c r="J256" s="20" t="n"/>
    </row>
    <row r="257" ht="16.5" customFormat="1" customHeight="1" s="12">
      <c r="A257" s="17" t="n">
        <v>252</v>
      </c>
      <c r="B257" s="25" t="n"/>
      <c r="C257" s="141">
        <f>H257*I257</f>
        <v/>
      </c>
      <c r="D257" s="41" t="n"/>
      <c r="E257" s="41">
        <f>J257*I257</f>
        <v/>
      </c>
      <c r="F257" s="41" t="n"/>
      <c r="G257" s="42" t="n"/>
      <c r="H257" s="20" t="n"/>
      <c r="I257" s="20" t="n"/>
      <c r="J257" s="20" t="n"/>
    </row>
    <row r="258" ht="16.5" customFormat="1" customHeight="1" s="12">
      <c r="A258" s="17" t="n">
        <v>253</v>
      </c>
      <c r="B258" s="25" t="n"/>
      <c r="C258" s="141">
        <f>H258*I258</f>
        <v/>
      </c>
      <c r="D258" s="41" t="n"/>
      <c r="E258" s="41">
        <f>J258*I258</f>
        <v/>
      </c>
      <c r="F258" s="41" t="n"/>
      <c r="G258" s="42" t="n"/>
      <c r="H258" s="20" t="n"/>
      <c r="I258" s="20" t="n"/>
      <c r="J258" s="20" t="n"/>
    </row>
    <row r="259" ht="16.5" customFormat="1" customHeight="1" s="12">
      <c r="A259" s="17" t="n">
        <v>254</v>
      </c>
      <c r="B259" s="25" t="n"/>
      <c r="C259" s="141">
        <f>H259*I259</f>
        <v/>
      </c>
      <c r="D259" s="41" t="n"/>
      <c r="E259" s="41">
        <f>J259*I259</f>
        <v/>
      </c>
      <c r="F259" s="41" t="n"/>
      <c r="G259" s="42" t="n"/>
      <c r="H259" s="20" t="n"/>
      <c r="I259" s="20" t="n"/>
      <c r="J259" s="20" t="n"/>
    </row>
    <row r="260" ht="16.5" customFormat="1" customHeight="1" s="12">
      <c r="A260" s="17" t="n">
        <v>255</v>
      </c>
      <c r="B260" s="25" t="n"/>
      <c r="C260" s="141">
        <f>H260*I260</f>
        <v/>
      </c>
      <c r="D260" s="41" t="n"/>
      <c r="E260" s="41">
        <f>J260*I260</f>
        <v/>
      </c>
      <c r="F260" s="41" t="n"/>
      <c r="G260" s="42" t="n"/>
      <c r="H260" s="20" t="n"/>
      <c r="I260" s="20" t="n"/>
      <c r="J260" s="20" t="n"/>
    </row>
    <row r="261" ht="16.5" customFormat="1" customHeight="1" s="12">
      <c r="A261" s="17" t="n">
        <v>256</v>
      </c>
      <c r="B261" s="25" t="n"/>
      <c r="C261" s="141">
        <f>H261*I261</f>
        <v/>
      </c>
      <c r="D261" s="41" t="n"/>
      <c r="E261" s="41">
        <f>J261*I261</f>
        <v/>
      </c>
      <c r="F261" s="41" t="n"/>
      <c r="G261" s="42" t="n"/>
      <c r="H261" s="20" t="n"/>
      <c r="I261" s="20" t="n"/>
      <c r="J261" s="20" t="n"/>
    </row>
    <row r="262" ht="16.5" customFormat="1" customHeight="1" s="12">
      <c r="A262" s="17" t="n">
        <v>257</v>
      </c>
      <c r="B262" s="25" t="n"/>
      <c r="C262" s="141">
        <f>H262*I262</f>
        <v/>
      </c>
      <c r="D262" s="41" t="n"/>
      <c r="E262" s="41">
        <f>J262*I262</f>
        <v/>
      </c>
      <c r="F262" s="41" t="n"/>
      <c r="G262" s="42" t="n"/>
      <c r="H262" s="20" t="n"/>
      <c r="I262" s="20" t="n"/>
      <c r="J262" s="20" t="n"/>
    </row>
    <row r="263" ht="16.5" customFormat="1" customHeight="1" s="12">
      <c r="A263" s="17" t="n">
        <v>258</v>
      </c>
      <c r="B263" s="25" t="n"/>
      <c r="C263" s="141">
        <f>H263*I263</f>
        <v/>
      </c>
      <c r="D263" s="41" t="n"/>
      <c r="E263" s="41">
        <f>J263*I263</f>
        <v/>
      </c>
      <c r="F263" s="41" t="n"/>
      <c r="G263" s="42" t="n"/>
      <c r="H263" s="20" t="n"/>
      <c r="I263" s="20" t="n"/>
      <c r="J263" s="20" t="n"/>
    </row>
    <row r="264" ht="16.5" customFormat="1" customHeight="1" s="12">
      <c r="A264" s="17" t="n">
        <v>259</v>
      </c>
      <c r="B264" s="25" t="n"/>
      <c r="C264" s="141">
        <f>H264*I264</f>
        <v/>
      </c>
      <c r="D264" s="41" t="n"/>
      <c r="E264" s="41">
        <f>J264*I264</f>
        <v/>
      </c>
      <c r="F264" s="41" t="n"/>
      <c r="G264" s="42" t="n"/>
      <c r="H264" s="20" t="n"/>
      <c r="I264" s="20" t="n"/>
      <c r="J264" s="20" t="n"/>
    </row>
    <row r="265" ht="16.5" customFormat="1" customHeight="1" s="12">
      <c r="A265" s="17" t="n">
        <v>260</v>
      </c>
      <c r="B265" s="25" t="n"/>
      <c r="C265" s="141">
        <f>H265*I265</f>
        <v/>
      </c>
      <c r="D265" s="41" t="n"/>
      <c r="E265" s="41">
        <f>J265*I265</f>
        <v/>
      </c>
      <c r="F265" s="41" t="n"/>
      <c r="G265" s="42" t="n"/>
      <c r="H265" s="20" t="n"/>
      <c r="I265" s="20" t="n"/>
      <c r="J265" s="20" t="n"/>
    </row>
    <row r="266" ht="16.5" customFormat="1" customHeight="1" s="12">
      <c r="A266" s="17" t="n">
        <v>261</v>
      </c>
      <c r="B266" s="25" t="n"/>
      <c r="C266" s="141">
        <f>H266*I266</f>
        <v/>
      </c>
      <c r="D266" s="41" t="n"/>
      <c r="E266" s="41">
        <f>J266*I266</f>
        <v/>
      </c>
      <c r="F266" s="41" t="n"/>
      <c r="G266" s="42" t="n"/>
      <c r="H266" s="20" t="n"/>
      <c r="I266" s="20" t="n"/>
      <c r="J266" s="20" t="n"/>
    </row>
    <row r="267" ht="16.5" customFormat="1" customHeight="1" s="12">
      <c r="A267" s="17" t="n">
        <v>262</v>
      </c>
      <c r="B267" s="25" t="n"/>
      <c r="C267" s="141">
        <f>H267*I267</f>
        <v/>
      </c>
      <c r="D267" s="41" t="n"/>
      <c r="E267" s="41">
        <f>J267*I267</f>
        <v/>
      </c>
      <c r="F267" s="41" t="n"/>
      <c r="G267" s="42" t="n"/>
      <c r="H267" s="20" t="n"/>
      <c r="I267" s="20" t="n"/>
      <c r="J267" s="20" t="n"/>
    </row>
    <row r="268" ht="16.5" customFormat="1" customHeight="1" s="12">
      <c r="A268" s="17" t="n">
        <v>263</v>
      </c>
      <c r="B268" s="25" t="n"/>
      <c r="C268" s="141">
        <f>H268*I268</f>
        <v/>
      </c>
      <c r="D268" s="41" t="n"/>
      <c r="E268" s="41">
        <f>J268*I268</f>
        <v/>
      </c>
      <c r="F268" s="41" t="n"/>
      <c r="G268" s="42" t="n"/>
      <c r="H268" s="20" t="n"/>
      <c r="I268" s="20" t="n"/>
      <c r="J268" s="20" t="n"/>
    </row>
    <row r="269" ht="16.5" customFormat="1" customHeight="1" s="12">
      <c r="A269" s="17" t="n">
        <v>264</v>
      </c>
      <c r="B269" s="25" t="n"/>
      <c r="C269" s="141">
        <f>H269*I269</f>
        <v/>
      </c>
      <c r="D269" s="41" t="n"/>
      <c r="E269" s="41">
        <f>J269*I269</f>
        <v/>
      </c>
      <c r="F269" s="41" t="n"/>
      <c r="G269" s="42" t="n"/>
      <c r="H269" s="20" t="n"/>
      <c r="I269" s="20" t="n"/>
      <c r="J269" s="20" t="n"/>
    </row>
    <row r="270" ht="16.5" customFormat="1" customHeight="1" s="12">
      <c r="A270" s="17" t="n">
        <v>265</v>
      </c>
      <c r="B270" s="25" t="n"/>
      <c r="C270" s="141">
        <f>H270*I270</f>
        <v/>
      </c>
      <c r="D270" s="41" t="n"/>
      <c r="E270" s="41">
        <f>J270*I270</f>
        <v/>
      </c>
      <c r="F270" s="41" t="n"/>
      <c r="G270" s="42" t="n"/>
      <c r="H270" s="20" t="n"/>
      <c r="I270" s="20" t="n"/>
      <c r="J270" s="20" t="n"/>
    </row>
    <row r="271" ht="16.5" customFormat="1" customHeight="1" s="12">
      <c r="A271" s="17" t="n">
        <v>266</v>
      </c>
      <c r="B271" s="25" t="n"/>
      <c r="C271" s="141">
        <f>H271*I271</f>
        <v/>
      </c>
      <c r="D271" s="41" t="n"/>
      <c r="E271" s="41">
        <f>J271*I271</f>
        <v/>
      </c>
      <c r="F271" s="41" t="n"/>
      <c r="G271" s="42" t="n"/>
      <c r="H271" s="20" t="n"/>
      <c r="I271" s="20" t="n"/>
      <c r="J271" s="20" t="n"/>
    </row>
    <row r="272" ht="16.5" customFormat="1" customHeight="1" s="12">
      <c r="A272" s="17" t="n">
        <v>267</v>
      </c>
      <c r="B272" s="25" t="n"/>
      <c r="C272" s="141">
        <f>H272*I272</f>
        <v/>
      </c>
      <c r="D272" s="41" t="n"/>
      <c r="E272" s="41">
        <f>J272*I272</f>
        <v/>
      </c>
      <c r="F272" s="41" t="n"/>
      <c r="G272" s="42" t="n"/>
      <c r="H272" s="20" t="n"/>
      <c r="I272" s="20" t="n"/>
      <c r="J272" s="20" t="n"/>
    </row>
    <row r="273" ht="16.5" customFormat="1" customHeight="1" s="12">
      <c r="A273" s="17" t="n">
        <v>268</v>
      </c>
      <c r="B273" s="25" t="n"/>
      <c r="C273" s="141">
        <f>H273*I273</f>
        <v/>
      </c>
      <c r="D273" s="41" t="n"/>
      <c r="E273" s="41">
        <f>J273*I273</f>
        <v/>
      </c>
      <c r="F273" s="41" t="n"/>
      <c r="G273" s="42" t="n"/>
      <c r="H273" s="20" t="n"/>
      <c r="I273" s="20" t="n"/>
      <c r="J273" s="20" t="n"/>
    </row>
    <row r="274" ht="16.5" customFormat="1" customHeight="1" s="12">
      <c r="A274" s="17" t="n">
        <v>269</v>
      </c>
      <c r="B274" s="25" t="n"/>
      <c r="C274" s="141">
        <f>H274*I274</f>
        <v/>
      </c>
      <c r="D274" s="41" t="n"/>
      <c r="E274" s="41">
        <f>J274*I274</f>
        <v/>
      </c>
      <c r="F274" s="41" t="n"/>
      <c r="G274" s="42" t="n"/>
      <c r="H274" s="20" t="n"/>
      <c r="I274" s="20" t="n"/>
      <c r="J274" s="20" t="n"/>
    </row>
    <row r="275" ht="16.5" customFormat="1" customHeight="1" s="12">
      <c r="A275" s="17" t="n">
        <v>270</v>
      </c>
      <c r="B275" s="25" t="n"/>
      <c r="C275" s="141">
        <f>H275*I275</f>
        <v/>
      </c>
      <c r="D275" s="41" t="n"/>
      <c r="E275" s="41">
        <f>J275*I275</f>
        <v/>
      </c>
      <c r="F275" s="41" t="n"/>
      <c r="G275" s="42" t="n"/>
      <c r="H275" s="20" t="n"/>
      <c r="I275" s="20" t="n"/>
      <c r="J275" s="20" t="n"/>
    </row>
    <row r="276" ht="16.5" customFormat="1" customHeight="1" s="12">
      <c r="A276" s="17" t="n">
        <v>271</v>
      </c>
      <c r="B276" s="25" t="n"/>
      <c r="C276" s="141">
        <f>H276*I276</f>
        <v/>
      </c>
      <c r="D276" s="41" t="n"/>
      <c r="E276" s="41">
        <f>J276*I276</f>
        <v/>
      </c>
      <c r="F276" s="41" t="n"/>
      <c r="G276" s="42" t="n"/>
      <c r="H276" s="20" t="n"/>
      <c r="I276" s="20" t="n"/>
      <c r="J276" s="20" t="n"/>
    </row>
    <row r="277" ht="16.5" customFormat="1" customHeight="1" s="12">
      <c r="A277" s="17" t="n">
        <v>272</v>
      </c>
      <c r="B277" s="25" t="n"/>
      <c r="C277" s="141">
        <f>H277*I277</f>
        <v/>
      </c>
      <c r="D277" s="41" t="n"/>
      <c r="E277" s="41">
        <f>J277*I277</f>
        <v/>
      </c>
      <c r="F277" s="41" t="n"/>
      <c r="G277" s="42" t="n"/>
      <c r="H277" s="20" t="n"/>
      <c r="I277" s="20" t="n"/>
      <c r="J277" s="20" t="n"/>
    </row>
    <row r="278" ht="16.5" customFormat="1" customHeight="1" s="12">
      <c r="A278" s="17" t="n">
        <v>273</v>
      </c>
      <c r="B278" s="25" t="n"/>
      <c r="C278" s="141">
        <f>H278*I278</f>
        <v/>
      </c>
      <c r="D278" s="41" t="n"/>
      <c r="E278" s="41">
        <f>J278*I278</f>
        <v/>
      </c>
      <c r="F278" s="41" t="n"/>
      <c r="G278" s="42" t="n"/>
      <c r="H278" s="20" t="n"/>
      <c r="I278" s="20" t="n"/>
      <c r="J278" s="20" t="n"/>
    </row>
    <row r="279" ht="16.5" customFormat="1" customHeight="1" s="12">
      <c r="A279" s="17" t="n">
        <v>274</v>
      </c>
      <c r="B279" s="25" t="n"/>
      <c r="C279" s="141">
        <f>H279*I279</f>
        <v/>
      </c>
      <c r="D279" s="41" t="n"/>
      <c r="E279" s="41">
        <f>J279*I279</f>
        <v/>
      </c>
      <c r="F279" s="41" t="n"/>
      <c r="G279" s="42" t="n"/>
      <c r="H279" s="20" t="n"/>
      <c r="I279" s="20" t="n"/>
      <c r="J279" s="20" t="n"/>
    </row>
    <row r="280" ht="16.5" customFormat="1" customHeight="1" s="12">
      <c r="A280" s="17" t="n">
        <v>275</v>
      </c>
      <c r="B280" s="25" t="n"/>
      <c r="C280" s="141">
        <f>H280*I280</f>
        <v/>
      </c>
      <c r="D280" s="41" t="n"/>
      <c r="E280" s="41">
        <f>J280*I280</f>
        <v/>
      </c>
      <c r="F280" s="41" t="n"/>
      <c r="G280" s="42" t="n"/>
      <c r="H280" s="20" t="n"/>
      <c r="I280" s="20" t="n"/>
      <c r="J280" s="20" t="n"/>
    </row>
    <row r="281" ht="16.5" customFormat="1" customHeight="1" s="12">
      <c r="A281" s="17" t="n">
        <v>276</v>
      </c>
      <c r="B281" s="25" t="n"/>
      <c r="C281" s="141">
        <f>H281*I281</f>
        <v/>
      </c>
      <c r="D281" s="41" t="n"/>
      <c r="E281" s="41">
        <f>J281*I281</f>
        <v/>
      </c>
      <c r="F281" s="41" t="n"/>
      <c r="G281" s="42" t="n"/>
      <c r="H281" s="20" t="n"/>
      <c r="I281" s="20" t="n"/>
      <c r="J281" s="20" t="n"/>
    </row>
    <row r="282" ht="16.5" customFormat="1" customHeight="1" s="12">
      <c r="A282" s="17" t="n">
        <v>277</v>
      </c>
      <c r="B282" s="25" t="n"/>
      <c r="C282" s="141">
        <f>H282*I282</f>
        <v/>
      </c>
      <c r="D282" s="41" t="n"/>
      <c r="E282" s="41">
        <f>J282*I282</f>
        <v/>
      </c>
      <c r="F282" s="41" t="n"/>
      <c r="G282" s="42" t="n"/>
      <c r="H282" s="20" t="n"/>
      <c r="I282" s="20" t="n"/>
      <c r="J282" s="20" t="n"/>
    </row>
    <row r="283" ht="16.5" customFormat="1" customHeight="1" s="12">
      <c r="A283" s="17" t="n">
        <v>278</v>
      </c>
      <c r="B283" s="25" t="n"/>
      <c r="C283" s="141">
        <f>H283*I283</f>
        <v/>
      </c>
      <c r="D283" s="41" t="n"/>
      <c r="E283" s="41">
        <f>J283*I283</f>
        <v/>
      </c>
      <c r="F283" s="41" t="n"/>
      <c r="G283" s="42" t="n"/>
      <c r="H283" s="20" t="n"/>
      <c r="I283" s="20" t="n"/>
      <c r="J283" s="20" t="n"/>
    </row>
    <row r="284" ht="16.5" customFormat="1" customHeight="1" s="12">
      <c r="A284" s="17" t="n">
        <v>279</v>
      </c>
      <c r="B284" s="25" t="n"/>
      <c r="C284" s="141">
        <f>H284*I284</f>
        <v/>
      </c>
      <c r="D284" s="41" t="n"/>
      <c r="E284" s="41">
        <f>J284*I284</f>
        <v/>
      </c>
      <c r="F284" s="41" t="n"/>
      <c r="G284" s="42" t="n"/>
      <c r="H284" s="20" t="n"/>
      <c r="I284" s="20" t="n"/>
      <c r="J284" s="20" t="n"/>
    </row>
    <row r="285" ht="16.5" customFormat="1" customHeight="1" s="12">
      <c r="A285" s="17" t="n">
        <v>280</v>
      </c>
      <c r="B285" s="25" t="n"/>
      <c r="C285" s="141">
        <f>H285*I285</f>
        <v/>
      </c>
      <c r="D285" s="41" t="n"/>
      <c r="E285" s="41">
        <f>J285*I285</f>
        <v/>
      </c>
      <c r="F285" s="41" t="n"/>
      <c r="G285" s="42" t="n"/>
      <c r="H285" s="20" t="n"/>
      <c r="I285" s="20" t="n"/>
      <c r="J285" s="20" t="n"/>
    </row>
    <row r="286" ht="16.5" customFormat="1" customHeight="1" s="12">
      <c r="A286" s="17" t="n">
        <v>281</v>
      </c>
      <c r="B286" s="25" t="n"/>
      <c r="C286" s="141">
        <f>H286*I286</f>
        <v/>
      </c>
      <c r="D286" s="41" t="n"/>
      <c r="E286" s="41">
        <f>J286*I286</f>
        <v/>
      </c>
      <c r="F286" s="41" t="n"/>
      <c r="G286" s="42" t="n"/>
      <c r="H286" s="20" t="n"/>
      <c r="I286" s="20" t="n"/>
      <c r="J286" s="20" t="n"/>
    </row>
    <row r="287" ht="16.5" customFormat="1" customHeight="1" s="12">
      <c r="A287" s="17" t="n">
        <v>282</v>
      </c>
      <c r="B287" s="25" t="n"/>
      <c r="C287" s="141">
        <f>H287*I287</f>
        <v/>
      </c>
      <c r="D287" s="41" t="n"/>
      <c r="E287" s="41">
        <f>J287*I287</f>
        <v/>
      </c>
      <c r="F287" s="41" t="n"/>
      <c r="G287" s="42" t="n"/>
      <c r="H287" s="20" t="n"/>
      <c r="I287" s="20" t="n"/>
      <c r="J287" s="20" t="n"/>
    </row>
    <row r="288" ht="16.5" customFormat="1" customHeight="1" s="12">
      <c r="A288" s="17" t="n">
        <v>283</v>
      </c>
      <c r="B288" s="25" t="n"/>
      <c r="C288" s="141">
        <f>H288*I288</f>
        <v/>
      </c>
      <c r="D288" s="41" t="n"/>
      <c r="E288" s="41">
        <f>J288*I288</f>
        <v/>
      </c>
      <c r="F288" s="41" t="n"/>
      <c r="G288" s="42" t="n"/>
      <c r="H288" s="20" t="n"/>
      <c r="I288" s="20" t="n"/>
      <c r="J288" s="20" t="n"/>
    </row>
    <row r="289" ht="16.5" customFormat="1" customHeight="1" s="12">
      <c r="A289" s="17" t="n">
        <v>284</v>
      </c>
      <c r="B289" s="25" t="n"/>
      <c r="C289" s="141">
        <f>H289*I289</f>
        <v/>
      </c>
      <c r="D289" s="41" t="n"/>
      <c r="E289" s="41">
        <f>J289*I289</f>
        <v/>
      </c>
      <c r="F289" s="41" t="n"/>
      <c r="G289" s="42" t="n"/>
      <c r="H289" s="20" t="n"/>
      <c r="I289" s="20" t="n"/>
      <c r="J289" s="20" t="n"/>
    </row>
    <row r="290" ht="16.5" customFormat="1" customHeight="1" s="12">
      <c r="A290" s="17" t="n">
        <v>285</v>
      </c>
      <c r="B290" s="25" t="n"/>
      <c r="C290" s="141">
        <f>H290*I290</f>
        <v/>
      </c>
      <c r="D290" s="41" t="n"/>
      <c r="E290" s="41">
        <f>J290*I290</f>
        <v/>
      </c>
      <c r="F290" s="41" t="n"/>
      <c r="G290" s="42" t="n"/>
      <c r="H290" s="20" t="n"/>
      <c r="I290" s="20" t="n"/>
      <c r="J290" s="20" t="n"/>
    </row>
    <row r="291" ht="16.5" customFormat="1" customHeight="1" s="12">
      <c r="A291" s="17" t="n">
        <v>286</v>
      </c>
      <c r="B291" s="25" t="n"/>
      <c r="C291" s="141">
        <f>H291*I291</f>
        <v/>
      </c>
      <c r="D291" s="41" t="n"/>
      <c r="E291" s="41">
        <f>J291*I291</f>
        <v/>
      </c>
      <c r="F291" s="41" t="n"/>
      <c r="G291" s="42" t="n"/>
      <c r="H291" s="20" t="n"/>
      <c r="I291" s="20" t="n"/>
      <c r="J291" s="20" t="n"/>
    </row>
    <row r="292" ht="16.5" customFormat="1" customHeight="1" s="12">
      <c r="A292" s="17" t="n">
        <v>287</v>
      </c>
      <c r="B292" s="25" t="n"/>
      <c r="C292" s="141">
        <f>H292*I292</f>
        <v/>
      </c>
      <c r="D292" s="41" t="n"/>
      <c r="E292" s="41">
        <f>J292*I292</f>
        <v/>
      </c>
      <c r="F292" s="41" t="n"/>
      <c r="G292" s="42" t="n"/>
      <c r="H292" s="20" t="n"/>
      <c r="I292" s="20" t="n"/>
      <c r="J292" s="20" t="n"/>
    </row>
    <row r="293" ht="16.5" customFormat="1" customHeight="1" s="12">
      <c r="A293" s="17" t="n">
        <v>288</v>
      </c>
      <c r="B293" s="25" t="n"/>
      <c r="C293" s="141">
        <f>H293*I293</f>
        <v/>
      </c>
      <c r="D293" s="41" t="n"/>
      <c r="E293" s="41">
        <f>J293*I293</f>
        <v/>
      </c>
      <c r="F293" s="41" t="n"/>
      <c r="G293" s="42" t="n"/>
      <c r="H293" s="20" t="n"/>
      <c r="I293" s="20" t="n"/>
      <c r="J293" s="20" t="n"/>
    </row>
    <row r="294" ht="16.5" customFormat="1" customHeight="1" s="12">
      <c r="A294" s="17" t="n">
        <v>289</v>
      </c>
      <c r="B294" s="25" t="n"/>
      <c r="C294" s="141">
        <f>H294*I294</f>
        <v/>
      </c>
      <c r="D294" s="41" t="n"/>
      <c r="E294" s="41">
        <f>J294*I294</f>
        <v/>
      </c>
      <c r="F294" s="41" t="n"/>
      <c r="G294" s="42" t="n"/>
      <c r="H294" s="20" t="n"/>
      <c r="I294" s="20" t="n"/>
      <c r="J294" s="20" t="n"/>
    </row>
    <row r="295" ht="16.5" customFormat="1" customHeight="1" s="12">
      <c r="A295" s="17" t="n">
        <v>290</v>
      </c>
      <c r="B295" s="25" t="n"/>
      <c r="C295" s="141">
        <f>H295*I295</f>
        <v/>
      </c>
      <c r="D295" s="41" t="n"/>
      <c r="E295" s="41">
        <f>J295*I295</f>
        <v/>
      </c>
      <c r="F295" s="41" t="n"/>
      <c r="G295" s="42" t="n"/>
      <c r="H295" s="20" t="n"/>
      <c r="I295" s="20" t="n"/>
      <c r="J295" s="20" t="n"/>
    </row>
    <row r="296" ht="16.5" customFormat="1" customHeight="1" s="12">
      <c r="A296" s="17" t="n">
        <v>291</v>
      </c>
      <c r="B296" s="25" t="n"/>
      <c r="C296" s="141">
        <f>H296*I296</f>
        <v/>
      </c>
      <c r="D296" s="41" t="n"/>
      <c r="E296" s="41">
        <f>J296*I296</f>
        <v/>
      </c>
      <c r="F296" s="41" t="n"/>
      <c r="G296" s="42" t="n"/>
      <c r="H296" s="20" t="n"/>
      <c r="I296" s="20" t="n"/>
      <c r="J296" s="20" t="n"/>
    </row>
    <row r="297" ht="16.5" customFormat="1" customHeight="1" s="12">
      <c r="A297" s="17" t="n">
        <v>292</v>
      </c>
      <c r="B297" s="25" t="n"/>
      <c r="C297" s="141">
        <f>H297*I297</f>
        <v/>
      </c>
      <c r="D297" s="41" t="n"/>
      <c r="E297" s="41">
        <f>J297*I297</f>
        <v/>
      </c>
      <c r="F297" s="41" t="n"/>
      <c r="G297" s="42" t="n"/>
      <c r="H297" s="20" t="n"/>
      <c r="I297" s="20" t="n"/>
      <c r="J297" s="20" t="n"/>
    </row>
    <row r="298" ht="16.5" customFormat="1" customHeight="1" s="12">
      <c r="A298" s="17" t="n">
        <v>293</v>
      </c>
      <c r="B298" s="25" t="n"/>
      <c r="C298" s="141">
        <f>H298*I298</f>
        <v/>
      </c>
      <c r="D298" s="41" t="n"/>
      <c r="E298" s="41">
        <f>J298*I298</f>
        <v/>
      </c>
      <c r="F298" s="41" t="n"/>
      <c r="G298" s="42" t="n"/>
      <c r="H298" s="20" t="n"/>
      <c r="I298" s="20" t="n"/>
      <c r="J298" s="20" t="n"/>
    </row>
    <row r="299" ht="16.5" customFormat="1" customHeight="1" s="12">
      <c r="A299" s="17" t="n">
        <v>294</v>
      </c>
      <c r="B299" s="25" t="n"/>
      <c r="C299" s="141">
        <f>H299*I299</f>
        <v/>
      </c>
      <c r="D299" s="41" t="n"/>
      <c r="E299" s="41">
        <f>J299*I299</f>
        <v/>
      </c>
      <c r="F299" s="41" t="n"/>
      <c r="G299" s="42" t="n"/>
      <c r="H299" s="20" t="n"/>
      <c r="I299" s="20" t="n"/>
      <c r="J299" s="20" t="n"/>
    </row>
    <row r="300" ht="16.5" customFormat="1" customHeight="1" s="12">
      <c r="A300" s="17" t="n">
        <v>295</v>
      </c>
      <c r="B300" s="25" t="n"/>
      <c r="C300" s="141">
        <f>H300*I300</f>
        <v/>
      </c>
      <c r="D300" s="41" t="n"/>
      <c r="E300" s="41">
        <f>J300*I300</f>
        <v/>
      </c>
      <c r="F300" s="41" t="n"/>
      <c r="G300" s="42" t="n"/>
      <c r="H300" s="20" t="n"/>
      <c r="I300" s="20" t="n"/>
      <c r="J300" s="20" t="n"/>
    </row>
    <row r="301" ht="16.5" customFormat="1" customHeight="1" s="12">
      <c r="A301" s="17" t="n">
        <v>296</v>
      </c>
      <c r="B301" s="25" t="n"/>
      <c r="C301" s="141">
        <f>H301*I301</f>
        <v/>
      </c>
      <c r="D301" s="41" t="n"/>
      <c r="E301" s="41">
        <f>J301*I301</f>
        <v/>
      </c>
      <c r="F301" s="41" t="n"/>
      <c r="G301" s="42" t="n"/>
      <c r="H301" s="20" t="n"/>
      <c r="I301" s="20" t="n"/>
      <c r="J301" s="20" t="n"/>
    </row>
    <row r="302" ht="16.5" customFormat="1" customHeight="1" s="12">
      <c r="A302" s="17" t="n">
        <v>297</v>
      </c>
      <c r="B302" s="25" t="n"/>
      <c r="C302" s="141">
        <f>H302*I302</f>
        <v/>
      </c>
      <c r="D302" s="41" t="n"/>
      <c r="E302" s="41">
        <f>J302*I302</f>
        <v/>
      </c>
      <c r="F302" s="41" t="n"/>
      <c r="G302" s="42" t="n"/>
      <c r="H302" s="20" t="n"/>
      <c r="I302" s="20" t="n"/>
      <c r="J302" s="20" t="n"/>
    </row>
    <row r="303" ht="16.5" customFormat="1" customHeight="1" s="12">
      <c r="A303" s="17" t="n">
        <v>298</v>
      </c>
      <c r="B303" s="25" t="n"/>
      <c r="C303" s="141">
        <f>H303*I303</f>
        <v/>
      </c>
      <c r="D303" s="41" t="n"/>
      <c r="E303" s="41">
        <f>J303*I303</f>
        <v/>
      </c>
      <c r="F303" s="41" t="n"/>
      <c r="G303" s="42" t="n"/>
      <c r="H303" s="20" t="n"/>
      <c r="I303" s="20" t="n"/>
      <c r="J303" s="20" t="n"/>
    </row>
    <row r="304" ht="16.5" customFormat="1" customHeight="1" s="12">
      <c r="A304" s="17" t="n">
        <v>299</v>
      </c>
      <c r="B304" s="25" t="n"/>
      <c r="C304" s="141">
        <f>H304*I304</f>
        <v/>
      </c>
      <c r="D304" s="41" t="n"/>
      <c r="E304" s="41">
        <f>J304*I304</f>
        <v/>
      </c>
      <c r="F304" s="41" t="n"/>
      <c r="G304" s="42" t="n"/>
      <c r="H304" s="20" t="n"/>
      <c r="I304" s="20" t="n"/>
      <c r="J304" s="20" t="n"/>
    </row>
    <row r="305" ht="16.5" customFormat="1" customHeight="1" s="12">
      <c r="A305" s="17" t="n">
        <v>300</v>
      </c>
      <c r="B305" s="25" t="n"/>
      <c r="C305" s="141">
        <f>H305*I305</f>
        <v/>
      </c>
      <c r="D305" s="41" t="n"/>
      <c r="E305" s="41">
        <f>J305*I305</f>
        <v/>
      </c>
      <c r="F305" s="41" t="n"/>
      <c r="G305" s="42" t="n"/>
      <c r="H305" s="20" t="n"/>
      <c r="I305" s="20" t="n"/>
      <c r="J305" s="20" t="n"/>
    </row>
    <row r="306" ht="16.5" customFormat="1" customHeight="1" s="12">
      <c r="A306" s="17" t="n">
        <v>301</v>
      </c>
      <c r="B306" s="25" t="n"/>
      <c r="C306" s="141">
        <f>H306*I306</f>
        <v/>
      </c>
      <c r="D306" s="41" t="n"/>
      <c r="E306" s="41">
        <f>J306*I306</f>
        <v/>
      </c>
      <c r="F306" s="41" t="n"/>
      <c r="G306" s="42" t="n"/>
      <c r="H306" s="20" t="n"/>
      <c r="I306" s="20" t="n"/>
      <c r="J306" s="20" t="n"/>
    </row>
    <row r="307" ht="16.5" customFormat="1" customHeight="1" s="12">
      <c r="A307" s="17" t="n">
        <v>302</v>
      </c>
      <c r="B307" s="25" t="n"/>
      <c r="C307" s="141">
        <f>H307*I307</f>
        <v/>
      </c>
      <c r="D307" s="41" t="n"/>
      <c r="E307" s="41">
        <f>J307*I307</f>
        <v/>
      </c>
      <c r="F307" s="41" t="n"/>
      <c r="G307" s="42" t="n"/>
      <c r="H307" s="20" t="n"/>
      <c r="I307" s="20" t="n"/>
      <c r="J307" s="20" t="n"/>
    </row>
    <row r="308" ht="16.5" customFormat="1" customHeight="1" s="12">
      <c r="A308" s="17" t="n">
        <v>303</v>
      </c>
      <c r="B308" s="25" t="n"/>
      <c r="C308" s="141">
        <f>H308*I308</f>
        <v/>
      </c>
      <c r="D308" s="41" t="n"/>
      <c r="E308" s="41">
        <f>J308*I308</f>
        <v/>
      </c>
      <c r="F308" s="41" t="n"/>
      <c r="G308" s="42" t="n"/>
      <c r="H308" s="20" t="n"/>
      <c r="I308" s="20" t="n"/>
      <c r="J308" s="20" t="n"/>
    </row>
    <row r="309" ht="16.5" customFormat="1" customHeight="1" s="12">
      <c r="A309" s="17" t="n">
        <v>304</v>
      </c>
      <c r="B309" s="25" t="n"/>
      <c r="C309" s="141">
        <f>H309*I309</f>
        <v/>
      </c>
      <c r="D309" s="41" t="n"/>
      <c r="E309" s="41">
        <f>J309*I309</f>
        <v/>
      </c>
      <c r="F309" s="41" t="n"/>
      <c r="G309" s="42" t="n"/>
      <c r="H309" s="20" t="n"/>
      <c r="I309" s="20" t="n"/>
      <c r="J309" s="20" t="n"/>
    </row>
    <row r="310" ht="16.5" customFormat="1" customHeight="1" s="12">
      <c r="A310" s="17" t="n">
        <v>305</v>
      </c>
      <c r="B310" s="25" t="n"/>
      <c r="C310" s="141">
        <f>H310*I310</f>
        <v/>
      </c>
      <c r="D310" s="41" t="n"/>
      <c r="E310" s="41">
        <f>J310*I310</f>
        <v/>
      </c>
      <c r="F310" s="41" t="n"/>
      <c r="G310" s="42" t="n"/>
      <c r="H310" s="20" t="n"/>
      <c r="I310" s="20" t="n"/>
      <c r="J310" s="20" t="n"/>
    </row>
    <row r="311" ht="16.5" customFormat="1" customHeight="1" s="12">
      <c r="A311" s="17" t="n">
        <v>306</v>
      </c>
      <c r="B311" s="25" t="n"/>
      <c r="C311" s="141">
        <f>H311*I311</f>
        <v/>
      </c>
      <c r="D311" s="41" t="n"/>
      <c r="E311" s="41">
        <f>J311*I311</f>
        <v/>
      </c>
      <c r="F311" s="41" t="n"/>
      <c r="G311" s="42" t="n"/>
      <c r="H311" s="20" t="n"/>
      <c r="I311" s="20" t="n"/>
      <c r="J311" s="20" t="n"/>
    </row>
    <row r="312" ht="16.5" customFormat="1" customHeight="1" s="12">
      <c r="A312" s="17" t="n">
        <v>307</v>
      </c>
      <c r="B312" s="25" t="n"/>
      <c r="C312" s="141">
        <f>H312*I312</f>
        <v/>
      </c>
      <c r="D312" s="41" t="n"/>
      <c r="E312" s="41">
        <f>J312*I312</f>
        <v/>
      </c>
      <c r="F312" s="41" t="n"/>
      <c r="G312" s="42" t="n"/>
      <c r="H312" s="20" t="n"/>
      <c r="I312" s="20" t="n"/>
      <c r="J312" s="20" t="n"/>
    </row>
    <row r="313" ht="16.5" customFormat="1" customHeight="1" s="12">
      <c r="A313" s="17" t="n">
        <v>308</v>
      </c>
      <c r="B313" s="25" t="n"/>
      <c r="C313" s="141">
        <f>H313*I313</f>
        <v/>
      </c>
      <c r="D313" s="41" t="n"/>
      <c r="E313" s="41">
        <f>J313*I313</f>
        <v/>
      </c>
      <c r="F313" s="41" t="n"/>
      <c r="G313" s="42" t="n"/>
      <c r="H313" s="20" t="n"/>
      <c r="I313" s="20" t="n"/>
      <c r="J313" s="20" t="n"/>
    </row>
    <row r="314" ht="16.5" customFormat="1" customHeight="1" s="12">
      <c r="A314" s="17" t="n">
        <v>309</v>
      </c>
      <c r="B314" s="25" t="n"/>
      <c r="C314" s="141">
        <f>H314*I314</f>
        <v/>
      </c>
      <c r="D314" s="41" t="n"/>
      <c r="E314" s="41">
        <f>J314*I314</f>
        <v/>
      </c>
      <c r="F314" s="41" t="n"/>
      <c r="G314" s="42" t="n"/>
      <c r="H314" s="20" t="n"/>
      <c r="I314" s="20" t="n"/>
      <c r="J314" s="20" t="n"/>
    </row>
    <row r="315" ht="16.5" customFormat="1" customHeight="1" s="12">
      <c r="A315" s="17" t="n">
        <v>310</v>
      </c>
      <c r="B315" s="25" t="n"/>
      <c r="C315" s="141">
        <f>H315*I315</f>
        <v/>
      </c>
      <c r="D315" s="41" t="n"/>
      <c r="E315" s="41">
        <f>J315*I315</f>
        <v/>
      </c>
      <c r="F315" s="41" t="n"/>
      <c r="G315" s="42" t="n"/>
      <c r="H315" s="20" t="n"/>
      <c r="I315" s="20" t="n"/>
      <c r="J315" s="20" t="n"/>
    </row>
    <row r="316" ht="16.5" customFormat="1" customHeight="1" s="12">
      <c r="A316" s="17" t="n">
        <v>311</v>
      </c>
      <c r="B316" s="25" t="n"/>
      <c r="C316" s="141">
        <f>H316*I316</f>
        <v/>
      </c>
      <c r="D316" s="41" t="n"/>
      <c r="E316" s="41">
        <f>J316*I316</f>
        <v/>
      </c>
      <c r="F316" s="41" t="n"/>
      <c r="G316" s="42" t="n"/>
      <c r="H316" s="20" t="n"/>
      <c r="I316" s="20" t="n"/>
      <c r="J316" s="20" t="n"/>
    </row>
    <row r="317" ht="16.5" customFormat="1" customHeight="1" s="12">
      <c r="A317" s="17" t="n">
        <v>312</v>
      </c>
      <c r="B317" s="25" t="n"/>
      <c r="C317" s="141">
        <f>H317*I317</f>
        <v/>
      </c>
      <c r="D317" s="41" t="n"/>
      <c r="E317" s="41">
        <f>J317*I317</f>
        <v/>
      </c>
      <c r="F317" s="41" t="n"/>
      <c r="G317" s="42" t="n"/>
      <c r="H317" s="20" t="n"/>
      <c r="I317" s="20" t="n"/>
      <c r="J317" s="20" t="n"/>
    </row>
    <row r="318" ht="16.5" customFormat="1" customHeight="1" s="12">
      <c r="A318" s="17" t="n">
        <v>313</v>
      </c>
      <c r="B318" s="25" t="n"/>
      <c r="C318" s="141">
        <f>H318*I318</f>
        <v/>
      </c>
      <c r="D318" s="41" t="n"/>
      <c r="E318" s="41">
        <f>J318*I318</f>
        <v/>
      </c>
      <c r="F318" s="41" t="n"/>
      <c r="G318" s="42" t="n"/>
      <c r="H318" s="20" t="n"/>
      <c r="I318" s="20" t="n"/>
      <c r="J318" s="20" t="n"/>
    </row>
    <row r="319" ht="16.5" customFormat="1" customHeight="1" s="12">
      <c r="A319" s="17" t="n">
        <v>314</v>
      </c>
      <c r="B319" s="25" t="n"/>
      <c r="C319" s="141">
        <f>H319*I319</f>
        <v/>
      </c>
      <c r="D319" s="41" t="n"/>
      <c r="E319" s="41">
        <f>J319*I319</f>
        <v/>
      </c>
      <c r="F319" s="41" t="n"/>
      <c r="G319" s="42" t="n"/>
      <c r="H319" s="20" t="n"/>
      <c r="I319" s="20" t="n"/>
      <c r="J319" s="20" t="n"/>
    </row>
    <row r="320" ht="16.5" customFormat="1" customHeight="1" s="12">
      <c r="A320" s="17" t="n">
        <v>315</v>
      </c>
      <c r="B320" s="25" t="n"/>
      <c r="C320" s="141">
        <f>H320*I320</f>
        <v/>
      </c>
      <c r="D320" s="41" t="n"/>
      <c r="E320" s="41">
        <f>J320*I320</f>
        <v/>
      </c>
      <c r="F320" s="41" t="n"/>
      <c r="G320" s="42" t="n"/>
      <c r="H320" s="20" t="n"/>
      <c r="I320" s="20" t="n"/>
      <c r="J320" s="20" t="n"/>
    </row>
    <row r="321" ht="16.5" customFormat="1" customHeight="1" s="12">
      <c r="A321" s="17" t="n">
        <v>316</v>
      </c>
      <c r="B321" s="25" t="n"/>
      <c r="C321" s="141">
        <f>H321*I321</f>
        <v/>
      </c>
      <c r="D321" s="41" t="n"/>
      <c r="E321" s="41">
        <f>J321*I321</f>
        <v/>
      </c>
      <c r="F321" s="41" t="n"/>
      <c r="G321" s="42" t="n"/>
      <c r="H321" s="20" t="n"/>
      <c r="I321" s="20" t="n"/>
      <c r="J321" s="20" t="n"/>
    </row>
    <row r="322" ht="16.5" customFormat="1" customHeight="1" s="12">
      <c r="A322" s="17" t="n">
        <v>317</v>
      </c>
      <c r="B322" s="25" t="n"/>
      <c r="C322" s="141">
        <f>H322*I322</f>
        <v/>
      </c>
      <c r="D322" s="41" t="n"/>
      <c r="E322" s="41">
        <f>J322*I322</f>
        <v/>
      </c>
      <c r="F322" s="41" t="n"/>
      <c r="G322" s="42" t="n"/>
      <c r="H322" s="20" t="n"/>
      <c r="I322" s="20" t="n"/>
      <c r="J322" s="20" t="n"/>
    </row>
    <row r="323" ht="16.5" customFormat="1" customHeight="1" s="12">
      <c r="A323" s="17" t="n">
        <v>318</v>
      </c>
      <c r="B323" s="25" t="n"/>
      <c r="C323" s="141">
        <f>H323*I323</f>
        <v/>
      </c>
      <c r="D323" s="41" t="n"/>
      <c r="E323" s="41">
        <f>J323*I323</f>
        <v/>
      </c>
      <c r="F323" s="41" t="n"/>
      <c r="G323" s="42" t="n"/>
      <c r="H323" s="20" t="n"/>
      <c r="I323" s="20" t="n"/>
      <c r="J323" s="20" t="n"/>
    </row>
    <row r="324" ht="16.5" customFormat="1" customHeight="1" s="12">
      <c r="A324" s="17" t="n">
        <v>319</v>
      </c>
      <c r="B324" s="25" t="n"/>
      <c r="C324" s="141">
        <f>H324*I324</f>
        <v/>
      </c>
      <c r="D324" s="41" t="n"/>
      <c r="E324" s="41">
        <f>J324*I324</f>
        <v/>
      </c>
      <c r="F324" s="41" t="n"/>
      <c r="G324" s="42" t="n"/>
      <c r="H324" s="20" t="n"/>
      <c r="I324" s="20" t="n"/>
      <c r="J324" s="20" t="n"/>
    </row>
    <row r="325" ht="16.5" customFormat="1" customHeight="1" s="12">
      <c r="A325" s="17" t="n">
        <v>320</v>
      </c>
      <c r="B325" s="25" t="n"/>
      <c r="C325" s="141">
        <f>H325*I325</f>
        <v/>
      </c>
      <c r="D325" s="41" t="n"/>
      <c r="E325" s="41">
        <f>J325*I325</f>
        <v/>
      </c>
      <c r="F325" s="41" t="n"/>
      <c r="G325" s="42" t="n"/>
      <c r="H325" s="20" t="n"/>
      <c r="I325" s="20" t="n"/>
      <c r="J325" s="20" t="n"/>
    </row>
    <row r="326" ht="16.5" customFormat="1" customHeight="1" s="12">
      <c r="A326" s="17" t="n">
        <v>321</v>
      </c>
      <c r="B326" s="25" t="n"/>
      <c r="C326" s="141">
        <f>H326*I326</f>
        <v/>
      </c>
      <c r="D326" s="41" t="n"/>
      <c r="E326" s="41">
        <f>J326*I326</f>
        <v/>
      </c>
      <c r="F326" s="41" t="n"/>
      <c r="G326" s="42" t="n"/>
      <c r="H326" s="20" t="n"/>
      <c r="I326" s="20" t="n"/>
      <c r="J326" s="20" t="n"/>
    </row>
    <row r="327" ht="16.5" customFormat="1" customHeight="1" s="12">
      <c r="A327" s="17" t="n">
        <v>322</v>
      </c>
      <c r="B327" s="25" t="n"/>
      <c r="C327" s="141">
        <f>H327*I327</f>
        <v/>
      </c>
      <c r="D327" s="41" t="n"/>
      <c r="E327" s="41">
        <f>J327*I327</f>
        <v/>
      </c>
      <c r="F327" s="41" t="n"/>
      <c r="G327" s="42" t="n"/>
      <c r="H327" s="20" t="n"/>
      <c r="I327" s="20" t="n"/>
      <c r="J327" s="20" t="n"/>
    </row>
    <row r="328" ht="16.5" customFormat="1" customHeight="1" s="12">
      <c r="A328" s="17" t="n">
        <v>323</v>
      </c>
      <c r="B328" s="25" t="n"/>
      <c r="C328" s="141">
        <f>H328*I328</f>
        <v/>
      </c>
      <c r="D328" s="41" t="n"/>
      <c r="E328" s="41">
        <f>J328*I328</f>
        <v/>
      </c>
      <c r="F328" s="41" t="n"/>
      <c r="G328" s="42" t="n"/>
      <c r="H328" s="20" t="n"/>
      <c r="I328" s="20" t="n"/>
      <c r="J328" s="20" t="n"/>
    </row>
    <row r="329" ht="16.5" customFormat="1" customHeight="1" s="12">
      <c r="A329" s="17" t="n">
        <v>324</v>
      </c>
      <c r="B329" s="25" t="n"/>
      <c r="C329" s="141">
        <f>H329*I329</f>
        <v/>
      </c>
      <c r="D329" s="41" t="n"/>
      <c r="E329" s="41">
        <f>J329*I329</f>
        <v/>
      </c>
      <c r="F329" s="41" t="n"/>
      <c r="G329" s="42" t="n"/>
      <c r="H329" s="20" t="n"/>
      <c r="I329" s="20" t="n"/>
      <c r="J329" s="20" t="n"/>
    </row>
    <row r="330" ht="16.5" customFormat="1" customHeight="1" s="12">
      <c r="A330" s="17" t="n">
        <v>325</v>
      </c>
      <c r="B330" s="25" t="n"/>
      <c r="C330" s="141">
        <f>H330*I330</f>
        <v/>
      </c>
      <c r="D330" s="41" t="n"/>
      <c r="E330" s="41">
        <f>J330*I330</f>
        <v/>
      </c>
      <c r="F330" s="41" t="n"/>
      <c r="G330" s="42" t="n"/>
      <c r="H330" s="20" t="n"/>
      <c r="I330" s="20" t="n"/>
      <c r="J330" s="20" t="n"/>
    </row>
    <row r="331" ht="16.5" customFormat="1" customHeight="1" s="12">
      <c r="A331" s="17" t="n">
        <v>326</v>
      </c>
      <c r="B331" s="25" t="n"/>
      <c r="C331" s="141">
        <f>H331*I331</f>
        <v/>
      </c>
      <c r="D331" s="41" t="n"/>
      <c r="E331" s="41">
        <f>J331*I331</f>
        <v/>
      </c>
      <c r="F331" s="41" t="n"/>
      <c r="G331" s="42" t="n"/>
      <c r="H331" s="20" t="n"/>
      <c r="I331" s="20" t="n"/>
      <c r="J331" s="20" t="n"/>
    </row>
    <row r="332" ht="16.5" customFormat="1" customHeight="1" s="12">
      <c r="A332" s="17" t="n">
        <v>327</v>
      </c>
      <c r="B332" s="25" t="n"/>
      <c r="C332" s="141">
        <f>H332*I332</f>
        <v/>
      </c>
      <c r="D332" s="41" t="n"/>
      <c r="E332" s="41">
        <f>J332*I332</f>
        <v/>
      </c>
      <c r="F332" s="41" t="n"/>
      <c r="G332" s="42" t="n"/>
      <c r="H332" s="20" t="n"/>
      <c r="I332" s="20" t="n"/>
      <c r="J332" s="20" t="n"/>
    </row>
    <row r="333" ht="16.5" customFormat="1" customHeight="1" s="12">
      <c r="A333" s="17" t="n">
        <v>328</v>
      </c>
      <c r="B333" s="25" t="n"/>
      <c r="C333" s="141">
        <f>H333*I333</f>
        <v/>
      </c>
      <c r="D333" s="41" t="n"/>
      <c r="E333" s="41">
        <f>J333*I333</f>
        <v/>
      </c>
      <c r="F333" s="41" t="n"/>
      <c r="G333" s="42" t="n"/>
      <c r="H333" s="20" t="n"/>
      <c r="I333" s="20" t="n"/>
      <c r="J333" s="20" t="n"/>
    </row>
    <row r="334" ht="16.5" customFormat="1" customHeight="1" s="12">
      <c r="A334" s="17" t="n">
        <v>329</v>
      </c>
      <c r="B334" s="25" t="n"/>
      <c r="C334" s="141">
        <f>H334*I334</f>
        <v/>
      </c>
      <c r="D334" s="41" t="n"/>
      <c r="E334" s="41">
        <f>J334*I334</f>
        <v/>
      </c>
      <c r="F334" s="41" t="n"/>
      <c r="G334" s="42" t="n"/>
      <c r="H334" s="20" t="n"/>
      <c r="I334" s="20" t="n"/>
      <c r="J334" s="20" t="n"/>
    </row>
    <row r="335" ht="16.5" customFormat="1" customHeight="1" s="12">
      <c r="A335" s="17" t="n">
        <v>330</v>
      </c>
      <c r="B335" s="25" t="n"/>
      <c r="C335" s="141">
        <f>H335*I335</f>
        <v/>
      </c>
      <c r="D335" s="41" t="n"/>
      <c r="E335" s="41">
        <f>J335*I335</f>
        <v/>
      </c>
      <c r="F335" s="41" t="n"/>
      <c r="G335" s="42" t="n"/>
      <c r="H335" s="20" t="n"/>
      <c r="I335" s="20" t="n"/>
      <c r="J335" s="20" t="n"/>
    </row>
    <row r="336" ht="16.5" customFormat="1" customHeight="1" s="12">
      <c r="A336" s="17" t="n">
        <v>331</v>
      </c>
      <c r="B336" s="25" t="n"/>
      <c r="C336" s="141">
        <f>H336*I336</f>
        <v/>
      </c>
      <c r="D336" s="41" t="n"/>
      <c r="E336" s="41">
        <f>J336*I336</f>
        <v/>
      </c>
      <c r="F336" s="41" t="n"/>
      <c r="G336" s="42" t="n"/>
      <c r="H336" s="20" t="n"/>
      <c r="I336" s="20" t="n"/>
      <c r="J336" s="20" t="n"/>
    </row>
    <row r="337" ht="16.5" customFormat="1" customHeight="1" s="12">
      <c r="A337" s="17" t="n">
        <v>332</v>
      </c>
      <c r="B337" s="25" t="n"/>
      <c r="C337" s="141">
        <f>H337*I337</f>
        <v/>
      </c>
      <c r="D337" s="41" t="n"/>
      <c r="E337" s="41">
        <f>J337*I337</f>
        <v/>
      </c>
      <c r="F337" s="41" t="n"/>
      <c r="G337" s="42" t="n"/>
      <c r="H337" s="20" t="n"/>
      <c r="I337" s="20" t="n"/>
      <c r="J337" s="20" t="n"/>
    </row>
    <row r="338" ht="16.5" customFormat="1" customHeight="1" s="12">
      <c r="A338" s="17" t="n">
        <v>333</v>
      </c>
      <c r="B338" s="25" t="n"/>
      <c r="C338" s="141">
        <f>H338*I338</f>
        <v/>
      </c>
      <c r="D338" s="41" t="n"/>
      <c r="E338" s="41">
        <f>J338*I338</f>
        <v/>
      </c>
      <c r="F338" s="41" t="n"/>
      <c r="G338" s="42" t="n"/>
      <c r="H338" s="20" t="n"/>
      <c r="I338" s="20" t="n"/>
      <c r="J338" s="20" t="n"/>
    </row>
    <row r="339" ht="16.5" customFormat="1" customHeight="1" s="12">
      <c r="A339" s="17" t="n">
        <v>334</v>
      </c>
      <c r="B339" s="25" t="n"/>
      <c r="C339" s="141">
        <f>H339*I339</f>
        <v/>
      </c>
      <c r="D339" s="41" t="n"/>
      <c r="E339" s="41">
        <f>J339*I339</f>
        <v/>
      </c>
      <c r="F339" s="41" t="n"/>
      <c r="G339" s="42" t="n"/>
      <c r="H339" s="20" t="n"/>
      <c r="I339" s="20" t="n"/>
      <c r="J339" s="20" t="n"/>
    </row>
    <row r="340" ht="16.5" customFormat="1" customHeight="1" s="12">
      <c r="A340" s="17" t="n">
        <v>335</v>
      </c>
      <c r="B340" s="25" t="n"/>
      <c r="C340" s="141">
        <f>H340*I340</f>
        <v/>
      </c>
      <c r="D340" s="41" t="n"/>
      <c r="E340" s="41">
        <f>J340*I340</f>
        <v/>
      </c>
      <c r="F340" s="41" t="n"/>
      <c r="G340" s="42" t="n"/>
      <c r="H340" s="20" t="n"/>
      <c r="I340" s="20" t="n"/>
      <c r="J340" s="20" t="n"/>
    </row>
    <row r="341" ht="16.5" customFormat="1" customHeight="1" s="12">
      <c r="A341" s="17" t="n">
        <v>336</v>
      </c>
      <c r="B341" s="25" t="n"/>
      <c r="C341" s="141">
        <f>H341*I341</f>
        <v/>
      </c>
      <c r="D341" s="41" t="n"/>
      <c r="E341" s="41">
        <f>J341*I341</f>
        <v/>
      </c>
      <c r="F341" s="41" t="n"/>
      <c r="G341" s="42" t="n"/>
      <c r="H341" s="20" t="n"/>
      <c r="I341" s="20" t="n"/>
      <c r="J341" s="20" t="n"/>
    </row>
    <row r="342" ht="16.5" customFormat="1" customHeight="1" s="12">
      <c r="A342" s="17" t="n">
        <v>337</v>
      </c>
      <c r="B342" s="25" t="n"/>
      <c r="C342" s="141">
        <f>H342*I342</f>
        <v/>
      </c>
      <c r="D342" s="41" t="n"/>
      <c r="E342" s="41">
        <f>J342*I342</f>
        <v/>
      </c>
      <c r="F342" s="41" t="n"/>
      <c r="G342" s="42" t="n"/>
      <c r="H342" s="20" t="n"/>
      <c r="I342" s="20" t="n"/>
      <c r="J342" s="20" t="n"/>
    </row>
    <row r="343" ht="16.5" customFormat="1" customHeight="1" s="12">
      <c r="A343" s="17" t="n">
        <v>338</v>
      </c>
      <c r="B343" s="25" t="n"/>
      <c r="C343" s="141">
        <f>H343*I343</f>
        <v/>
      </c>
      <c r="D343" s="41" t="n"/>
      <c r="E343" s="41">
        <f>J343*I343</f>
        <v/>
      </c>
      <c r="F343" s="41" t="n"/>
      <c r="G343" s="42" t="n"/>
      <c r="H343" s="20" t="n"/>
      <c r="I343" s="20" t="n"/>
      <c r="J343" s="20" t="n"/>
    </row>
    <row r="344" ht="16.5" customFormat="1" customHeight="1" s="12">
      <c r="A344" s="17" t="n">
        <v>339</v>
      </c>
      <c r="B344" s="25" t="n"/>
      <c r="C344" s="141">
        <f>H344*I344</f>
        <v/>
      </c>
      <c r="D344" s="41" t="n"/>
      <c r="E344" s="41">
        <f>J344*I344</f>
        <v/>
      </c>
      <c r="F344" s="41" t="n"/>
      <c r="G344" s="42" t="n"/>
      <c r="H344" s="20" t="n"/>
      <c r="I344" s="20" t="n"/>
      <c r="J344" s="20" t="n"/>
    </row>
    <row r="345" ht="16.5" customFormat="1" customHeight="1" s="12">
      <c r="A345" s="17" t="n">
        <v>340</v>
      </c>
      <c r="B345" s="25" t="n"/>
      <c r="C345" s="141">
        <f>H345*I345</f>
        <v/>
      </c>
      <c r="D345" s="41" t="n"/>
      <c r="E345" s="41">
        <f>J345*I345</f>
        <v/>
      </c>
      <c r="F345" s="41" t="n"/>
      <c r="G345" s="42" t="n"/>
      <c r="H345" s="20" t="n"/>
      <c r="I345" s="20" t="n"/>
      <c r="J345" s="20" t="n"/>
    </row>
    <row r="346" ht="16.5" customFormat="1" customHeight="1" s="12">
      <c r="A346" s="17" t="n">
        <v>341</v>
      </c>
      <c r="B346" s="25" t="n"/>
      <c r="C346" s="141">
        <f>H346*I346</f>
        <v/>
      </c>
      <c r="D346" s="41" t="n"/>
      <c r="E346" s="41">
        <f>J346*I346</f>
        <v/>
      </c>
      <c r="F346" s="41" t="n"/>
      <c r="G346" s="42" t="n"/>
      <c r="H346" s="20" t="n"/>
      <c r="I346" s="20" t="n"/>
      <c r="J346" s="20" t="n"/>
    </row>
    <row r="347" ht="16.5" customFormat="1" customHeight="1" s="12">
      <c r="A347" s="17" t="n">
        <v>342</v>
      </c>
      <c r="B347" s="25" t="n"/>
      <c r="C347" s="141">
        <f>H347*I347</f>
        <v/>
      </c>
      <c r="D347" s="41" t="n"/>
      <c r="E347" s="41">
        <f>J347*I347</f>
        <v/>
      </c>
      <c r="F347" s="41" t="n"/>
      <c r="G347" s="42" t="n"/>
      <c r="H347" s="20" t="n"/>
      <c r="I347" s="20" t="n"/>
      <c r="J347" s="20" t="n"/>
    </row>
    <row r="348" ht="16.5" customFormat="1" customHeight="1" s="12">
      <c r="A348" s="17" t="n">
        <v>343</v>
      </c>
      <c r="B348" s="25" t="n"/>
      <c r="C348" s="141">
        <f>H348*I348</f>
        <v/>
      </c>
      <c r="D348" s="41" t="n"/>
      <c r="E348" s="41">
        <f>J348*I348</f>
        <v/>
      </c>
      <c r="F348" s="41" t="n"/>
      <c r="G348" s="42" t="n"/>
      <c r="H348" s="20" t="n"/>
      <c r="I348" s="20" t="n"/>
      <c r="J348" s="20" t="n"/>
    </row>
    <row r="349" ht="16.5" customFormat="1" customHeight="1" s="12">
      <c r="A349" s="17" t="n">
        <v>344</v>
      </c>
      <c r="B349" s="25" t="n"/>
      <c r="C349" s="141">
        <f>H349*I349</f>
        <v/>
      </c>
      <c r="D349" s="41" t="n"/>
      <c r="E349" s="41">
        <f>J349*I349</f>
        <v/>
      </c>
      <c r="F349" s="41" t="n"/>
      <c r="G349" s="42" t="n"/>
      <c r="H349" s="20" t="n"/>
      <c r="I349" s="20" t="n"/>
      <c r="J349" s="20" t="n"/>
    </row>
    <row r="350" ht="16.5" customFormat="1" customHeight="1" s="12">
      <c r="A350" s="17" t="n">
        <v>345</v>
      </c>
      <c r="B350" s="25" t="n"/>
      <c r="C350" s="141">
        <f>H350*I350</f>
        <v/>
      </c>
      <c r="D350" s="41" t="n"/>
      <c r="E350" s="41">
        <f>J350*I350</f>
        <v/>
      </c>
      <c r="F350" s="41" t="n"/>
      <c r="G350" s="42" t="n"/>
      <c r="H350" s="20" t="n"/>
      <c r="I350" s="20" t="n"/>
      <c r="J350" s="20" t="n"/>
    </row>
    <row r="351" ht="16.5" customFormat="1" customHeight="1" s="12">
      <c r="A351" s="17" t="n">
        <v>346</v>
      </c>
      <c r="B351" s="25" t="n"/>
      <c r="C351" s="141">
        <f>H351*I351</f>
        <v/>
      </c>
      <c r="D351" s="41" t="n"/>
      <c r="E351" s="41">
        <f>J351*I351</f>
        <v/>
      </c>
      <c r="F351" s="41" t="n"/>
      <c r="G351" s="42" t="n"/>
      <c r="H351" s="20" t="n"/>
      <c r="I351" s="20" t="n"/>
      <c r="J351" s="20" t="n"/>
    </row>
    <row r="352" ht="16.5" customFormat="1" customHeight="1" s="12">
      <c r="A352" s="17" t="n">
        <v>347</v>
      </c>
      <c r="B352" s="25" t="n"/>
      <c r="C352" s="141">
        <f>H352*I352</f>
        <v/>
      </c>
      <c r="D352" s="41" t="n"/>
      <c r="E352" s="41">
        <f>J352*I352</f>
        <v/>
      </c>
      <c r="F352" s="41" t="n"/>
      <c r="G352" s="42" t="n"/>
      <c r="H352" s="20" t="n"/>
      <c r="I352" s="20" t="n"/>
      <c r="J352" s="20" t="n"/>
    </row>
    <row r="353" ht="16.5" customFormat="1" customHeight="1" s="12">
      <c r="A353" s="17" t="n">
        <v>348</v>
      </c>
      <c r="B353" s="25" t="n"/>
      <c r="C353" s="141">
        <f>H353*I353</f>
        <v/>
      </c>
      <c r="D353" s="41" t="n"/>
      <c r="E353" s="41">
        <f>J353*I353</f>
        <v/>
      </c>
      <c r="F353" s="41" t="n"/>
      <c r="G353" s="42" t="n"/>
      <c r="H353" s="20" t="n"/>
      <c r="I353" s="20" t="n"/>
      <c r="J353" s="20" t="n"/>
    </row>
    <row r="354" ht="16.5" customFormat="1" customHeight="1" s="12">
      <c r="A354" s="17" t="n">
        <v>349</v>
      </c>
      <c r="B354" s="25" t="n"/>
      <c r="C354" s="141">
        <f>H354*I354</f>
        <v/>
      </c>
      <c r="D354" s="41" t="n"/>
      <c r="E354" s="41">
        <f>J354*I354</f>
        <v/>
      </c>
      <c r="F354" s="41" t="n"/>
      <c r="G354" s="42" t="n"/>
      <c r="H354" s="20" t="n"/>
      <c r="I354" s="20" t="n"/>
      <c r="J354" s="20" t="n"/>
    </row>
    <row r="355" ht="16.5" customFormat="1" customHeight="1" s="12">
      <c r="A355" s="17" t="n">
        <v>350</v>
      </c>
      <c r="B355" s="25" t="n"/>
      <c r="C355" s="141">
        <f>H355*I355</f>
        <v/>
      </c>
      <c r="D355" s="41" t="n"/>
      <c r="E355" s="41">
        <f>J355*I355</f>
        <v/>
      </c>
      <c r="F355" s="41" t="n"/>
      <c r="G355" s="42" t="n"/>
      <c r="H355" s="20" t="n"/>
      <c r="I355" s="20" t="n"/>
      <c r="J355" s="20" t="n"/>
    </row>
    <row r="356" ht="16.5" customFormat="1" customHeight="1" s="12">
      <c r="A356" s="17" t="n">
        <v>351</v>
      </c>
      <c r="B356" s="25" t="n"/>
      <c r="C356" s="141">
        <f>H356*I356</f>
        <v/>
      </c>
      <c r="D356" s="41" t="n"/>
      <c r="E356" s="41">
        <f>J356*I356</f>
        <v/>
      </c>
      <c r="F356" s="41" t="n"/>
      <c r="G356" s="42" t="n"/>
      <c r="H356" s="20" t="n"/>
      <c r="I356" s="20" t="n"/>
      <c r="J356" s="20" t="n"/>
    </row>
    <row r="357" ht="16.5" customFormat="1" customHeight="1" s="12">
      <c r="A357" s="17" t="n">
        <v>352</v>
      </c>
      <c r="B357" s="25" t="n"/>
      <c r="C357" s="141">
        <f>H357*I357</f>
        <v/>
      </c>
      <c r="D357" s="41" t="n"/>
      <c r="E357" s="41">
        <f>J357*I357</f>
        <v/>
      </c>
      <c r="F357" s="41" t="n"/>
      <c r="G357" s="42" t="n"/>
      <c r="H357" s="20" t="n"/>
      <c r="I357" s="20" t="n"/>
      <c r="J357" s="20" t="n"/>
    </row>
    <row r="358" ht="16.5" customFormat="1" customHeight="1" s="12">
      <c r="A358" s="17" t="n">
        <v>353</v>
      </c>
      <c r="B358" s="25" t="n"/>
      <c r="C358" s="141">
        <f>H358*I358</f>
        <v/>
      </c>
      <c r="D358" s="41" t="n"/>
      <c r="E358" s="41">
        <f>J358*I358</f>
        <v/>
      </c>
      <c r="F358" s="41" t="n"/>
      <c r="G358" s="42" t="n"/>
      <c r="H358" s="20" t="n"/>
      <c r="I358" s="20" t="n"/>
      <c r="J358" s="20" t="n"/>
    </row>
    <row r="359" ht="16.5" customFormat="1" customHeight="1" s="12">
      <c r="A359" s="17" t="n">
        <v>354</v>
      </c>
      <c r="B359" s="25" t="n"/>
      <c r="C359" s="141">
        <f>H359*I359</f>
        <v/>
      </c>
      <c r="D359" s="41" t="n"/>
      <c r="E359" s="41">
        <f>J359*I359</f>
        <v/>
      </c>
      <c r="F359" s="41" t="n"/>
      <c r="G359" s="42" t="n"/>
      <c r="H359" s="20" t="n"/>
      <c r="I359" s="20" t="n"/>
      <c r="J359" s="20" t="n"/>
    </row>
    <row r="360" ht="16.5" customFormat="1" customHeight="1" s="12">
      <c r="A360" s="17" t="n">
        <v>355</v>
      </c>
      <c r="B360" s="25" t="n"/>
      <c r="C360" s="141">
        <f>H360*I360</f>
        <v/>
      </c>
      <c r="D360" s="41" t="n"/>
      <c r="E360" s="41">
        <f>J360*I360</f>
        <v/>
      </c>
      <c r="F360" s="41" t="n"/>
      <c r="G360" s="42" t="n"/>
      <c r="H360" s="20" t="n"/>
      <c r="I360" s="20" t="n"/>
      <c r="J360" s="20" t="n"/>
    </row>
    <row r="361" ht="16.5" customFormat="1" customHeight="1" s="12">
      <c r="A361" s="17" t="n">
        <v>356</v>
      </c>
      <c r="B361" s="25" t="n"/>
      <c r="C361" s="141">
        <f>H361*I361</f>
        <v/>
      </c>
      <c r="D361" s="41" t="n"/>
      <c r="E361" s="41">
        <f>J361*I361</f>
        <v/>
      </c>
      <c r="F361" s="41" t="n"/>
      <c r="G361" s="42" t="n"/>
      <c r="H361" s="20" t="n"/>
      <c r="I361" s="20" t="n"/>
      <c r="J361" s="20" t="n"/>
    </row>
    <row r="362" ht="16.5" customFormat="1" customHeight="1" s="12">
      <c r="A362" s="17" t="n">
        <v>357</v>
      </c>
      <c r="B362" s="25" t="n"/>
      <c r="C362" s="141">
        <f>H362*I362</f>
        <v/>
      </c>
      <c r="D362" s="41" t="n"/>
      <c r="E362" s="41">
        <f>J362*I362</f>
        <v/>
      </c>
      <c r="F362" s="41" t="n"/>
      <c r="G362" s="42" t="n"/>
      <c r="H362" s="20" t="n"/>
      <c r="I362" s="20" t="n"/>
      <c r="J362" s="20" t="n"/>
    </row>
    <row r="363" ht="16.5" customFormat="1" customHeight="1" s="12">
      <c r="A363" s="17" t="n">
        <v>358</v>
      </c>
      <c r="B363" s="25" t="n"/>
      <c r="C363" s="141">
        <f>H363*I363</f>
        <v/>
      </c>
      <c r="D363" s="41" t="n"/>
      <c r="E363" s="41">
        <f>J363*I363</f>
        <v/>
      </c>
      <c r="F363" s="41" t="n"/>
      <c r="G363" s="42" t="n"/>
      <c r="H363" s="20" t="n"/>
      <c r="I363" s="20" t="n"/>
      <c r="J363" s="20" t="n"/>
    </row>
    <row r="364" ht="16.5" customFormat="1" customHeight="1" s="12">
      <c r="A364" s="17" t="n">
        <v>359</v>
      </c>
      <c r="B364" s="25" t="n"/>
      <c r="C364" s="141">
        <f>H364*I364</f>
        <v/>
      </c>
      <c r="D364" s="41" t="n"/>
      <c r="E364" s="41">
        <f>J364*I364</f>
        <v/>
      </c>
      <c r="F364" s="41" t="n"/>
      <c r="G364" s="42" t="n"/>
      <c r="H364" s="20" t="n"/>
      <c r="I364" s="20" t="n"/>
      <c r="J364" s="20" t="n"/>
    </row>
    <row r="365" ht="16.5" customFormat="1" customHeight="1" s="12">
      <c r="A365" s="17" t="n">
        <v>360</v>
      </c>
      <c r="B365" s="25" t="n"/>
      <c r="C365" s="141">
        <f>H365*I365</f>
        <v/>
      </c>
      <c r="D365" s="41" t="n"/>
      <c r="E365" s="41">
        <f>J365*I365</f>
        <v/>
      </c>
      <c r="F365" s="41" t="n"/>
      <c r="G365" s="42" t="n"/>
      <c r="H365" s="20" t="n"/>
      <c r="I365" s="20" t="n"/>
      <c r="J365" s="20" t="n"/>
    </row>
    <row r="366" ht="16.5" customFormat="1" customHeight="1" s="12">
      <c r="A366" s="17" t="n">
        <v>361</v>
      </c>
      <c r="B366" s="25" t="n"/>
      <c r="C366" s="141">
        <f>H366*I366</f>
        <v/>
      </c>
      <c r="D366" s="41" t="n"/>
      <c r="E366" s="41">
        <f>J366*I366</f>
        <v/>
      </c>
      <c r="F366" s="41" t="n"/>
      <c r="G366" s="42" t="n"/>
      <c r="H366" s="20" t="n"/>
      <c r="I366" s="20" t="n"/>
      <c r="J366" s="20" t="n"/>
    </row>
    <row r="367" ht="16.5" customFormat="1" customHeight="1" s="12">
      <c r="A367" s="17" t="n">
        <v>362</v>
      </c>
      <c r="B367" s="25" t="n"/>
      <c r="C367" s="141">
        <f>H367*I367</f>
        <v/>
      </c>
      <c r="D367" s="41" t="n"/>
      <c r="E367" s="41">
        <f>J367*I367</f>
        <v/>
      </c>
      <c r="F367" s="41" t="n"/>
      <c r="G367" s="42" t="n"/>
      <c r="H367" s="20" t="n"/>
      <c r="I367" s="20" t="n"/>
      <c r="J367" s="20" t="n"/>
    </row>
    <row r="368" ht="16.5" customFormat="1" customHeight="1" s="12">
      <c r="A368" s="17" t="n">
        <v>363</v>
      </c>
      <c r="B368" s="25" t="n"/>
      <c r="C368" s="141">
        <f>H368*I368</f>
        <v/>
      </c>
      <c r="D368" s="41" t="n"/>
      <c r="E368" s="41">
        <f>J368*I368</f>
        <v/>
      </c>
      <c r="F368" s="41" t="n"/>
      <c r="G368" s="42" t="n"/>
      <c r="H368" s="20" t="n"/>
      <c r="I368" s="20" t="n"/>
      <c r="J368" s="20" t="n"/>
    </row>
    <row r="369" ht="16.5" customFormat="1" customHeight="1" s="12">
      <c r="A369" s="17" t="n">
        <v>364</v>
      </c>
      <c r="B369" s="25" t="n"/>
      <c r="C369" s="141">
        <f>H369*I369</f>
        <v/>
      </c>
      <c r="D369" s="41" t="n"/>
      <c r="E369" s="41">
        <f>J369*I369</f>
        <v/>
      </c>
      <c r="F369" s="41" t="n"/>
      <c r="G369" s="42" t="n"/>
      <c r="H369" s="20" t="n"/>
      <c r="I369" s="20" t="n"/>
      <c r="J369" s="20" t="n"/>
    </row>
    <row r="370" ht="16.5" customFormat="1" customHeight="1" s="12">
      <c r="A370" s="17" t="n">
        <v>365</v>
      </c>
      <c r="B370" s="25" t="n"/>
      <c r="C370" s="141">
        <f>H370*I370</f>
        <v/>
      </c>
      <c r="D370" s="41" t="n"/>
      <c r="E370" s="41">
        <f>J370*I370</f>
        <v/>
      </c>
      <c r="F370" s="41" t="n"/>
      <c r="G370" s="42" t="n"/>
      <c r="H370" s="20" t="n"/>
      <c r="I370" s="20" t="n"/>
      <c r="J370" s="20" t="n"/>
    </row>
    <row r="371" ht="16.5" customFormat="1" customHeight="1" s="12">
      <c r="A371" s="17" t="n">
        <v>366</v>
      </c>
      <c r="B371" s="25" t="n"/>
      <c r="C371" s="141">
        <f>H371*I371</f>
        <v/>
      </c>
      <c r="D371" s="41" t="n"/>
      <c r="E371" s="41">
        <f>J371*I371</f>
        <v/>
      </c>
      <c r="F371" s="41" t="n"/>
      <c r="G371" s="42" t="n"/>
      <c r="H371" s="20" t="n"/>
      <c r="I371" s="20" t="n"/>
      <c r="J371" s="20" t="n"/>
    </row>
    <row r="372" ht="16.5" customFormat="1" customHeight="1" s="12">
      <c r="A372" s="17" t="n">
        <v>367</v>
      </c>
      <c r="B372" s="25" t="n"/>
      <c r="C372" s="141">
        <f>H372*I372</f>
        <v/>
      </c>
      <c r="D372" s="41" t="n"/>
      <c r="E372" s="41">
        <f>J372*I372</f>
        <v/>
      </c>
      <c r="F372" s="41" t="n"/>
      <c r="G372" s="42" t="n"/>
      <c r="H372" s="20" t="n"/>
      <c r="I372" s="20" t="n"/>
      <c r="J372" s="20" t="n"/>
    </row>
    <row r="373" ht="16.5" customFormat="1" customHeight="1" s="12">
      <c r="A373" s="17" t="n">
        <v>368</v>
      </c>
      <c r="B373" s="25" t="n"/>
      <c r="C373" s="141">
        <f>H373*I373</f>
        <v/>
      </c>
      <c r="D373" s="41" t="n"/>
      <c r="E373" s="41">
        <f>J373*I373</f>
        <v/>
      </c>
      <c r="F373" s="41" t="n"/>
      <c r="G373" s="42" t="n"/>
      <c r="H373" s="20" t="n"/>
      <c r="I373" s="20" t="n"/>
      <c r="J373" s="20" t="n"/>
    </row>
    <row r="374" ht="16.5" customFormat="1" customHeight="1" s="12">
      <c r="A374" s="17" t="n">
        <v>369</v>
      </c>
      <c r="B374" s="25" t="n"/>
      <c r="C374" s="141">
        <f>H374*I374</f>
        <v/>
      </c>
      <c r="D374" s="41" t="n"/>
      <c r="E374" s="41">
        <f>J374*I374</f>
        <v/>
      </c>
      <c r="F374" s="41" t="n"/>
      <c r="G374" s="42" t="n"/>
      <c r="H374" s="20" t="n"/>
      <c r="I374" s="20" t="n"/>
      <c r="J374" s="20" t="n"/>
    </row>
    <row r="375" ht="16.5" customFormat="1" customHeight="1" s="12">
      <c r="A375" s="17" t="n">
        <v>370</v>
      </c>
      <c r="B375" s="25" t="n"/>
      <c r="C375" s="141">
        <f>H375*I375</f>
        <v/>
      </c>
      <c r="D375" s="41" t="n"/>
      <c r="E375" s="41">
        <f>J375*I375</f>
        <v/>
      </c>
      <c r="F375" s="41" t="n"/>
      <c r="G375" s="42" t="n"/>
      <c r="H375" s="20" t="n"/>
      <c r="I375" s="20" t="n"/>
      <c r="J375" s="20" t="n"/>
    </row>
    <row r="376" ht="16.5" customFormat="1" customHeight="1" s="12">
      <c r="A376" s="17" t="n">
        <v>371</v>
      </c>
      <c r="B376" s="25" t="n"/>
      <c r="C376" s="141">
        <f>H376*I376</f>
        <v/>
      </c>
      <c r="D376" s="41" t="n"/>
      <c r="E376" s="41">
        <f>J376*I376</f>
        <v/>
      </c>
      <c r="F376" s="41" t="n"/>
      <c r="G376" s="42" t="n"/>
      <c r="H376" s="20" t="n"/>
      <c r="I376" s="20" t="n"/>
      <c r="J376" s="20" t="n"/>
    </row>
    <row r="377" ht="16.5" customFormat="1" customHeight="1" s="12">
      <c r="A377" s="17" t="n">
        <v>372</v>
      </c>
      <c r="B377" s="25" t="n"/>
      <c r="C377" s="141">
        <f>H377*I377</f>
        <v/>
      </c>
      <c r="D377" s="41" t="n"/>
      <c r="E377" s="41">
        <f>J377*I377</f>
        <v/>
      </c>
      <c r="F377" s="41" t="n"/>
      <c r="G377" s="42" t="n"/>
      <c r="H377" s="20" t="n"/>
      <c r="I377" s="20" t="n"/>
      <c r="J377" s="20" t="n"/>
    </row>
    <row r="378" ht="16.5" customFormat="1" customHeight="1" s="12">
      <c r="A378" s="17" t="n">
        <v>373</v>
      </c>
      <c r="B378" s="25" t="n"/>
      <c r="C378" s="141">
        <f>H378*I378</f>
        <v/>
      </c>
      <c r="D378" s="41" t="n"/>
      <c r="E378" s="41">
        <f>J378*I378</f>
        <v/>
      </c>
      <c r="F378" s="41" t="n"/>
      <c r="G378" s="42" t="n"/>
      <c r="H378" s="20" t="n"/>
      <c r="I378" s="20" t="n"/>
      <c r="J378" s="20" t="n"/>
    </row>
    <row r="379" ht="16.5" customFormat="1" customHeight="1" s="12">
      <c r="A379" s="17" t="n">
        <v>374</v>
      </c>
      <c r="B379" s="25" t="n"/>
      <c r="C379" s="141">
        <f>H379*I379</f>
        <v/>
      </c>
      <c r="D379" s="41" t="n"/>
      <c r="E379" s="41">
        <f>J379*I379</f>
        <v/>
      </c>
      <c r="F379" s="41" t="n"/>
      <c r="G379" s="42" t="n"/>
      <c r="H379" s="20" t="n"/>
      <c r="I379" s="20" t="n"/>
      <c r="J379" s="20" t="n"/>
    </row>
    <row r="380" ht="16.5" customFormat="1" customHeight="1" s="12">
      <c r="A380" s="17" t="n">
        <v>375</v>
      </c>
      <c r="B380" s="25" t="n"/>
      <c r="C380" s="141">
        <f>H380*I380</f>
        <v/>
      </c>
      <c r="D380" s="41" t="n"/>
      <c r="E380" s="41">
        <f>J380*I380</f>
        <v/>
      </c>
      <c r="F380" s="41" t="n"/>
      <c r="G380" s="42" t="n"/>
      <c r="H380" s="20" t="n"/>
      <c r="I380" s="20" t="n"/>
      <c r="J380" s="20" t="n"/>
    </row>
    <row r="381" ht="16.5" customFormat="1" customHeight="1" s="12">
      <c r="A381" s="17" t="n">
        <v>376</v>
      </c>
      <c r="B381" s="25" t="n"/>
      <c r="C381" s="141">
        <f>H381*I381</f>
        <v/>
      </c>
      <c r="D381" s="41" t="n"/>
      <c r="E381" s="41">
        <f>J381*I381</f>
        <v/>
      </c>
      <c r="F381" s="41" t="n"/>
      <c r="G381" s="42" t="n"/>
      <c r="H381" s="20" t="n"/>
      <c r="I381" s="20" t="n"/>
      <c r="J381" s="20" t="n"/>
    </row>
    <row r="382" ht="16.5" customFormat="1" customHeight="1" s="12">
      <c r="A382" s="17" t="n">
        <v>377</v>
      </c>
      <c r="B382" s="25" t="n"/>
      <c r="C382" s="141">
        <f>H382*I382</f>
        <v/>
      </c>
      <c r="D382" s="41" t="n"/>
      <c r="E382" s="41">
        <f>J382*I382</f>
        <v/>
      </c>
      <c r="F382" s="41" t="n"/>
      <c r="G382" s="42" t="n"/>
      <c r="H382" s="20" t="n"/>
      <c r="I382" s="20" t="n"/>
      <c r="J382" s="20" t="n"/>
    </row>
    <row r="383" ht="16.5" customFormat="1" customHeight="1" s="12">
      <c r="A383" s="17" t="n">
        <v>378</v>
      </c>
      <c r="B383" s="25" t="n"/>
      <c r="C383" s="141">
        <f>H383*I383</f>
        <v/>
      </c>
      <c r="D383" s="41" t="n"/>
      <c r="E383" s="41">
        <f>J383*I383</f>
        <v/>
      </c>
      <c r="F383" s="41" t="n"/>
      <c r="G383" s="42" t="n"/>
      <c r="H383" s="20" t="n"/>
      <c r="I383" s="20" t="n"/>
      <c r="J383" s="20" t="n"/>
    </row>
    <row r="384" ht="16.5" customFormat="1" customHeight="1" s="12">
      <c r="A384" s="17" t="n">
        <v>379</v>
      </c>
      <c r="B384" s="25" t="n"/>
      <c r="C384" s="141">
        <f>H384*I384</f>
        <v/>
      </c>
      <c r="D384" s="41" t="n"/>
      <c r="E384" s="41">
        <f>J384*I384</f>
        <v/>
      </c>
      <c r="F384" s="41" t="n"/>
      <c r="G384" s="42" t="n"/>
      <c r="H384" s="20" t="n"/>
      <c r="I384" s="20" t="n"/>
      <c r="J384" s="20" t="n"/>
    </row>
    <row r="385" ht="16.5" customFormat="1" customHeight="1" s="12">
      <c r="A385" s="17" t="n">
        <v>380</v>
      </c>
      <c r="B385" s="25" t="n"/>
      <c r="C385" s="141">
        <f>H385*I385</f>
        <v/>
      </c>
      <c r="D385" s="41" t="n"/>
      <c r="E385" s="41">
        <f>J385*I385</f>
        <v/>
      </c>
      <c r="F385" s="41" t="n"/>
      <c r="G385" s="42" t="n"/>
      <c r="H385" s="20" t="n"/>
      <c r="I385" s="20" t="n"/>
      <c r="J385" s="20" t="n"/>
    </row>
    <row r="386" ht="16.5" customFormat="1" customHeight="1" s="12">
      <c r="A386" s="17" t="n">
        <v>381</v>
      </c>
      <c r="B386" s="25" t="n"/>
      <c r="C386" s="141">
        <f>H386*I386</f>
        <v/>
      </c>
      <c r="D386" s="41" t="n"/>
      <c r="E386" s="41">
        <f>J386*I386</f>
        <v/>
      </c>
      <c r="F386" s="41" t="n"/>
      <c r="G386" s="42" t="n"/>
      <c r="H386" s="20" t="n"/>
      <c r="I386" s="20" t="n"/>
      <c r="J386" s="20" t="n"/>
    </row>
    <row r="387" ht="16.5" customFormat="1" customHeight="1" s="12">
      <c r="A387" s="17" t="n">
        <v>382</v>
      </c>
      <c r="B387" s="25" t="n"/>
      <c r="C387" s="141">
        <f>H387*I387</f>
        <v/>
      </c>
      <c r="D387" s="41" t="n"/>
      <c r="E387" s="41">
        <f>J387*I387</f>
        <v/>
      </c>
      <c r="F387" s="41" t="n"/>
      <c r="G387" s="42" t="n"/>
      <c r="H387" s="20" t="n"/>
      <c r="I387" s="20" t="n"/>
      <c r="J387" s="20" t="n"/>
    </row>
    <row r="388" ht="16.5" customFormat="1" customHeight="1" s="12">
      <c r="A388" s="17" t="n">
        <v>383</v>
      </c>
      <c r="B388" s="25" t="n"/>
      <c r="C388" s="141">
        <f>H388*I388</f>
        <v/>
      </c>
      <c r="D388" s="41" t="n"/>
      <c r="E388" s="41">
        <f>J388*I388</f>
        <v/>
      </c>
      <c r="F388" s="41" t="n"/>
      <c r="G388" s="42" t="n"/>
      <c r="H388" s="20" t="n"/>
      <c r="I388" s="20" t="n"/>
      <c r="J388" s="20" t="n"/>
    </row>
    <row r="389" ht="16.5" customFormat="1" customHeight="1" s="12">
      <c r="A389" s="17" t="n">
        <v>384</v>
      </c>
      <c r="B389" s="25" t="n"/>
      <c r="C389" s="141">
        <f>H389*I389</f>
        <v/>
      </c>
      <c r="D389" s="41" t="n"/>
      <c r="E389" s="41">
        <f>J389*I389</f>
        <v/>
      </c>
      <c r="F389" s="41" t="n"/>
      <c r="G389" s="42" t="n"/>
      <c r="H389" s="20" t="n"/>
      <c r="I389" s="20" t="n"/>
      <c r="J389" s="20" t="n"/>
    </row>
    <row r="390" ht="16.5" customFormat="1" customHeight="1" s="12">
      <c r="A390" s="17" t="n">
        <v>385</v>
      </c>
      <c r="B390" s="25" t="n"/>
      <c r="C390" s="141">
        <f>H390*I390</f>
        <v/>
      </c>
      <c r="D390" s="41" t="n"/>
      <c r="E390" s="41">
        <f>J390*I390</f>
        <v/>
      </c>
      <c r="F390" s="41" t="n"/>
      <c r="G390" s="42" t="n"/>
      <c r="H390" s="20" t="n"/>
      <c r="I390" s="20" t="n"/>
      <c r="J390" s="20" t="n"/>
    </row>
    <row r="391" ht="16.5" customFormat="1" customHeight="1" s="12">
      <c r="A391" s="17" t="n">
        <v>386</v>
      </c>
      <c r="B391" s="25" t="n"/>
      <c r="C391" s="141">
        <f>H391*I391</f>
        <v/>
      </c>
      <c r="D391" s="41" t="n"/>
      <c r="E391" s="41">
        <f>J391*I391</f>
        <v/>
      </c>
      <c r="F391" s="41" t="n"/>
      <c r="G391" s="42" t="n"/>
      <c r="H391" s="20" t="n"/>
      <c r="I391" s="20" t="n"/>
      <c r="J391" s="20" t="n"/>
    </row>
    <row r="392" ht="16.5" customFormat="1" customHeight="1" s="12">
      <c r="A392" s="17" t="n">
        <v>387</v>
      </c>
      <c r="B392" s="25" t="n"/>
      <c r="C392" s="141">
        <f>H392*I392</f>
        <v/>
      </c>
      <c r="D392" s="41" t="n"/>
      <c r="E392" s="41">
        <f>J392*I392</f>
        <v/>
      </c>
      <c r="F392" s="41" t="n"/>
      <c r="G392" s="42" t="n"/>
      <c r="H392" s="20" t="n"/>
      <c r="I392" s="20" t="n"/>
      <c r="J392" s="20" t="n"/>
    </row>
    <row r="393" ht="16.5" customFormat="1" customHeight="1" s="12">
      <c r="A393" s="17" t="n">
        <v>388</v>
      </c>
      <c r="B393" s="25" t="n"/>
      <c r="C393" s="141">
        <f>H393*I393</f>
        <v/>
      </c>
      <c r="D393" s="41" t="n"/>
      <c r="E393" s="41">
        <f>J393*I393</f>
        <v/>
      </c>
      <c r="F393" s="41" t="n"/>
      <c r="G393" s="42" t="n"/>
      <c r="H393" s="20" t="n"/>
      <c r="I393" s="20" t="n"/>
      <c r="J393" s="20" t="n"/>
    </row>
    <row r="394" ht="16.5" customFormat="1" customHeight="1" s="12">
      <c r="A394" s="17" t="n">
        <v>389</v>
      </c>
      <c r="B394" s="25" t="n"/>
      <c r="C394" s="141">
        <f>H394*I394</f>
        <v/>
      </c>
      <c r="D394" s="41" t="n"/>
      <c r="E394" s="41">
        <f>J394*I394</f>
        <v/>
      </c>
      <c r="F394" s="41" t="n"/>
      <c r="G394" s="42" t="n"/>
      <c r="H394" s="20" t="n"/>
      <c r="I394" s="20" t="n"/>
      <c r="J394" s="20" t="n"/>
    </row>
    <row r="395" ht="16.5" customFormat="1" customHeight="1" s="12">
      <c r="A395" s="17" t="n">
        <v>390</v>
      </c>
      <c r="B395" s="25" t="n"/>
      <c r="C395" s="141">
        <f>H395*I395</f>
        <v/>
      </c>
      <c r="D395" s="41" t="n"/>
      <c r="E395" s="41">
        <f>J395*I395</f>
        <v/>
      </c>
      <c r="F395" s="41" t="n"/>
      <c r="G395" s="42" t="n"/>
      <c r="H395" s="20" t="n"/>
      <c r="I395" s="20" t="n"/>
      <c r="J395" s="20" t="n"/>
    </row>
    <row r="396" ht="16.5" customFormat="1" customHeight="1" s="12">
      <c r="A396" s="17" t="n">
        <v>391</v>
      </c>
      <c r="B396" s="25" t="n"/>
      <c r="C396" s="141">
        <f>H396*I396</f>
        <v/>
      </c>
      <c r="D396" s="41" t="n"/>
      <c r="E396" s="41">
        <f>J396*I396</f>
        <v/>
      </c>
      <c r="F396" s="41" t="n"/>
      <c r="G396" s="42" t="n"/>
      <c r="H396" s="20" t="n"/>
      <c r="I396" s="20" t="n"/>
      <c r="J396" s="20" t="n"/>
    </row>
    <row r="397" ht="16.5" customFormat="1" customHeight="1" s="12">
      <c r="A397" s="17" t="n">
        <v>392</v>
      </c>
      <c r="B397" s="25" t="n"/>
      <c r="C397" s="141">
        <f>H397*I397</f>
        <v/>
      </c>
      <c r="D397" s="41" t="n"/>
      <c r="E397" s="41">
        <f>J397*I397</f>
        <v/>
      </c>
      <c r="F397" s="41" t="n"/>
      <c r="G397" s="42" t="n"/>
      <c r="H397" s="20" t="n"/>
      <c r="I397" s="20" t="n"/>
      <c r="J397" s="20" t="n"/>
    </row>
    <row r="398" ht="16.5" customFormat="1" customHeight="1" s="12">
      <c r="A398" s="17" t="n">
        <v>393</v>
      </c>
      <c r="B398" s="25" t="n"/>
      <c r="C398" s="141">
        <f>H398*I398</f>
        <v/>
      </c>
      <c r="D398" s="41" t="n"/>
      <c r="E398" s="41">
        <f>J398*I398</f>
        <v/>
      </c>
      <c r="F398" s="41" t="n"/>
      <c r="G398" s="42" t="n"/>
      <c r="H398" s="20" t="n"/>
      <c r="I398" s="20" t="n"/>
      <c r="J398" s="20" t="n"/>
    </row>
    <row r="399" ht="16.5" customFormat="1" customHeight="1" s="12">
      <c r="A399" s="17" t="n">
        <v>394</v>
      </c>
      <c r="B399" s="25" t="n"/>
      <c r="C399" s="141">
        <f>H399*I399</f>
        <v/>
      </c>
      <c r="D399" s="41" t="n"/>
      <c r="E399" s="41">
        <f>J399*I399</f>
        <v/>
      </c>
      <c r="F399" s="41" t="n"/>
      <c r="G399" s="42" t="n"/>
      <c r="H399" s="20" t="n"/>
      <c r="I399" s="20" t="n"/>
      <c r="J399" s="20" t="n"/>
    </row>
    <row r="400" ht="16.5" customFormat="1" customHeight="1" s="12">
      <c r="A400" s="17" t="n">
        <v>395</v>
      </c>
      <c r="B400" s="25" t="n"/>
      <c r="C400" s="141">
        <f>H400*I400</f>
        <v/>
      </c>
      <c r="D400" s="41" t="n"/>
      <c r="E400" s="41">
        <f>J400*I400</f>
        <v/>
      </c>
      <c r="F400" s="41" t="n"/>
      <c r="G400" s="42" t="n"/>
      <c r="H400" s="20" t="n"/>
      <c r="I400" s="20" t="n"/>
      <c r="J400" s="20" t="n"/>
    </row>
    <row r="401" ht="16.5" customFormat="1" customHeight="1" s="12">
      <c r="A401" s="17" t="n">
        <v>396</v>
      </c>
      <c r="B401" s="25" t="n"/>
      <c r="C401" s="141">
        <f>H401*I401</f>
        <v/>
      </c>
      <c r="D401" s="41" t="n"/>
      <c r="E401" s="41">
        <f>J401*I401</f>
        <v/>
      </c>
      <c r="F401" s="41" t="n"/>
      <c r="G401" s="42" t="n"/>
      <c r="H401" s="20" t="n"/>
      <c r="I401" s="20" t="n"/>
      <c r="J401" s="20" t="n"/>
    </row>
    <row r="402" ht="16.5" customFormat="1" customHeight="1" s="12">
      <c r="A402" s="17" t="n">
        <v>397</v>
      </c>
      <c r="B402" s="25" t="n"/>
      <c r="C402" s="141">
        <f>H402*I402</f>
        <v/>
      </c>
      <c r="D402" s="41" t="n"/>
      <c r="E402" s="41">
        <f>J402*I402</f>
        <v/>
      </c>
      <c r="F402" s="41" t="n"/>
      <c r="G402" s="42" t="n"/>
      <c r="H402" s="20" t="n"/>
      <c r="I402" s="20" t="n"/>
      <c r="J402" s="20" t="n"/>
    </row>
    <row r="403" ht="16.5" customFormat="1" customHeight="1" s="12">
      <c r="A403" s="17" t="n">
        <v>398</v>
      </c>
      <c r="B403" s="25" t="n"/>
      <c r="C403" s="141">
        <f>H403*I403</f>
        <v/>
      </c>
      <c r="D403" s="41" t="n"/>
      <c r="E403" s="41">
        <f>J403*I403</f>
        <v/>
      </c>
      <c r="F403" s="41" t="n"/>
      <c r="G403" s="42" t="n"/>
      <c r="H403" s="20" t="n"/>
      <c r="I403" s="20" t="n"/>
      <c r="J403" s="20" t="n"/>
    </row>
    <row r="404" ht="16.5" customFormat="1" customHeight="1" s="12">
      <c r="A404" s="17" t="n">
        <v>399</v>
      </c>
      <c r="B404" s="25" t="n"/>
      <c r="C404" s="141">
        <f>H404*I404</f>
        <v/>
      </c>
      <c r="D404" s="41" t="n"/>
      <c r="E404" s="41">
        <f>J404*I404</f>
        <v/>
      </c>
      <c r="F404" s="41" t="n"/>
      <c r="G404" s="42" t="n"/>
      <c r="H404" s="20" t="n"/>
      <c r="I404" s="20" t="n"/>
      <c r="J404" s="20" t="n"/>
    </row>
    <row r="405" ht="16.5" customFormat="1" customHeight="1" s="12">
      <c r="A405" s="17" t="n">
        <v>400</v>
      </c>
      <c r="B405" s="25" t="n"/>
      <c r="C405" s="141">
        <f>H405*I405</f>
        <v/>
      </c>
      <c r="D405" s="41" t="n"/>
      <c r="E405" s="41">
        <f>J405*I405</f>
        <v/>
      </c>
      <c r="F405" s="41" t="n"/>
      <c r="G405" s="42" t="n"/>
      <c r="H405" s="20" t="n"/>
      <c r="I405" s="20" t="n"/>
      <c r="J405" s="20" t="n"/>
    </row>
    <row r="406" ht="16.5" customFormat="1" customHeight="1" s="12">
      <c r="A406" s="17" t="n">
        <v>401</v>
      </c>
      <c r="B406" s="25" t="n"/>
      <c r="C406" s="141">
        <f>H406*I406</f>
        <v/>
      </c>
      <c r="D406" s="41" t="n"/>
      <c r="E406" s="41">
        <f>J406*I406</f>
        <v/>
      </c>
      <c r="F406" s="41" t="n"/>
      <c r="G406" s="42" t="n"/>
      <c r="H406" s="20" t="n"/>
      <c r="I406" s="20" t="n"/>
      <c r="J406" s="20" t="n"/>
    </row>
    <row r="407" ht="16.5" customFormat="1" customHeight="1" s="12">
      <c r="A407" s="17" t="n">
        <v>402</v>
      </c>
      <c r="B407" s="25" t="n"/>
      <c r="C407" s="141">
        <f>H407*I407</f>
        <v/>
      </c>
      <c r="D407" s="41" t="n"/>
      <c r="E407" s="41">
        <f>J407*I407</f>
        <v/>
      </c>
      <c r="F407" s="41" t="n"/>
      <c r="G407" s="42" t="n"/>
      <c r="H407" s="20" t="n"/>
      <c r="I407" s="20" t="n"/>
      <c r="J407" s="20" t="n"/>
    </row>
    <row r="408" ht="16.5" customFormat="1" customHeight="1" s="12">
      <c r="A408" s="17" t="n">
        <v>403</v>
      </c>
      <c r="B408" s="25" t="n"/>
      <c r="C408" s="141">
        <f>H408*I408</f>
        <v/>
      </c>
      <c r="D408" s="41" t="n"/>
      <c r="E408" s="41">
        <f>J408*I408</f>
        <v/>
      </c>
      <c r="F408" s="41" t="n"/>
      <c r="G408" s="42" t="n"/>
      <c r="H408" s="20" t="n"/>
      <c r="I408" s="20" t="n"/>
      <c r="J408" s="20" t="n"/>
    </row>
    <row r="409" ht="16.5" customFormat="1" customHeight="1" s="12">
      <c r="A409" s="17" t="n">
        <v>404</v>
      </c>
      <c r="B409" s="25" t="n"/>
      <c r="C409" s="141">
        <f>H409*I409</f>
        <v/>
      </c>
      <c r="D409" s="41" t="n"/>
      <c r="E409" s="41">
        <f>J409*I409</f>
        <v/>
      </c>
      <c r="F409" s="41" t="n"/>
      <c r="G409" s="42" t="n"/>
      <c r="H409" s="20" t="n"/>
      <c r="I409" s="20" t="n"/>
      <c r="J409" s="20" t="n"/>
    </row>
    <row r="410" ht="16.5" customFormat="1" customHeight="1" s="12">
      <c r="A410" s="17" t="n">
        <v>405</v>
      </c>
      <c r="B410" s="25" t="n"/>
      <c r="C410" s="141">
        <f>H410*I410</f>
        <v/>
      </c>
      <c r="D410" s="41" t="n"/>
      <c r="E410" s="41">
        <f>J410*I410</f>
        <v/>
      </c>
      <c r="F410" s="41" t="n"/>
      <c r="G410" s="42" t="n"/>
      <c r="H410" s="20" t="n"/>
      <c r="I410" s="20" t="n"/>
      <c r="J410" s="20" t="n"/>
    </row>
    <row r="411" ht="16.5" customFormat="1" customHeight="1" s="12">
      <c r="A411" s="17" t="n">
        <v>406</v>
      </c>
      <c r="B411" s="25" t="n"/>
      <c r="C411" s="141">
        <f>H411*I411</f>
        <v/>
      </c>
      <c r="D411" s="41" t="n"/>
      <c r="E411" s="41">
        <f>J411*I411</f>
        <v/>
      </c>
      <c r="F411" s="41" t="n"/>
      <c r="G411" s="42" t="n"/>
      <c r="H411" s="20" t="n"/>
      <c r="I411" s="20" t="n"/>
      <c r="J411" s="20" t="n"/>
    </row>
    <row r="412" ht="16.5" customFormat="1" customHeight="1" s="12">
      <c r="A412" s="17" t="n">
        <v>407</v>
      </c>
      <c r="B412" s="25" t="n"/>
      <c r="C412" s="141">
        <f>H412*I412</f>
        <v/>
      </c>
      <c r="D412" s="41" t="n"/>
      <c r="E412" s="41">
        <f>J412*I412</f>
        <v/>
      </c>
      <c r="F412" s="41" t="n"/>
      <c r="G412" s="42" t="n"/>
      <c r="H412" s="20" t="n"/>
      <c r="I412" s="20" t="n"/>
      <c r="J412" s="20" t="n"/>
    </row>
    <row r="413" ht="16.5" customFormat="1" customHeight="1" s="12">
      <c r="A413" s="17" t="n">
        <v>408</v>
      </c>
      <c r="B413" s="25" t="n"/>
      <c r="C413" s="141">
        <f>H413*I413</f>
        <v/>
      </c>
      <c r="D413" s="41" t="n"/>
      <c r="E413" s="41">
        <f>J413*I413</f>
        <v/>
      </c>
      <c r="F413" s="41" t="n"/>
      <c r="G413" s="42" t="n"/>
      <c r="H413" s="20" t="n"/>
      <c r="I413" s="20" t="n"/>
      <c r="J413" s="20" t="n"/>
    </row>
    <row r="414" ht="16.5" customFormat="1" customHeight="1" s="12">
      <c r="A414" s="17" t="n">
        <v>409</v>
      </c>
      <c r="B414" s="25" t="n"/>
      <c r="C414" s="141">
        <f>H414*I414</f>
        <v/>
      </c>
      <c r="D414" s="41" t="n"/>
      <c r="E414" s="41">
        <f>J414*I414</f>
        <v/>
      </c>
      <c r="F414" s="41" t="n"/>
      <c r="G414" s="42" t="n"/>
      <c r="H414" s="20" t="n"/>
      <c r="I414" s="20" t="n"/>
      <c r="J414" s="20" t="n"/>
    </row>
    <row r="415" ht="16.5" customFormat="1" customHeight="1" s="12">
      <c r="A415" s="17" t="n">
        <v>410</v>
      </c>
      <c r="B415" s="25" t="n"/>
      <c r="C415" s="141">
        <f>H415*I415</f>
        <v/>
      </c>
      <c r="D415" s="41" t="n"/>
      <c r="E415" s="41">
        <f>J415*I415</f>
        <v/>
      </c>
      <c r="F415" s="41" t="n"/>
      <c r="G415" s="42" t="n"/>
      <c r="H415" s="20" t="n"/>
      <c r="I415" s="20" t="n"/>
      <c r="J415" s="20" t="n"/>
    </row>
    <row r="416" ht="16.5" customFormat="1" customHeight="1" s="12">
      <c r="A416" s="17" t="n">
        <v>411</v>
      </c>
      <c r="B416" s="25" t="n"/>
      <c r="C416" s="141">
        <f>H416*I416</f>
        <v/>
      </c>
      <c r="D416" s="41" t="n"/>
      <c r="E416" s="41">
        <f>J416*I416</f>
        <v/>
      </c>
      <c r="F416" s="41" t="n"/>
      <c r="G416" s="42" t="n"/>
      <c r="H416" s="20" t="n"/>
      <c r="I416" s="20" t="n"/>
      <c r="J416" s="20" t="n"/>
    </row>
    <row r="417" ht="16.5" customFormat="1" customHeight="1" s="12">
      <c r="A417" s="17" t="n">
        <v>412</v>
      </c>
      <c r="B417" s="25" t="n"/>
      <c r="C417" s="141">
        <f>H417*I417</f>
        <v/>
      </c>
      <c r="D417" s="41" t="n"/>
      <c r="E417" s="41">
        <f>J417*I417</f>
        <v/>
      </c>
      <c r="F417" s="41" t="n"/>
      <c r="G417" s="42" t="n"/>
      <c r="H417" s="20" t="n"/>
      <c r="I417" s="20" t="n"/>
      <c r="J417" s="20" t="n"/>
    </row>
    <row r="418" ht="16.5" customFormat="1" customHeight="1" s="12">
      <c r="A418" s="17" t="n">
        <v>413</v>
      </c>
      <c r="B418" s="25" t="n"/>
      <c r="C418" s="141">
        <f>H418*I418</f>
        <v/>
      </c>
      <c r="D418" s="41" t="n"/>
      <c r="E418" s="41">
        <f>J418*I418</f>
        <v/>
      </c>
      <c r="F418" s="41" t="n"/>
      <c r="G418" s="42" t="n"/>
      <c r="H418" s="20" t="n"/>
      <c r="I418" s="20" t="n"/>
      <c r="J418" s="20" t="n"/>
    </row>
    <row r="419" ht="16.5" customFormat="1" customHeight="1" s="12">
      <c r="A419" s="17" t="n">
        <v>414</v>
      </c>
      <c r="B419" s="25" t="n"/>
      <c r="C419" s="141">
        <f>H419*I419</f>
        <v/>
      </c>
      <c r="D419" s="41" t="n"/>
      <c r="E419" s="41">
        <f>J419*I419</f>
        <v/>
      </c>
      <c r="F419" s="41" t="n"/>
      <c r="G419" s="42" t="n"/>
      <c r="H419" s="20" t="n"/>
      <c r="I419" s="20" t="n"/>
      <c r="J419" s="20" t="n"/>
    </row>
    <row r="420" ht="16.5" customFormat="1" customHeight="1" s="12">
      <c r="A420" s="17" t="n">
        <v>415</v>
      </c>
      <c r="B420" s="25" t="n"/>
      <c r="C420" s="141">
        <f>H420*I420</f>
        <v/>
      </c>
      <c r="D420" s="41" t="n"/>
      <c r="E420" s="41">
        <f>J420*I420</f>
        <v/>
      </c>
      <c r="F420" s="41" t="n"/>
      <c r="G420" s="42" t="n"/>
      <c r="H420" s="20" t="n"/>
      <c r="I420" s="20" t="n"/>
      <c r="J420" s="20" t="n"/>
    </row>
    <row r="421" ht="16.5" customFormat="1" customHeight="1" s="12">
      <c r="A421" s="17" t="n">
        <v>416</v>
      </c>
      <c r="B421" s="25" t="n"/>
      <c r="C421" s="141">
        <f>H421*I421</f>
        <v/>
      </c>
      <c r="D421" s="41" t="n"/>
      <c r="E421" s="41">
        <f>J421*I421</f>
        <v/>
      </c>
      <c r="F421" s="41" t="n"/>
      <c r="G421" s="42" t="n"/>
      <c r="H421" s="20" t="n"/>
      <c r="I421" s="20" t="n"/>
      <c r="J421" s="20" t="n"/>
    </row>
    <row r="422" ht="16.5" customFormat="1" customHeight="1" s="12">
      <c r="A422" s="17" t="n">
        <v>417</v>
      </c>
      <c r="B422" s="25" t="n"/>
      <c r="C422" s="141">
        <f>H422*I422</f>
        <v/>
      </c>
      <c r="D422" s="41" t="n"/>
      <c r="E422" s="41">
        <f>J422*I422</f>
        <v/>
      </c>
      <c r="F422" s="41" t="n"/>
      <c r="G422" s="42" t="n"/>
      <c r="H422" s="20" t="n"/>
      <c r="I422" s="20" t="n"/>
      <c r="J422" s="20" t="n"/>
    </row>
    <row r="423" ht="16.5" customFormat="1" customHeight="1" s="12">
      <c r="A423" s="17" t="n">
        <v>418</v>
      </c>
      <c r="B423" s="25" t="n"/>
      <c r="C423" s="141">
        <f>H423*I423</f>
        <v/>
      </c>
      <c r="D423" s="41" t="n"/>
      <c r="E423" s="41">
        <f>J423*I423</f>
        <v/>
      </c>
      <c r="F423" s="41" t="n"/>
      <c r="G423" s="42" t="n"/>
      <c r="H423" s="20" t="n"/>
      <c r="I423" s="20" t="n"/>
      <c r="J423" s="20" t="n"/>
    </row>
    <row r="424" ht="16.5" customFormat="1" customHeight="1" s="12">
      <c r="A424" s="17" t="n">
        <v>419</v>
      </c>
      <c r="B424" s="25" t="n"/>
      <c r="C424" s="141">
        <f>H424*I424</f>
        <v/>
      </c>
      <c r="D424" s="41" t="n"/>
      <c r="E424" s="41">
        <f>J424*I424</f>
        <v/>
      </c>
      <c r="F424" s="41" t="n"/>
      <c r="G424" s="42" t="n"/>
      <c r="H424" s="20" t="n"/>
      <c r="I424" s="20" t="n"/>
      <c r="J424" s="20" t="n"/>
    </row>
    <row r="425" ht="16.5" customFormat="1" customHeight="1" s="12">
      <c r="A425" s="17" t="n">
        <v>420</v>
      </c>
      <c r="B425" s="25" t="n"/>
      <c r="C425" s="141">
        <f>H425*I425</f>
        <v/>
      </c>
      <c r="D425" s="41" t="n"/>
      <c r="E425" s="41">
        <f>J425*I425</f>
        <v/>
      </c>
      <c r="F425" s="41" t="n"/>
      <c r="G425" s="42" t="n"/>
      <c r="H425" s="20" t="n"/>
      <c r="I425" s="20" t="n"/>
      <c r="J425" s="20" t="n"/>
    </row>
    <row r="426" ht="16.5" customFormat="1" customHeight="1" s="12">
      <c r="A426" s="17" t="n">
        <v>421</v>
      </c>
      <c r="B426" s="25" t="n"/>
      <c r="C426" s="141">
        <f>H426*I426</f>
        <v/>
      </c>
      <c r="D426" s="41" t="n"/>
      <c r="E426" s="41">
        <f>J426*I426</f>
        <v/>
      </c>
      <c r="F426" s="41" t="n"/>
      <c r="G426" s="42" t="n"/>
      <c r="H426" s="20" t="n"/>
      <c r="I426" s="20" t="n"/>
      <c r="J426" s="20" t="n"/>
    </row>
    <row r="427" ht="16.5" customFormat="1" customHeight="1" s="12">
      <c r="A427" s="17" t="n">
        <v>422</v>
      </c>
      <c r="B427" s="25" t="n"/>
      <c r="C427" s="141">
        <f>H427*I427</f>
        <v/>
      </c>
      <c r="D427" s="41" t="n"/>
      <c r="E427" s="41">
        <f>J427*I427</f>
        <v/>
      </c>
      <c r="F427" s="41" t="n"/>
      <c r="G427" s="42" t="n"/>
      <c r="H427" s="20" t="n"/>
      <c r="I427" s="20" t="n"/>
      <c r="J427" s="20" t="n"/>
    </row>
    <row r="428" ht="16.5" customFormat="1" customHeight="1" s="12">
      <c r="A428" s="17" t="n">
        <v>423</v>
      </c>
      <c r="B428" s="25" t="n"/>
      <c r="C428" s="141">
        <f>H428*I428</f>
        <v/>
      </c>
      <c r="D428" s="41" t="n"/>
      <c r="E428" s="41">
        <f>J428*I428</f>
        <v/>
      </c>
      <c r="F428" s="41" t="n"/>
      <c r="G428" s="42" t="n"/>
      <c r="H428" s="20" t="n"/>
      <c r="I428" s="20" t="n"/>
      <c r="J428" s="20" t="n"/>
    </row>
    <row r="429" ht="16.5" customFormat="1" customHeight="1" s="12">
      <c r="A429" s="17" t="n">
        <v>424</v>
      </c>
      <c r="B429" s="25" t="n"/>
      <c r="C429" s="141">
        <f>H429*I429</f>
        <v/>
      </c>
      <c r="D429" s="41" t="n"/>
      <c r="E429" s="41">
        <f>J429*I429</f>
        <v/>
      </c>
      <c r="F429" s="41" t="n"/>
      <c r="G429" s="42" t="n"/>
      <c r="H429" s="20" t="n"/>
      <c r="I429" s="20" t="n"/>
      <c r="J429" s="20" t="n"/>
    </row>
    <row r="430" ht="16.5" customFormat="1" customHeight="1" s="12">
      <c r="A430" s="17" t="n">
        <v>425</v>
      </c>
      <c r="B430" s="25" t="n"/>
      <c r="C430" s="141">
        <f>H430*I430</f>
        <v/>
      </c>
      <c r="D430" s="41" t="n"/>
      <c r="E430" s="41">
        <f>J430*I430</f>
        <v/>
      </c>
      <c r="F430" s="41" t="n"/>
      <c r="G430" s="42" t="n"/>
      <c r="H430" s="20" t="n"/>
      <c r="I430" s="20" t="n"/>
      <c r="J430" s="20" t="n"/>
    </row>
    <row r="431" ht="16.5" customFormat="1" customHeight="1" s="12">
      <c r="A431" s="17" t="n">
        <v>426</v>
      </c>
      <c r="B431" s="25" t="n"/>
      <c r="C431" s="141">
        <f>H431*I431</f>
        <v/>
      </c>
      <c r="D431" s="41" t="n"/>
      <c r="E431" s="41">
        <f>J431*I431</f>
        <v/>
      </c>
      <c r="F431" s="41" t="n"/>
      <c r="G431" s="42" t="n"/>
      <c r="H431" s="20" t="n"/>
      <c r="I431" s="20" t="n"/>
      <c r="J431" s="20" t="n"/>
    </row>
    <row r="432" ht="16.5" customFormat="1" customHeight="1" s="12">
      <c r="A432" s="17" t="n">
        <v>427</v>
      </c>
      <c r="B432" s="25" t="n"/>
      <c r="C432" s="141">
        <f>H432*I432</f>
        <v/>
      </c>
      <c r="D432" s="41" t="n"/>
      <c r="E432" s="41">
        <f>J432*I432</f>
        <v/>
      </c>
      <c r="F432" s="41" t="n"/>
      <c r="G432" s="42" t="n"/>
      <c r="H432" s="20" t="n"/>
      <c r="I432" s="20" t="n"/>
      <c r="J432" s="20" t="n"/>
    </row>
    <row r="433" ht="16.5" customFormat="1" customHeight="1" s="12">
      <c r="A433" s="17" t="n">
        <v>428</v>
      </c>
      <c r="B433" s="25" t="n"/>
      <c r="C433" s="141">
        <f>H433*I433</f>
        <v/>
      </c>
      <c r="D433" s="41" t="n"/>
      <c r="E433" s="41">
        <f>J433*I433</f>
        <v/>
      </c>
      <c r="F433" s="41" t="n"/>
      <c r="G433" s="42" t="n"/>
      <c r="H433" s="20" t="n"/>
      <c r="I433" s="20" t="n"/>
      <c r="J433" s="20" t="n"/>
    </row>
    <row r="434" ht="16.5" customFormat="1" customHeight="1" s="12">
      <c r="A434" s="17" t="n">
        <v>429</v>
      </c>
      <c r="B434" s="25" t="n"/>
      <c r="C434" s="141">
        <f>H434*I434</f>
        <v/>
      </c>
      <c r="D434" s="41" t="n"/>
      <c r="E434" s="41">
        <f>J434*I434</f>
        <v/>
      </c>
      <c r="F434" s="41" t="n"/>
      <c r="G434" s="42" t="n"/>
      <c r="H434" s="20" t="n"/>
      <c r="I434" s="20" t="n"/>
      <c r="J434" s="20" t="n"/>
    </row>
    <row r="435" ht="16.5" customFormat="1" customHeight="1" s="12">
      <c r="A435" s="17" t="n">
        <v>430</v>
      </c>
      <c r="B435" s="25" t="n"/>
      <c r="C435" s="141">
        <f>H435*I435</f>
        <v/>
      </c>
      <c r="D435" s="41" t="n"/>
      <c r="E435" s="41">
        <f>J435*I435</f>
        <v/>
      </c>
      <c r="F435" s="41" t="n"/>
      <c r="G435" s="42" t="n"/>
      <c r="H435" s="20" t="n"/>
      <c r="I435" s="20" t="n"/>
      <c r="J435" s="20" t="n"/>
    </row>
    <row r="436" ht="16.5" customFormat="1" customHeight="1" s="12">
      <c r="A436" s="17" t="n">
        <v>431</v>
      </c>
      <c r="B436" s="25" t="n"/>
      <c r="C436" s="141">
        <f>H436*I436</f>
        <v/>
      </c>
      <c r="D436" s="41" t="n"/>
      <c r="E436" s="41">
        <f>J436*I436</f>
        <v/>
      </c>
      <c r="F436" s="41" t="n"/>
      <c r="G436" s="42" t="n"/>
      <c r="H436" s="20" t="n"/>
      <c r="I436" s="20" t="n"/>
      <c r="J436" s="20" t="n"/>
    </row>
    <row r="437" ht="16.5" customFormat="1" customHeight="1" s="12">
      <c r="A437" s="17" t="n">
        <v>432</v>
      </c>
      <c r="B437" s="25" t="n"/>
      <c r="C437" s="141">
        <f>H437*I437</f>
        <v/>
      </c>
      <c r="D437" s="41" t="n"/>
      <c r="E437" s="41">
        <f>J437*I437</f>
        <v/>
      </c>
      <c r="F437" s="41" t="n"/>
      <c r="G437" s="42" t="n"/>
      <c r="H437" s="20" t="n"/>
      <c r="I437" s="20" t="n"/>
      <c r="J437" s="20" t="n"/>
    </row>
    <row r="438" ht="16.5" customFormat="1" customHeight="1" s="12">
      <c r="A438" s="17" t="n">
        <v>433</v>
      </c>
      <c r="B438" s="25" t="n"/>
      <c r="C438" s="141">
        <f>H438*I438</f>
        <v/>
      </c>
      <c r="D438" s="41" t="n"/>
      <c r="E438" s="41">
        <f>J438*I438</f>
        <v/>
      </c>
      <c r="F438" s="41" t="n"/>
      <c r="G438" s="42" t="n"/>
      <c r="H438" s="20" t="n"/>
      <c r="I438" s="20" t="n"/>
      <c r="J438" s="20" t="n"/>
    </row>
    <row r="439" ht="16.5" customFormat="1" customHeight="1" s="12">
      <c r="A439" s="17" t="n">
        <v>434</v>
      </c>
      <c r="B439" s="25" t="n"/>
      <c r="C439" s="141">
        <f>H439*I439</f>
        <v/>
      </c>
      <c r="D439" s="41" t="n"/>
      <c r="E439" s="41">
        <f>J439*I439</f>
        <v/>
      </c>
      <c r="F439" s="41" t="n"/>
      <c r="G439" s="42" t="n"/>
      <c r="H439" s="20" t="n"/>
      <c r="I439" s="20" t="n"/>
      <c r="J439" s="20" t="n"/>
    </row>
    <row r="440" ht="16.5" customFormat="1" customHeight="1" s="12">
      <c r="A440" s="17" t="n">
        <v>435</v>
      </c>
      <c r="B440" s="25" t="n"/>
      <c r="C440" s="141">
        <f>H440*I440</f>
        <v/>
      </c>
      <c r="D440" s="41" t="n"/>
      <c r="E440" s="41">
        <f>J440*I440</f>
        <v/>
      </c>
      <c r="F440" s="41" t="n"/>
      <c r="G440" s="42" t="n"/>
      <c r="H440" s="20" t="n"/>
      <c r="I440" s="20" t="n"/>
      <c r="J440" s="20" t="n"/>
    </row>
    <row r="441" ht="16.5" customFormat="1" customHeight="1" s="12">
      <c r="A441" s="17" t="n">
        <v>436</v>
      </c>
      <c r="B441" s="25" t="n"/>
      <c r="C441" s="141">
        <f>H441*I441</f>
        <v/>
      </c>
      <c r="D441" s="41" t="n"/>
      <c r="E441" s="41">
        <f>J441*I441</f>
        <v/>
      </c>
      <c r="F441" s="41" t="n"/>
      <c r="G441" s="42" t="n"/>
      <c r="H441" s="20" t="n"/>
      <c r="I441" s="20" t="n"/>
      <c r="J441" s="20" t="n"/>
    </row>
    <row r="442" ht="16.5" customFormat="1" customHeight="1" s="12">
      <c r="A442" s="17" t="n">
        <v>437</v>
      </c>
      <c r="B442" s="25" t="n"/>
      <c r="C442" s="141">
        <f>H442*I442</f>
        <v/>
      </c>
      <c r="D442" s="41" t="n"/>
      <c r="E442" s="41">
        <f>J442*I442</f>
        <v/>
      </c>
      <c r="F442" s="41" t="n"/>
      <c r="G442" s="42" t="n"/>
      <c r="H442" s="20" t="n"/>
      <c r="I442" s="20" t="n"/>
      <c r="J442" s="20" t="n"/>
    </row>
    <row r="443" ht="16.5" customFormat="1" customHeight="1" s="12">
      <c r="A443" s="17" t="n">
        <v>438</v>
      </c>
      <c r="B443" s="25" t="n"/>
      <c r="C443" s="141">
        <f>H443*I443</f>
        <v/>
      </c>
      <c r="D443" s="41" t="n"/>
      <c r="E443" s="41">
        <f>J443*I443</f>
        <v/>
      </c>
      <c r="F443" s="41" t="n"/>
      <c r="G443" s="42" t="n"/>
      <c r="H443" s="20" t="n"/>
      <c r="I443" s="20" t="n"/>
      <c r="J443" s="20" t="n"/>
    </row>
    <row r="444" ht="16.5" customFormat="1" customHeight="1" s="12">
      <c r="A444" s="17" t="n">
        <v>439</v>
      </c>
      <c r="B444" s="25" t="n"/>
      <c r="C444" s="141">
        <f>H444*I444</f>
        <v/>
      </c>
      <c r="D444" s="41" t="n"/>
      <c r="E444" s="41">
        <f>J444*I444</f>
        <v/>
      </c>
      <c r="F444" s="41" t="n"/>
      <c r="G444" s="42" t="n"/>
      <c r="H444" s="20" t="n"/>
      <c r="I444" s="20" t="n"/>
      <c r="J444" s="20" t="n"/>
    </row>
    <row r="445" ht="16.5" customFormat="1" customHeight="1" s="12">
      <c r="A445" s="17" t="n">
        <v>440</v>
      </c>
      <c r="B445" s="25" t="n"/>
      <c r="C445" s="141">
        <f>H445*I445</f>
        <v/>
      </c>
      <c r="D445" s="41" t="n"/>
      <c r="E445" s="41">
        <f>J445*I445</f>
        <v/>
      </c>
      <c r="F445" s="41" t="n"/>
      <c r="G445" s="42" t="n"/>
      <c r="H445" s="20" t="n"/>
      <c r="I445" s="20" t="n"/>
      <c r="J445" s="20" t="n"/>
    </row>
    <row r="446" ht="16.5" customFormat="1" customHeight="1" s="12">
      <c r="A446" s="17" t="n">
        <v>441</v>
      </c>
      <c r="B446" s="25" t="n"/>
      <c r="C446" s="141">
        <f>H446*I446</f>
        <v/>
      </c>
      <c r="D446" s="41" t="n"/>
      <c r="E446" s="41">
        <f>J446*I446</f>
        <v/>
      </c>
      <c r="F446" s="41" t="n"/>
      <c r="G446" s="42" t="n"/>
      <c r="H446" s="20" t="n"/>
      <c r="I446" s="20" t="n"/>
      <c r="J446" s="20" t="n"/>
    </row>
    <row r="447" ht="16.5" customFormat="1" customHeight="1" s="12">
      <c r="A447" s="17" t="n">
        <v>442</v>
      </c>
      <c r="B447" s="25" t="n"/>
      <c r="C447" s="141">
        <f>H447*I447</f>
        <v/>
      </c>
      <c r="D447" s="41" t="n"/>
      <c r="E447" s="41">
        <f>J447*I447</f>
        <v/>
      </c>
      <c r="F447" s="41" t="n"/>
      <c r="G447" s="42" t="n"/>
      <c r="H447" s="20" t="n"/>
      <c r="I447" s="20" t="n"/>
      <c r="J447" s="20" t="n"/>
    </row>
    <row r="448" ht="16.5" customFormat="1" customHeight="1" s="12">
      <c r="A448" s="17" t="n">
        <v>443</v>
      </c>
      <c r="B448" s="25" t="n"/>
      <c r="C448" s="141">
        <f>H448*I448</f>
        <v/>
      </c>
      <c r="D448" s="41" t="n"/>
      <c r="E448" s="41">
        <f>J448*I448</f>
        <v/>
      </c>
      <c r="F448" s="41" t="n"/>
      <c r="G448" s="42" t="n"/>
      <c r="H448" s="20" t="n"/>
      <c r="I448" s="20" t="n"/>
      <c r="J448" s="20" t="n"/>
    </row>
    <row r="449" ht="16.5" customFormat="1" customHeight="1" s="12">
      <c r="A449" s="17" t="n">
        <v>444</v>
      </c>
      <c r="B449" s="25" t="n"/>
      <c r="C449" s="141">
        <f>H449*I449</f>
        <v/>
      </c>
      <c r="D449" s="41" t="n"/>
      <c r="E449" s="41">
        <f>J449*I449</f>
        <v/>
      </c>
      <c r="F449" s="41" t="n"/>
      <c r="G449" s="42" t="n"/>
      <c r="H449" s="20" t="n"/>
      <c r="I449" s="20" t="n"/>
      <c r="J449" s="20" t="n"/>
    </row>
    <row r="450" ht="16.5" customFormat="1" customHeight="1" s="12">
      <c r="A450" s="17" t="n">
        <v>445</v>
      </c>
      <c r="B450" s="25" t="n"/>
      <c r="C450" s="141">
        <f>H450*I450</f>
        <v/>
      </c>
      <c r="D450" s="41" t="n"/>
      <c r="E450" s="41">
        <f>J450*I450</f>
        <v/>
      </c>
      <c r="F450" s="41" t="n"/>
      <c r="G450" s="42" t="n"/>
      <c r="H450" s="20" t="n"/>
      <c r="I450" s="20" t="n"/>
      <c r="J450" s="20" t="n"/>
    </row>
    <row r="451" ht="16.5" customFormat="1" customHeight="1" s="12">
      <c r="A451" s="17" t="n">
        <v>446</v>
      </c>
      <c r="B451" s="25" t="n"/>
      <c r="C451" s="141">
        <f>H451*I451</f>
        <v/>
      </c>
      <c r="D451" s="41" t="n"/>
      <c r="E451" s="41">
        <f>J451*I451</f>
        <v/>
      </c>
      <c r="F451" s="41" t="n"/>
      <c r="G451" s="42" t="n"/>
      <c r="H451" s="20" t="n"/>
      <c r="I451" s="20" t="n"/>
      <c r="J451" s="20" t="n"/>
    </row>
    <row r="452" ht="16.5" customFormat="1" customHeight="1" s="12">
      <c r="A452" s="17" t="n">
        <v>447</v>
      </c>
      <c r="B452" s="25" t="n"/>
      <c r="C452" s="141">
        <f>H452*I452</f>
        <v/>
      </c>
      <c r="D452" s="41" t="n"/>
      <c r="E452" s="41">
        <f>J452*I452</f>
        <v/>
      </c>
      <c r="F452" s="41" t="n"/>
      <c r="G452" s="42" t="n"/>
      <c r="H452" s="20" t="n"/>
      <c r="I452" s="20" t="n"/>
      <c r="J452" s="20" t="n"/>
    </row>
    <row r="453" ht="16.5" customFormat="1" customHeight="1" s="12">
      <c r="A453" s="17" t="n">
        <v>448</v>
      </c>
      <c r="B453" s="25" t="n"/>
      <c r="C453" s="141">
        <f>H453*I453</f>
        <v/>
      </c>
      <c r="D453" s="41" t="n"/>
      <c r="E453" s="41">
        <f>J453*I453</f>
        <v/>
      </c>
      <c r="F453" s="41" t="n"/>
      <c r="G453" s="42" t="n"/>
      <c r="H453" s="20" t="n"/>
      <c r="I453" s="20" t="n"/>
      <c r="J453" s="20" t="n"/>
    </row>
    <row r="454" ht="16.5" customFormat="1" customHeight="1" s="12">
      <c r="A454" s="17" t="n">
        <v>449</v>
      </c>
      <c r="B454" s="25" t="n"/>
      <c r="C454" s="141">
        <f>H454*I454</f>
        <v/>
      </c>
      <c r="D454" s="41" t="n"/>
      <c r="E454" s="41">
        <f>J454*I454</f>
        <v/>
      </c>
      <c r="F454" s="41" t="n"/>
      <c r="G454" s="42" t="n"/>
      <c r="H454" s="20" t="n"/>
      <c r="I454" s="20" t="n"/>
      <c r="J454" s="20" t="n"/>
    </row>
    <row r="455" ht="16.5" customFormat="1" customHeight="1" s="12">
      <c r="A455" s="17" t="n">
        <v>450</v>
      </c>
      <c r="B455" s="25" t="n"/>
      <c r="C455" s="141">
        <f>H455*I455</f>
        <v/>
      </c>
      <c r="D455" s="41" t="n"/>
      <c r="E455" s="41">
        <f>J455*I455</f>
        <v/>
      </c>
      <c r="F455" s="41" t="n"/>
      <c r="G455" s="42" t="n"/>
      <c r="H455" s="20" t="n"/>
      <c r="I455" s="20" t="n"/>
      <c r="J455" s="20" t="n"/>
    </row>
    <row r="456" ht="16.5" customFormat="1" customHeight="1" s="12">
      <c r="A456" s="17" t="n">
        <v>451</v>
      </c>
      <c r="B456" s="25" t="n"/>
      <c r="C456" s="141">
        <f>H456*I456</f>
        <v/>
      </c>
      <c r="D456" s="41" t="n"/>
      <c r="E456" s="41">
        <f>J456*I456</f>
        <v/>
      </c>
      <c r="F456" s="41" t="n"/>
      <c r="G456" s="42" t="n"/>
      <c r="H456" s="20" t="n"/>
      <c r="I456" s="20" t="n"/>
      <c r="J456" s="20" t="n"/>
    </row>
    <row r="457" ht="16.5" customFormat="1" customHeight="1" s="12">
      <c r="A457" s="17" t="n">
        <v>452</v>
      </c>
      <c r="B457" s="25" t="n"/>
      <c r="C457" s="141">
        <f>H457*I457</f>
        <v/>
      </c>
      <c r="D457" s="41" t="n"/>
      <c r="E457" s="41">
        <f>J457*I457</f>
        <v/>
      </c>
      <c r="F457" s="41" t="n"/>
      <c r="G457" s="42" t="n"/>
      <c r="H457" s="20" t="n"/>
      <c r="I457" s="20" t="n"/>
      <c r="J457" s="20" t="n"/>
    </row>
    <row r="458" ht="16.5" customFormat="1" customHeight="1" s="12">
      <c r="A458" s="17" t="n">
        <v>453</v>
      </c>
      <c r="B458" s="25" t="n"/>
      <c r="C458" s="141">
        <f>H458*I458</f>
        <v/>
      </c>
      <c r="D458" s="41" t="n"/>
      <c r="E458" s="41">
        <f>J458*I458</f>
        <v/>
      </c>
      <c r="F458" s="41" t="n"/>
      <c r="G458" s="42" t="n"/>
      <c r="H458" s="20" t="n"/>
      <c r="I458" s="20" t="n"/>
      <c r="J458" s="20" t="n"/>
    </row>
    <row r="459" ht="16.5" customFormat="1" customHeight="1" s="12">
      <c r="A459" s="17" t="n">
        <v>454</v>
      </c>
      <c r="B459" s="25" t="n"/>
      <c r="C459" s="141">
        <f>H459*I459</f>
        <v/>
      </c>
      <c r="D459" s="41" t="n"/>
      <c r="E459" s="41">
        <f>J459*I459</f>
        <v/>
      </c>
      <c r="F459" s="41" t="n"/>
      <c r="G459" s="42" t="n"/>
      <c r="H459" s="20" t="n"/>
      <c r="I459" s="20" t="n"/>
      <c r="J459" s="20" t="n"/>
    </row>
    <row r="460" ht="16.5" customFormat="1" customHeight="1" s="12">
      <c r="A460" s="17" t="n">
        <v>455</v>
      </c>
      <c r="B460" s="25" t="n"/>
      <c r="C460" s="141">
        <f>H460*I460</f>
        <v/>
      </c>
      <c r="D460" s="41" t="n"/>
      <c r="E460" s="41">
        <f>J460*I460</f>
        <v/>
      </c>
      <c r="F460" s="41" t="n"/>
      <c r="G460" s="42" t="n"/>
      <c r="H460" s="20" t="n"/>
      <c r="I460" s="20" t="n"/>
      <c r="J460" s="20" t="n"/>
    </row>
    <row r="461" ht="16.5" customFormat="1" customHeight="1" s="12">
      <c r="A461" s="17" t="n">
        <v>456</v>
      </c>
      <c r="B461" s="25" t="n"/>
      <c r="C461" s="141">
        <f>H461*I461</f>
        <v/>
      </c>
      <c r="D461" s="41" t="n"/>
      <c r="E461" s="41">
        <f>J461*I461</f>
        <v/>
      </c>
      <c r="F461" s="41" t="n"/>
      <c r="G461" s="42" t="n"/>
      <c r="H461" s="20" t="n"/>
      <c r="I461" s="20" t="n"/>
      <c r="J461" s="20" t="n"/>
    </row>
    <row r="462" ht="16.5" customFormat="1" customHeight="1" s="12">
      <c r="A462" s="17" t="n">
        <v>457</v>
      </c>
      <c r="B462" s="25" t="n"/>
      <c r="C462" s="141">
        <f>H462*I462</f>
        <v/>
      </c>
      <c r="D462" s="41" t="n"/>
      <c r="E462" s="41">
        <f>J462*I462</f>
        <v/>
      </c>
      <c r="F462" s="41" t="n"/>
      <c r="G462" s="42" t="n"/>
      <c r="H462" s="20" t="n"/>
      <c r="I462" s="20" t="n"/>
      <c r="J462" s="20" t="n"/>
    </row>
    <row r="463" ht="16.5" customFormat="1" customHeight="1" s="12">
      <c r="A463" s="17" t="n">
        <v>458</v>
      </c>
      <c r="B463" s="25" t="n"/>
      <c r="C463" s="141">
        <f>H463*I463</f>
        <v/>
      </c>
      <c r="D463" s="41" t="n"/>
      <c r="E463" s="41">
        <f>J463*I463</f>
        <v/>
      </c>
      <c r="F463" s="41" t="n"/>
      <c r="G463" s="42" t="n"/>
      <c r="H463" s="20" t="n"/>
      <c r="I463" s="20" t="n"/>
      <c r="J463" s="20" t="n"/>
    </row>
    <row r="464" ht="16.5" customFormat="1" customHeight="1" s="12">
      <c r="A464" s="17" t="n">
        <v>459</v>
      </c>
      <c r="B464" s="25" t="n"/>
      <c r="C464" s="141">
        <f>H464*I464</f>
        <v/>
      </c>
      <c r="D464" s="41" t="n"/>
      <c r="E464" s="41">
        <f>J464*I464</f>
        <v/>
      </c>
      <c r="F464" s="41" t="n"/>
      <c r="G464" s="42" t="n"/>
      <c r="H464" s="20" t="n"/>
      <c r="I464" s="20" t="n"/>
      <c r="J464" s="20" t="n"/>
    </row>
    <row r="465" ht="16.5" customFormat="1" customHeight="1" s="12">
      <c r="A465" s="17" t="n">
        <v>460</v>
      </c>
      <c r="B465" s="25" t="n"/>
      <c r="C465" s="141">
        <f>H465*I465</f>
        <v/>
      </c>
      <c r="D465" s="41" t="n"/>
      <c r="E465" s="41">
        <f>J465*I465</f>
        <v/>
      </c>
      <c r="F465" s="41" t="n"/>
      <c r="G465" s="42" t="n"/>
      <c r="H465" s="20" t="n"/>
      <c r="I465" s="20" t="n"/>
      <c r="J465" s="20" t="n"/>
    </row>
    <row r="466" ht="16.5" customFormat="1" customHeight="1" s="12">
      <c r="A466" s="17" t="n">
        <v>461</v>
      </c>
      <c r="B466" s="25" t="n"/>
      <c r="C466" s="141">
        <f>H466*I466</f>
        <v/>
      </c>
      <c r="D466" s="41" t="n"/>
      <c r="E466" s="41">
        <f>J466*I466</f>
        <v/>
      </c>
      <c r="F466" s="41" t="n"/>
      <c r="G466" s="42" t="n"/>
      <c r="H466" s="20" t="n"/>
      <c r="I466" s="20" t="n"/>
      <c r="J466" s="20" t="n"/>
    </row>
    <row r="467" ht="16.5" customFormat="1" customHeight="1" s="12">
      <c r="A467" s="17" t="n">
        <v>462</v>
      </c>
      <c r="B467" s="25" t="n"/>
      <c r="C467" s="141">
        <f>H467*I467</f>
        <v/>
      </c>
      <c r="D467" s="41" t="n"/>
      <c r="E467" s="41">
        <f>J467*I467</f>
        <v/>
      </c>
      <c r="F467" s="41" t="n"/>
      <c r="G467" s="42" t="n"/>
      <c r="H467" s="20" t="n"/>
      <c r="I467" s="20" t="n"/>
      <c r="J467" s="20" t="n"/>
    </row>
    <row r="468" ht="16.5" customFormat="1" customHeight="1" s="12">
      <c r="A468" s="17" t="n">
        <v>463</v>
      </c>
      <c r="B468" s="25" t="n"/>
      <c r="C468" s="141">
        <f>H468*I468</f>
        <v/>
      </c>
      <c r="D468" s="41" t="n"/>
      <c r="E468" s="41">
        <f>J468*I468</f>
        <v/>
      </c>
      <c r="F468" s="41" t="n"/>
      <c r="G468" s="42" t="n"/>
      <c r="H468" s="20" t="n"/>
      <c r="I468" s="20" t="n"/>
      <c r="J468" s="20" t="n"/>
    </row>
    <row r="469" ht="16.5" customFormat="1" customHeight="1" s="12">
      <c r="A469" s="17" t="n">
        <v>464</v>
      </c>
      <c r="B469" s="25" t="n"/>
      <c r="C469" s="141">
        <f>H469*I469</f>
        <v/>
      </c>
      <c r="D469" s="41" t="n"/>
      <c r="E469" s="41">
        <f>J469*I469</f>
        <v/>
      </c>
      <c r="F469" s="41" t="n"/>
      <c r="G469" s="42" t="n"/>
      <c r="H469" s="20" t="n"/>
      <c r="I469" s="20" t="n"/>
      <c r="J469" s="20" t="n"/>
    </row>
    <row r="470" ht="16.5" customFormat="1" customHeight="1" s="12">
      <c r="A470" s="17" t="n">
        <v>465</v>
      </c>
      <c r="B470" s="25" t="n"/>
      <c r="C470" s="141">
        <f>H470*I470</f>
        <v/>
      </c>
      <c r="D470" s="41" t="n"/>
      <c r="E470" s="41">
        <f>J470*I470</f>
        <v/>
      </c>
      <c r="F470" s="41" t="n"/>
      <c r="G470" s="42" t="n"/>
      <c r="H470" s="20" t="n"/>
      <c r="I470" s="20" t="n"/>
      <c r="J470" s="20" t="n"/>
    </row>
    <row r="471" ht="16.5" customFormat="1" customHeight="1" s="12">
      <c r="A471" s="17" t="n">
        <v>466</v>
      </c>
      <c r="B471" s="25" t="n"/>
      <c r="C471" s="141">
        <f>H471*I471</f>
        <v/>
      </c>
      <c r="D471" s="41" t="n"/>
      <c r="E471" s="41">
        <f>J471*I471</f>
        <v/>
      </c>
      <c r="F471" s="41" t="n"/>
      <c r="G471" s="42" t="n"/>
      <c r="H471" s="20" t="n"/>
      <c r="I471" s="20" t="n"/>
      <c r="J471" s="20" t="n"/>
    </row>
    <row r="472" ht="16.5" customFormat="1" customHeight="1" s="12">
      <c r="A472" s="17" t="n">
        <v>467</v>
      </c>
      <c r="B472" s="25" t="n"/>
      <c r="C472" s="141">
        <f>H472*I472</f>
        <v/>
      </c>
      <c r="D472" s="41" t="n"/>
      <c r="E472" s="41">
        <f>J472*I472</f>
        <v/>
      </c>
      <c r="F472" s="41" t="n"/>
      <c r="G472" s="42" t="n"/>
      <c r="H472" s="20" t="n"/>
      <c r="I472" s="20" t="n"/>
      <c r="J472" s="20" t="n"/>
    </row>
    <row r="473" ht="16.5" customFormat="1" customHeight="1" s="12">
      <c r="A473" s="17" t="n">
        <v>468</v>
      </c>
      <c r="B473" s="25" t="n"/>
      <c r="C473" s="141">
        <f>H473*I473</f>
        <v/>
      </c>
      <c r="D473" s="41" t="n"/>
      <c r="E473" s="41">
        <f>J473*I473</f>
        <v/>
      </c>
      <c r="F473" s="41" t="n"/>
      <c r="G473" s="42" t="n"/>
      <c r="H473" s="20" t="n"/>
      <c r="I473" s="20" t="n"/>
      <c r="J473" s="20" t="n"/>
    </row>
    <row r="474" ht="16.5" customFormat="1" customHeight="1" s="12">
      <c r="A474" s="17" t="n">
        <v>469</v>
      </c>
      <c r="B474" s="25" t="n"/>
      <c r="C474" s="141">
        <f>H474*I474</f>
        <v/>
      </c>
      <c r="D474" s="41" t="n"/>
      <c r="E474" s="41">
        <f>J474*I474</f>
        <v/>
      </c>
      <c r="F474" s="41" t="n"/>
      <c r="G474" s="42" t="n"/>
      <c r="H474" s="20" t="n"/>
      <c r="I474" s="20" t="n"/>
      <c r="J474" s="20" t="n"/>
    </row>
    <row r="475" ht="16.5" customFormat="1" customHeight="1" s="12">
      <c r="A475" s="17" t="n">
        <v>470</v>
      </c>
      <c r="B475" s="25" t="n"/>
      <c r="C475" s="141">
        <f>H475*I475</f>
        <v/>
      </c>
      <c r="D475" s="41" t="n"/>
      <c r="E475" s="41">
        <f>J475*I475</f>
        <v/>
      </c>
      <c r="F475" s="41" t="n"/>
      <c r="G475" s="42" t="n"/>
      <c r="H475" s="20" t="n"/>
      <c r="I475" s="20" t="n"/>
      <c r="J475" s="20" t="n"/>
    </row>
    <row r="476" ht="16.5" customFormat="1" customHeight="1" s="12">
      <c r="A476" s="17" t="n">
        <v>471</v>
      </c>
      <c r="B476" s="25" t="n"/>
      <c r="C476" s="141">
        <f>H476*I476</f>
        <v/>
      </c>
      <c r="D476" s="41" t="n"/>
      <c r="E476" s="41">
        <f>J476*I476</f>
        <v/>
      </c>
      <c r="F476" s="41" t="n"/>
      <c r="G476" s="42" t="n"/>
      <c r="H476" s="20" t="n"/>
      <c r="I476" s="20" t="n"/>
      <c r="J476" s="20" t="n"/>
    </row>
    <row r="477" ht="16.5" customFormat="1" customHeight="1" s="12">
      <c r="A477" s="17" t="n">
        <v>472</v>
      </c>
      <c r="B477" s="25" t="n"/>
      <c r="C477" s="141">
        <f>H477*I477</f>
        <v/>
      </c>
      <c r="D477" s="41" t="n"/>
      <c r="E477" s="41">
        <f>J477*I477</f>
        <v/>
      </c>
      <c r="F477" s="41" t="n"/>
      <c r="G477" s="42" t="n"/>
      <c r="H477" s="20" t="n"/>
      <c r="I477" s="20" t="n"/>
      <c r="J477" s="20" t="n"/>
    </row>
    <row r="478" ht="16.5" customFormat="1" customHeight="1" s="12">
      <c r="A478" s="17" t="n">
        <v>473</v>
      </c>
      <c r="B478" s="25" t="n"/>
      <c r="C478" s="141">
        <f>H478*I478</f>
        <v/>
      </c>
      <c r="D478" s="41" t="n"/>
      <c r="E478" s="41">
        <f>J478*I478</f>
        <v/>
      </c>
      <c r="F478" s="41" t="n"/>
      <c r="G478" s="42" t="n"/>
      <c r="H478" s="20" t="n"/>
      <c r="I478" s="20" t="n"/>
      <c r="J478" s="20" t="n"/>
    </row>
    <row r="479" ht="16.5" customFormat="1" customHeight="1" s="12">
      <c r="A479" s="17" t="n">
        <v>474</v>
      </c>
      <c r="B479" s="25" t="n"/>
      <c r="C479" s="141">
        <f>H479*I479</f>
        <v/>
      </c>
      <c r="D479" s="41" t="n"/>
      <c r="E479" s="41">
        <f>J479*I479</f>
        <v/>
      </c>
      <c r="F479" s="41" t="n"/>
      <c r="G479" s="42" t="n"/>
      <c r="H479" s="20" t="n"/>
      <c r="I479" s="20" t="n"/>
      <c r="J479" s="20" t="n"/>
    </row>
    <row r="480" ht="16.5" customFormat="1" customHeight="1" s="12">
      <c r="A480" s="17" t="n">
        <v>475</v>
      </c>
      <c r="B480" s="25" t="n"/>
      <c r="C480" s="141">
        <f>H480*I480</f>
        <v/>
      </c>
      <c r="D480" s="41" t="n"/>
      <c r="E480" s="41">
        <f>J480*I480</f>
        <v/>
      </c>
      <c r="F480" s="41" t="n"/>
      <c r="G480" s="42" t="n"/>
      <c r="H480" s="20" t="n"/>
      <c r="I480" s="20" t="n"/>
      <c r="J480" s="20" t="n"/>
    </row>
    <row r="481" ht="16.5" customFormat="1" customHeight="1" s="12">
      <c r="A481" s="17" t="n">
        <v>476</v>
      </c>
      <c r="B481" s="25" t="n"/>
      <c r="C481" s="141">
        <f>H481*I481</f>
        <v/>
      </c>
      <c r="D481" s="41" t="n"/>
      <c r="E481" s="41">
        <f>J481*I481</f>
        <v/>
      </c>
      <c r="F481" s="41" t="n"/>
      <c r="G481" s="42" t="n"/>
      <c r="H481" s="20" t="n"/>
      <c r="I481" s="20" t="n"/>
      <c r="J481" s="20" t="n"/>
    </row>
    <row r="482" ht="16.5" customFormat="1" customHeight="1" s="12">
      <c r="A482" s="17" t="n">
        <v>477</v>
      </c>
      <c r="B482" s="25" t="n"/>
      <c r="C482" s="141">
        <f>H482*I482</f>
        <v/>
      </c>
      <c r="D482" s="41" t="n"/>
      <c r="E482" s="41">
        <f>J482*I482</f>
        <v/>
      </c>
      <c r="F482" s="41" t="n"/>
      <c r="G482" s="42" t="n"/>
      <c r="H482" s="20" t="n"/>
      <c r="I482" s="20" t="n"/>
      <c r="J482" s="20" t="n"/>
    </row>
    <row r="483" ht="16.5" customFormat="1" customHeight="1" s="12">
      <c r="A483" s="17" t="n">
        <v>478</v>
      </c>
      <c r="B483" s="25" t="n"/>
      <c r="C483" s="141">
        <f>H483*I483</f>
        <v/>
      </c>
      <c r="D483" s="41" t="n"/>
      <c r="E483" s="41">
        <f>J483*I483</f>
        <v/>
      </c>
      <c r="F483" s="41" t="n"/>
      <c r="G483" s="42" t="n"/>
      <c r="H483" s="20" t="n"/>
      <c r="I483" s="20" t="n"/>
      <c r="J483" s="20" t="n"/>
    </row>
    <row r="484" ht="16.5" customFormat="1" customHeight="1" s="12">
      <c r="A484" s="17" t="n">
        <v>479</v>
      </c>
      <c r="B484" s="25" t="n"/>
      <c r="C484" s="141">
        <f>H484*I484</f>
        <v/>
      </c>
      <c r="D484" s="41" t="n"/>
      <c r="E484" s="41">
        <f>J484*I484</f>
        <v/>
      </c>
      <c r="F484" s="41" t="n"/>
      <c r="G484" s="42" t="n"/>
      <c r="H484" s="20" t="n"/>
      <c r="I484" s="20" t="n"/>
      <c r="J484" s="20" t="n"/>
    </row>
    <row r="485" ht="16.5" customFormat="1" customHeight="1" s="12">
      <c r="A485" s="17" t="n">
        <v>480</v>
      </c>
      <c r="B485" s="25" t="n"/>
      <c r="C485" s="141">
        <f>H485*I485</f>
        <v/>
      </c>
      <c r="D485" s="41" t="n"/>
      <c r="E485" s="41">
        <f>J485*I485</f>
        <v/>
      </c>
      <c r="F485" s="41" t="n"/>
      <c r="G485" s="42" t="n"/>
      <c r="H485" s="20" t="n"/>
      <c r="I485" s="20" t="n"/>
      <c r="J485" s="20" t="n"/>
    </row>
    <row r="486" ht="16.5" customFormat="1" customHeight="1" s="12">
      <c r="A486" s="17" t="n">
        <v>481</v>
      </c>
      <c r="B486" s="25" t="n"/>
      <c r="C486" s="141">
        <f>H486*I486</f>
        <v/>
      </c>
      <c r="D486" s="41" t="n"/>
      <c r="E486" s="41">
        <f>J486*I486</f>
        <v/>
      </c>
      <c r="F486" s="41" t="n"/>
      <c r="G486" s="42" t="n"/>
      <c r="H486" s="20" t="n"/>
      <c r="I486" s="20" t="n"/>
      <c r="J486" s="20" t="n"/>
    </row>
    <row r="487" ht="16.5" customFormat="1" customHeight="1" s="12">
      <c r="A487" s="17" t="n">
        <v>482</v>
      </c>
      <c r="B487" s="25" t="n"/>
      <c r="C487" s="141">
        <f>H487*I487</f>
        <v/>
      </c>
      <c r="D487" s="41" t="n"/>
      <c r="E487" s="41">
        <f>J487*I487</f>
        <v/>
      </c>
      <c r="F487" s="41" t="n"/>
      <c r="G487" s="42" t="n"/>
      <c r="H487" s="20" t="n"/>
      <c r="I487" s="20" t="n"/>
      <c r="J487" s="20" t="n"/>
    </row>
    <row r="488" ht="16.5" customFormat="1" customHeight="1" s="12">
      <c r="A488" s="17" t="n">
        <v>483</v>
      </c>
      <c r="B488" s="25" t="n"/>
      <c r="C488" s="141">
        <f>H488*I488</f>
        <v/>
      </c>
      <c r="D488" s="41" t="n"/>
      <c r="E488" s="41">
        <f>J488*I488</f>
        <v/>
      </c>
      <c r="F488" s="41" t="n"/>
      <c r="G488" s="42" t="n"/>
      <c r="H488" s="20" t="n"/>
      <c r="I488" s="20" t="n"/>
      <c r="J488" s="20" t="n"/>
    </row>
    <row r="489" ht="16.5" customFormat="1" customHeight="1" s="12">
      <c r="A489" s="17" t="n">
        <v>484</v>
      </c>
      <c r="B489" s="25" t="n"/>
      <c r="C489" s="141">
        <f>H489*I489</f>
        <v/>
      </c>
      <c r="D489" s="41" t="n"/>
      <c r="E489" s="41">
        <f>J489*I489</f>
        <v/>
      </c>
      <c r="F489" s="41" t="n"/>
      <c r="G489" s="42" t="n"/>
      <c r="H489" s="20" t="n"/>
      <c r="I489" s="20" t="n"/>
      <c r="J489" s="20" t="n"/>
    </row>
    <row r="490" ht="16.5" customFormat="1" customHeight="1" s="12">
      <c r="A490" s="17" t="n">
        <v>485</v>
      </c>
      <c r="B490" s="25" t="n"/>
      <c r="C490" s="141">
        <f>H490*I490</f>
        <v/>
      </c>
      <c r="D490" s="41" t="n"/>
      <c r="E490" s="41">
        <f>J490*I490</f>
        <v/>
      </c>
      <c r="F490" s="41" t="n"/>
      <c r="G490" s="42" t="n"/>
      <c r="H490" s="20" t="n"/>
      <c r="I490" s="20" t="n"/>
      <c r="J490" s="20" t="n"/>
    </row>
    <row r="491" ht="16.5" customFormat="1" customHeight="1" s="12">
      <c r="A491" s="17" t="n">
        <v>486</v>
      </c>
      <c r="B491" s="25" t="n"/>
      <c r="C491" s="141">
        <f>H491*I491</f>
        <v/>
      </c>
      <c r="D491" s="41" t="n"/>
      <c r="E491" s="41">
        <f>J491*I491</f>
        <v/>
      </c>
      <c r="F491" s="41" t="n"/>
      <c r="G491" s="42" t="n"/>
      <c r="H491" s="20" t="n"/>
      <c r="I491" s="20" t="n"/>
      <c r="J491" s="20" t="n"/>
    </row>
    <row r="492" ht="16.5" customFormat="1" customHeight="1" s="12">
      <c r="A492" s="17" t="n">
        <v>487</v>
      </c>
      <c r="B492" s="25" t="n"/>
      <c r="C492" s="141">
        <f>H492*I492</f>
        <v/>
      </c>
      <c r="D492" s="41" t="n"/>
      <c r="E492" s="41">
        <f>J492*I492</f>
        <v/>
      </c>
      <c r="F492" s="41" t="n"/>
      <c r="G492" s="42" t="n"/>
      <c r="H492" s="20" t="n"/>
      <c r="I492" s="20" t="n"/>
      <c r="J492" s="20" t="n"/>
    </row>
    <row r="493" ht="16.5" customFormat="1" customHeight="1" s="12">
      <c r="A493" s="17" t="n">
        <v>488</v>
      </c>
      <c r="B493" s="25" t="n"/>
      <c r="C493" s="141">
        <f>H493*I493</f>
        <v/>
      </c>
      <c r="D493" s="41" t="n"/>
      <c r="E493" s="41">
        <f>J493*I493</f>
        <v/>
      </c>
      <c r="F493" s="41" t="n"/>
      <c r="G493" s="42" t="n"/>
      <c r="H493" s="20" t="n"/>
      <c r="I493" s="20" t="n"/>
      <c r="J493" s="20" t="n"/>
    </row>
    <row r="494" ht="16.5" customFormat="1" customHeight="1" s="12">
      <c r="A494" s="17" t="n">
        <v>489</v>
      </c>
      <c r="B494" s="25" t="n"/>
      <c r="C494" s="141">
        <f>H494*I494</f>
        <v/>
      </c>
      <c r="D494" s="41" t="n"/>
      <c r="E494" s="41">
        <f>J494*I494</f>
        <v/>
      </c>
      <c r="F494" s="41" t="n"/>
      <c r="G494" s="42" t="n"/>
      <c r="H494" s="20" t="n"/>
      <c r="I494" s="20" t="n"/>
      <c r="J494" s="20" t="n"/>
    </row>
    <row r="495" ht="16.5" customFormat="1" customHeight="1" s="12">
      <c r="A495" s="17" t="n">
        <v>490</v>
      </c>
      <c r="B495" s="25" t="n"/>
      <c r="C495" s="141">
        <f>H495*I495</f>
        <v/>
      </c>
      <c r="D495" s="41" t="n"/>
      <c r="E495" s="41">
        <f>J495*I495</f>
        <v/>
      </c>
      <c r="F495" s="41" t="n"/>
      <c r="G495" s="42" t="n"/>
      <c r="H495" s="20" t="n"/>
      <c r="I495" s="20" t="n"/>
      <c r="J495" s="20" t="n"/>
    </row>
    <row r="496" ht="16.5" customFormat="1" customHeight="1" s="12">
      <c r="A496" s="17" t="n">
        <v>491</v>
      </c>
      <c r="B496" s="25" t="n"/>
      <c r="C496" s="141">
        <f>H496*I496</f>
        <v/>
      </c>
      <c r="D496" s="41" t="n"/>
      <c r="E496" s="41">
        <f>J496*I496</f>
        <v/>
      </c>
      <c r="F496" s="41" t="n"/>
      <c r="G496" s="42" t="n"/>
      <c r="H496" s="20" t="n"/>
      <c r="I496" s="20" t="n"/>
      <c r="J496" s="20" t="n"/>
    </row>
    <row r="497" ht="16.5" customFormat="1" customHeight="1" s="12">
      <c r="A497" s="17" t="n">
        <v>492</v>
      </c>
      <c r="B497" s="25" t="n"/>
      <c r="C497" s="141">
        <f>H497*I497</f>
        <v/>
      </c>
      <c r="D497" s="41" t="n"/>
      <c r="E497" s="41">
        <f>J497*I497</f>
        <v/>
      </c>
      <c r="F497" s="41" t="n"/>
      <c r="G497" s="42" t="n"/>
      <c r="H497" s="20" t="n"/>
      <c r="I497" s="20" t="n"/>
      <c r="J497" s="20" t="n"/>
    </row>
    <row r="498" ht="16.5" customFormat="1" customHeight="1" s="12">
      <c r="A498" s="17" t="n">
        <v>493</v>
      </c>
      <c r="B498" s="25" t="n"/>
      <c r="C498" s="141">
        <f>H498*I498</f>
        <v/>
      </c>
      <c r="D498" s="41" t="n"/>
      <c r="E498" s="41">
        <f>J498*I498</f>
        <v/>
      </c>
      <c r="F498" s="41" t="n"/>
      <c r="G498" s="42" t="n"/>
      <c r="H498" s="20" t="n"/>
      <c r="I498" s="20" t="n"/>
      <c r="J498" s="20" t="n"/>
    </row>
    <row r="499" ht="16.5" customFormat="1" customHeight="1" s="12">
      <c r="A499" s="17" t="n">
        <v>494</v>
      </c>
      <c r="B499" s="25" t="n"/>
      <c r="C499" s="141">
        <f>H499*I499</f>
        <v/>
      </c>
      <c r="D499" s="41" t="n"/>
      <c r="E499" s="41">
        <f>J499*I499</f>
        <v/>
      </c>
      <c r="F499" s="41" t="n"/>
      <c r="G499" s="42" t="n"/>
      <c r="H499" s="20" t="n"/>
      <c r="I499" s="20" t="n"/>
      <c r="J499" s="20" t="n"/>
    </row>
    <row r="500" ht="16.5" customFormat="1" customHeight="1" s="12">
      <c r="A500" s="17" t="n">
        <v>495</v>
      </c>
      <c r="B500" s="25" t="n"/>
      <c r="C500" s="141">
        <f>H500*I500</f>
        <v/>
      </c>
      <c r="D500" s="41" t="n"/>
      <c r="E500" s="41">
        <f>J500*I500</f>
        <v/>
      </c>
      <c r="F500" s="41" t="n"/>
      <c r="G500" s="42" t="n"/>
      <c r="H500" s="20" t="n"/>
      <c r="I500" s="20" t="n"/>
      <c r="J500" s="20" t="n"/>
    </row>
    <row r="501" ht="16.5" customFormat="1" customHeight="1" s="12">
      <c r="A501" s="17" t="n">
        <v>496</v>
      </c>
      <c r="B501" s="25" t="n"/>
      <c r="C501" s="141">
        <f>H501*I501</f>
        <v/>
      </c>
      <c r="D501" s="41" t="n"/>
      <c r="E501" s="41">
        <f>J501*I501</f>
        <v/>
      </c>
      <c r="F501" s="41" t="n"/>
      <c r="G501" s="42" t="n"/>
      <c r="H501" s="20" t="n"/>
      <c r="I501" s="20" t="n"/>
      <c r="J501" s="20" t="n"/>
    </row>
    <row r="502" ht="16.5" customFormat="1" customHeight="1" s="12">
      <c r="A502" s="17" t="n">
        <v>497</v>
      </c>
      <c r="B502" s="25" t="n"/>
      <c r="C502" s="141">
        <f>H502*I502</f>
        <v/>
      </c>
      <c r="D502" s="41" t="n"/>
      <c r="E502" s="41">
        <f>J502*I502</f>
        <v/>
      </c>
      <c r="F502" s="41" t="n"/>
      <c r="G502" s="42" t="n"/>
      <c r="H502" s="20" t="n"/>
      <c r="I502" s="20" t="n"/>
      <c r="J502" s="20" t="n"/>
    </row>
    <row r="503" ht="16.5" customFormat="1" customHeight="1" s="12">
      <c r="A503" s="17" t="n">
        <v>498</v>
      </c>
      <c r="B503" s="25" t="n"/>
      <c r="C503" s="141">
        <f>H503*I503</f>
        <v/>
      </c>
      <c r="D503" s="41" t="n"/>
      <c r="E503" s="41">
        <f>J503*I503</f>
        <v/>
      </c>
      <c r="F503" s="41" t="n"/>
      <c r="G503" s="42" t="n"/>
      <c r="H503" s="20" t="n"/>
      <c r="I503" s="20" t="n"/>
      <c r="J503" s="20" t="n"/>
    </row>
    <row r="504" ht="16.5" customFormat="1" customHeight="1" s="12">
      <c r="A504" s="17" t="n">
        <v>499</v>
      </c>
      <c r="B504" s="25" t="n"/>
      <c r="C504" s="141">
        <f>H504*I504</f>
        <v/>
      </c>
      <c r="D504" s="41" t="n"/>
      <c r="E504" s="41">
        <f>J504*I504</f>
        <v/>
      </c>
      <c r="F504" s="41" t="n"/>
      <c r="G504" s="42" t="n"/>
      <c r="H504" s="20" t="n"/>
      <c r="I504" s="20" t="n"/>
      <c r="J504" s="20" t="n"/>
    </row>
    <row r="505" ht="16.5" customFormat="1" customHeight="1" s="12">
      <c r="A505" s="17" t="n">
        <v>500</v>
      </c>
      <c r="B505" s="25" t="n"/>
      <c r="C505" s="141">
        <f>H505*I505</f>
        <v/>
      </c>
      <c r="D505" s="41" t="n"/>
      <c r="E505" s="41">
        <f>J505*I505</f>
        <v/>
      </c>
      <c r="F505" s="41" t="n"/>
      <c r="G505" s="42" t="n"/>
      <c r="H505" s="20" t="n"/>
      <c r="I505" s="20" t="n"/>
      <c r="J505" s="20" t="n"/>
    </row>
    <row r="506" ht="16.5" customFormat="1" customHeight="1" s="12">
      <c r="A506" s="11" t="n"/>
      <c r="B506" s="11" t="n"/>
      <c r="C506" s="23" t="n"/>
      <c r="D506" s="11" t="n"/>
      <c r="E506" s="11" t="n"/>
      <c r="F506" s="11" t="n"/>
      <c r="G506" s="1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517">
    <mergeCell ref="F408:G408"/>
    <mergeCell ref="F237:G237"/>
    <mergeCell ref="F473:G473"/>
    <mergeCell ref="F116:G116"/>
    <mergeCell ref="F187:G187"/>
    <mergeCell ref="F16:G16"/>
    <mergeCell ref="F485:G485"/>
    <mergeCell ref="F103:G103"/>
    <mergeCell ref="F423:G423"/>
    <mergeCell ref="F174:G174"/>
    <mergeCell ref="F108:G108"/>
    <mergeCell ref="F472:G472"/>
    <mergeCell ref="F339:G339"/>
    <mergeCell ref="F410:G410"/>
    <mergeCell ref="F466:G466"/>
    <mergeCell ref="F168:G168"/>
    <mergeCell ref="F143:G143"/>
    <mergeCell ref="F118:G118"/>
    <mergeCell ref="F403:G403"/>
    <mergeCell ref="F497:G497"/>
    <mergeCell ref="F326:G326"/>
    <mergeCell ref="F70:G70"/>
    <mergeCell ref="F263:G263"/>
    <mergeCell ref="F355:G355"/>
    <mergeCell ref="F134:G134"/>
    <mergeCell ref="F23:G23"/>
    <mergeCell ref="F121:G121"/>
    <mergeCell ref="F357:G357"/>
    <mergeCell ref="F96:G96"/>
    <mergeCell ref="F71:G71"/>
    <mergeCell ref="F332:G332"/>
    <mergeCell ref="F421:G421"/>
    <mergeCell ref="F98:G98"/>
    <mergeCell ref="F396:G396"/>
    <mergeCell ref="F175:G175"/>
    <mergeCell ref="F162:G162"/>
    <mergeCell ref="F398:G398"/>
    <mergeCell ref="F251:G251"/>
    <mergeCell ref="F322:G322"/>
    <mergeCell ref="F189:G189"/>
    <mergeCell ref="F45:G45"/>
    <mergeCell ref="F487:G487"/>
    <mergeCell ref="F18:G18"/>
    <mergeCell ref="F42:G42"/>
    <mergeCell ref="F238:G238"/>
    <mergeCell ref="F474:G474"/>
    <mergeCell ref="F17:G17"/>
    <mergeCell ref="F188:G188"/>
    <mergeCell ref="F126:G126"/>
    <mergeCell ref="F66:G66"/>
    <mergeCell ref="F253:G253"/>
    <mergeCell ref="F109:G109"/>
    <mergeCell ref="F351:G351"/>
    <mergeCell ref="F47:G47"/>
    <mergeCell ref="F411:G411"/>
    <mergeCell ref="F345:G345"/>
    <mergeCell ref="F240:G240"/>
    <mergeCell ref="F190:G190"/>
    <mergeCell ref="F46:G46"/>
    <mergeCell ref="F488:G488"/>
    <mergeCell ref="F317:G317"/>
    <mergeCell ref="F111:G111"/>
    <mergeCell ref="F409:G409"/>
    <mergeCell ref="F61:G61"/>
    <mergeCell ref="F48:G48"/>
    <mergeCell ref="F346:G346"/>
    <mergeCell ref="F477:G477"/>
    <mergeCell ref="F73:G73"/>
    <mergeCell ref="F266:G266"/>
    <mergeCell ref="F371:G371"/>
    <mergeCell ref="F442:G442"/>
    <mergeCell ref="F502:G502"/>
    <mergeCell ref="B6:E6"/>
    <mergeCell ref="F137:G137"/>
    <mergeCell ref="F379:G379"/>
    <mergeCell ref="F208:G208"/>
    <mergeCell ref="F124:G124"/>
    <mergeCell ref="F422:G422"/>
    <mergeCell ref="F493:G493"/>
    <mergeCell ref="F360:G360"/>
    <mergeCell ref="F201:G201"/>
    <mergeCell ref="F335:G335"/>
    <mergeCell ref="F164:G164"/>
    <mergeCell ref="F406:G406"/>
    <mergeCell ref="F139:G139"/>
    <mergeCell ref="F114:G114"/>
    <mergeCell ref="F424:G424"/>
    <mergeCell ref="F399:G399"/>
    <mergeCell ref="F228:G228"/>
    <mergeCell ref="F470:G470"/>
    <mergeCell ref="F203:G203"/>
    <mergeCell ref="F259:G259"/>
    <mergeCell ref="F495:G495"/>
    <mergeCell ref="F261:G261"/>
    <mergeCell ref="F117:G117"/>
    <mergeCell ref="F92:G92"/>
    <mergeCell ref="F353:G353"/>
    <mergeCell ref="F254:G254"/>
    <mergeCell ref="F496:G496"/>
    <mergeCell ref="F490:G490"/>
    <mergeCell ref="F290:G290"/>
    <mergeCell ref="F119:G119"/>
    <mergeCell ref="F417:G417"/>
    <mergeCell ref="F69:G69"/>
    <mergeCell ref="F367:G367"/>
    <mergeCell ref="F427:G427"/>
    <mergeCell ref="F256:G256"/>
    <mergeCell ref="F498:G498"/>
    <mergeCell ref="F112:G112"/>
    <mergeCell ref="F354:G354"/>
    <mergeCell ref="F183:G183"/>
    <mergeCell ref="F348:G348"/>
    <mergeCell ref="F419:G419"/>
    <mergeCell ref="F193:G193"/>
    <mergeCell ref="F127:G127"/>
    <mergeCell ref="F285:G285"/>
    <mergeCell ref="A3:A4"/>
    <mergeCell ref="F51:G51"/>
    <mergeCell ref="F145:G145"/>
    <mergeCell ref="F443:G443"/>
    <mergeCell ref="F272:G272"/>
    <mergeCell ref="I5:I6"/>
    <mergeCell ref="F380:G380"/>
    <mergeCell ref="F209:G209"/>
    <mergeCell ref="F38:G38"/>
    <mergeCell ref="F274:G274"/>
    <mergeCell ref="F445:G445"/>
    <mergeCell ref="F432:G432"/>
    <mergeCell ref="F140:G140"/>
    <mergeCell ref="F382:G382"/>
    <mergeCell ref="F211:G211"/>
    <mergeCell ref="F67:G67"/>
    <mergeCell ref="F338:G338"/>
    <mergeCell ref="F186:G186"/>
    <mergeCell ref="F82:G82"/>
    <mergeCell ref="F440:G440"/>
    <mergeCell ref="F269:G269"/>
    <mergeCell ref="F486:G486"/>
    <mergeCell ref="F206:G206"/>
    <mergeCell ref="F29:G29"/>
    <mergeCell ref="F300:G300"/>
    <mergeCell ref="F344:G344"/>
    <mergeCell ref="F329:G329"/>
    <mergeCell ref="F158:G158"/>
    <mergeCell ref="F133:G133"/>
    <mergeCell ref="F369:G369"/>
    <mergeCell ref="F418:G418"/>
    <mergeCell ref="F356:G356"/>
    <mergeCell ref="F160:G160"/>
    <mergeCell ref="F135:G135"/>
    <mergeCell ref="F433:G433"/>
    <mergeCell ref="F122:G122"/>
    <mergeCell ref="F153:G153"/>
    <mergeCell ref="F420:G420"/>
    <mergeCell ref="F224:G224"/>
    <mergeCell ref="F491:G491"/>
    <mergeCell ref="F72:G72"/>
    <mergeCell ref="F370:G370"/>
    <mergeCell ref="F199:G199"/>
    <mergeCell ref="F435:G435"/>
    <mergeCell ref="F484:G484"/>
    <mergeCell ref="F293:G293"/>
    <mergeCell ref="F88:G88"/>
    <mergeCell ref="F359:G359"/>
    <mergeCell ref="F148:G148"/>
    <mergeCell ref="F446:G446"/>
    <mergeCell ref="F275:G275"/>
    <mergeCell ref="F54:G54"/>
    <mergeCell ref="B3:B4"/>
    <mergeCell ref="F19:G19"/>
    <mergeCell ref="F212:G212"/>
    <mergeCell ref="F146:G146"/>
    <mergeCell ref="F388:G388"/>
    <mergeCell ref="F6:G6"/>
    <mergeCell ref="F448:G448"/>
    <mergeCell ref="F277:G277"/>
    <mergeCell ref="F304:G304"/>
    <mergeCell ref="F375:G375"/>
    <mergeCell ref="F83:G83"/>
    <mergeCell ref="F276:G276"/>
    <mergeCell ref="F214:G214"/>
    <mergeCell ref="F319:G319"/>
    <mergeCell ref="F368:G368"/>
    <mergeCell ref="F306:G306"/>
    <mergeCell ref="F20:G20"/>
    <mergeCell ref="F85:G85"/>
    <mergeCell ref="F383:G383"/>
    <mergeCell ref="F464:G464"/>
    <mergeCell ref="F303:G303"/>
    <mergeCell ref="F401:G401"/>
    <mergeCell ref="F230:G230"/>
    <mergeCell ref="F9:G9"/>
    <mergeCell ref="F167:G167"/>
    <mergeCell ref="F161:G161"/>
    <mergeCell ref="F288:G288"/>
    <mergeCell ref="F459:G459"/>
    <mergeCell ref="F136:G136"/>
    <mergeCell ref="F207:G207"/>
    <mergeCell ref="F225:G225"/>
    <mergeCell ref="F461:G461"/>
    <mergeCell ref="F271:G271"/>
    <mergeCell ref="F436:G436"/>
    <mergeCell ref="F227:G227"/>
    <mergeCell ref="F202:G202"/>
    <mergeCell ref="F283:G283"/>
    <mergeCell ref="F298:G298"/>
    <mergeCell ref="F325:G325"/>
    <mergeCell ref="F154:G154"/>
    <mergeCell ref="F390:G390"/>
    <mergeCell ref="F414:G414"/>
    <mergeCell ref="F291:G291"/>
    <mergeCell ref="F91:G91"/>
    <mergeCell ref="F389:G389"/>
    <mergeCell ref="F327:G327"/>
    <mergeCell ref="F156:G156"/>
    <mergeCell ref="F454:G454"/>
    <mergeCell ref="F180:G180"/>
    <mergeCell ref="H3:H4"/>
    <mergeCell ref="F416:G416"/>
    <mergeCell ref="J3:J4"/>
    <mergeCell ref="F22:G22"/>
    <mergeCell ref="F155:G155"/>
    <mergeCell ref="F93:G93"/>
    <mergeCell ref="F264:G264"/>
    <mergeCell ref="F149:G149"/>
    <mergeCell ref="F220:G220"/>
    <mergeCell ref="F391:G391"/>
    <mergeCell ref="F385:G385"/>
    <mergeCell ref="H5:H6"/>
    <mergeCell ref="J5:J6"/>
    <mergeCell ref="F151:G151"/>
    <mergeCell ref="F222:G222"/>
    <mergeCell ref="C1:E1"/>
    <mergeCell ref="F182:G182"/>
    <mergeCell ref="F11:G11"/>
    <mergeCell ref="F467:G467"/>
    <mergeCell ref="F296:G296"/>
    <mergeCell ref="F246:G246"/>
    <mergeCell ref="F40:G40"/>
    <mergeCell ref="F233:G233"/>
    <mergeCell ref="F469:G469"/>
    <mergeCell ref="F12:G12"/>
    <mergeCell ref="F177:G177"/>
    <mergeCell ref="F444:G444"/>
    <mergeCell ref="F248:G248"/>
    <mergeCell ref="F104:G104"/>
    <mergeCell ref="F297:G297"/>
    <mergeCell ref="F235:G235"/>
    <mergeCell ref="F462:G462"/>
    <mergeCell ref="F340:G340"/>
    <mergeCell ref="F41:G41"/>
    <mergeCell ref="F35:G35"/>
    <mergeCell ref="F302:G302"/>
    <mergeCell ref="F106:G106"/>
    <mergeCell ref="F404:G404"/>
    <mergeCell ref="F243:G243"/>
    <mergeCell ref="F366:G366"/>
    <mergeCell ref="F130:G130"/>
    <mergeCell ref="F480:G480"/>
    <mergeCell ref="F157:G157"/>
    <mergeCell ref="F132:G132"/>
    <mergeCell ref="F328:G328"/>
    <mergeCell ref="F455:G455"/>
    <mergeCell ref="F430:G430"/>
    <mergeCell ref="F234:G234"/>
    <mergeCell ref="F172:G172"/>
    <mergeCell ref="F221:G221"/>
    <mergeCell ref="F196:G196"/>
    <mergeCell ref="F463:G463"/>
    <mergeCell ref="F392:G392"/>
    <mergeCell ref="F25:G25"/>
    <mergeCell ref="F457:G457"/>
    <mergeCell ref="F236:G236"/>
    <mergeCell ref="F394:G394"/>
    <mergeCell ref="F223:G223"/>
    <mergeCell ref="F173:G173"/>
    <mergeCell ref="I3:I4"/>
    <mergeCell ref="F458:G458"/>
    <mergeCell ref="F287:G287"/>
    <mergeCell ref="F247:G247"/>
    <mergeCell ref="F125:G125"/>
    <mergeCell ref="F318:G318"/>
    <mergeCell ref="F185:G185"/>
    <mergeCell ref="F483:G483"/>
    <mergeCell ref="F312:G312"/>
    <mergeCell ref="F13:G13"/>
    <mergeCell ref="F56:G56"/>
    <mergeCell ref="F249:G249"/>
    <mergeCell ref="F105:G105"/>
    <mergeCell ref="F347:G347"/>
    <mergeCell ref="F176:G176"/>
    <mergeCell ref="F43:G43"/>
    <mergeCell ref="F341:G341"/>
    <mergeCell ref="F170:G170"/>
    <mergeCell ref="F412:G412"/>
    <mergeCell ref="F468:G468"/>
    <mergeCell ref="F120:G120"/>
    <mergeCell ref="F313:G313"/>
    <mergeCell ref="F278:G278"/>
    <mergeCell ref="F107:G107"/>
    <mergeCell ref="F349:G349"/>
    <mergeCell ref="F405:G405"/>
    <mergeCell ref="F57:G57"/>
    <mergeCell ref="F171:G171"/>
    <mergeCell ref="F407:G407"/>
    <mergeCell ref="F438:G438"/>
    <mergeCell ref="F267:G267"/>
    <mergeCell ref="F204:G204"/>
    <mergeCell ref="F33:G33"/>
    <mergeCell ref="D3:D4"/>
    <mergeCell ref="F198:G198"/>
    <mergeCell ref="F465:G465"/>
    <mergeCell ref="F489:G489"/>
    <mergeCell ref="F75:G75"/>
    <mergeCell ref="F231:G231"/>
    <mergeCell ref="F262:G262"/>
    <mergeCell ref="F62:G62"/>
    <mergeCell ref="F31:G31"/>
    <mergeCell ref="F273:G273"/>
    <mergeCell ref="F28:G28"/>
    <mergeCell ref="F239:G239"/>
    <mergeCell ref="F39:G39"/>
    <mergeCell ref="F337:G337"/>
    <mergeCell ref="F64:G64"/>
    <mergeCell ref="F257:G257"/>
    <mergeCell ref="F178:G178"/>
    <mergeCell ref="F476:G476"/>
    <mergeCell ref="F128:G128"/>
    <mergeCell ref="F426:G426"/>
    <mergeCell ref="F364:G364"/>
    <mergeCell ref="F413:G413"/>
    <mergeCell ref="F217:G217"/>
    <mergeCell ref="F478:G478"/>
    <mergeCell ref="F192:G192"/>
    <mergeCell ref="F21:G21"/>
    <mergeCell ref="F252:G252"/>
    <mergeCell ref="F428:G428"/>
    <mergeCell ref="F415:G415"/>
    <mergeCell ref="F194:G194"/>
    <mergeCell ref="F50:G50"/>
    <mergeCell ref="F492:G492"/>
    <mergeCell ref="F110:G110"/>
    <mergeCell ref="F181:G181"/>
    <mergeCell ref="F479:G479"/>
    <mergeCell ref="F141:G141"/>
    <mergeCell ref="F439:G439"/>
    <mergeCell ref="F504:G504"/>
    <mergeCell ref="F333:G333"/>
    <mergeCell ref="H1:J1"/>
    <mergeCell ref="F441:G441"/>
    <mergeCell ref="F270:G270"/>
    <mergeCell ref="F362:G362"/>
    <mergeCell ref="F245:G245"/>
    <mergeCell ref="F49:G49"/>
    <mergeCell ref="F14:G14"/>
    <mergeCell ref="F505:G505"/>
    <mergeCell ref="F1:G1"/>
    <mergeCell ref="F499:G499"/>
    <mergeCell ref="F299:G299"/>
    <mergeCell ref="F78:G78"/>
    <mergeCell ref="F205:G205"/>
    <mergeCell ref="F376:G376"/>
    <mergeCell ref="F314:G314"/>
    <mergeCell ref="F265:G265"/>
    <mergeCell ref="F65:G65"/>
    <mergeCell ref="F363:G363"/>
    <mergeCell ref="F55:G55"/>
    <mergeCell ref="F365:G365"/>
    <mergeCell ref="F169:G169"/>
    <mergeCell ref="F129:G129"/>
    <mergeCell ref="F200:G200"/>
    <mergeCell ref="F131:G131"/>
    <mergeCell ref="F429:G429"/>
    <mergeCell ref="F258:G258"/>
    <mergeCell ref="F500:G500"/>
    <mergeCell ref="F58:G58"/>
    <mergeCell ref="F52:G52"/>
    <mergeCell ref="F494:G494"/>
    <mergeCell ref="F294:G294"/>
    <mergeCell ref="F350:G350"/>
    <mergeCell ref="F37:G37"/>
    <mergeCell ref="F481:G481"/>
    <mergeCell ref="F195:G195"/>
    <mergeCell ref="F431:G431"/>
    <mergeCell ref="F260:G260"/>
    <mergeCell ref="F60:G60"/>
    <mergeCell ref="F358:G358"/>
    <mergeCell ref="F352:G352"/>
    <mergeCell ref="F197:G197"/>
    <mergeCell ref="F53:G53"/>
    <mergeCell ref="F289:G289"/>
    <mergeCell ref="F482:G482"/>
    <mergeCell ref="F68:G68"/>
    <mergeCell ref="F3:F4"/>
    <mergeCell ref="F84:G84"/>
    <mergeCell ref="F320:G320"/>
    <mergeCell ref="F447:G447"/>
    <mergeCell ref="F434:G434"/>
    <mergeCell ref="F15:G15"/>
    <mergeCell ref="F86:G86"/>
    <mergeCell ref="F142:G142"/>
    <mergeCell ref="F384:G384"/>
    <mergeCell ref="F213:G213"/>
    <mergeCell ref="F80:G80"/>
    <mergeCell ref="F378:G378"/>
    <mergeCell ref="F449:G449"/>
    <mergeCell ref="F79:G79"/>
    <mergeCell ref="F321:G321"/>
    <mergeCell ref="F315:G315"/>
    <mergeCell ref="F144:G144"/>
    <mergeCell ref="F386:G386"/>
    <mergeCell ref="F215:G215"/>
    <mergeCell ref="F373:G373"/>
    <mergeCell ref="F81:G81"/>
    <mergeCell ref="F460:G460"/>
    <mergeCell ref="F381:G381"/>
    <mergeCell ref="F210:G210"/>
    <mergeCell ref="F226:G226"/>
    <mergeCell ref="F437:G437"/>
    <mergeCell ref="F241:G241"/>
    <mergeCell ref="F284:G284"/>
    <mergeCell ref="F10:G10"/>
    <mergeCell ref="F63:G63"/>
    <mergeCell ref="F501:G501"/>
    <mergeCell ref="F34:G34"/>
    <mergeCell ref="F99:G99"/>
    <mergeCell ref="F292:G292"/>
    <mergeCell ref="F397:G397"/>
    <mergeCell ref="F286:G286"/>
    <mergeCell ref="F74:G74"/>
    <mergeCell ref="F372:G372"/>
    <mergeCell ref="F310:G310"/>
    <mergeCell ref="F503:G503"/>
    <mergeCell ref="F30:G30"/>
    <mergeCell ref="F138:G138"/>
    <mergeCell ref="F5:G5"/>
    <mergeCell ref="F76:G76"/>
    <mergeCell ref="F374:G374"/>
    <mergeCell ref="F94:G94"/>
    <mergeCell ref="F361:G361"/>
    <mergeCell ref="F150:G150"/>
    <mergeCell ref="F475:G475"/>
    <mergeCell ref="F323:G323"/>
    <mergeCell ref="F152:G152"/>
    <mergeCell ref="F450:G450"/>
    <mergeCell ref="F279:G279"/>
    <mergeCell ref="C3:C4"/>
    <mergeCell ref="E3:E4"/>
    <mergeCell ref="F387:G387"/>
    <mergeCell ref="F216:G216"/>
    <mergeCell ref="F343:G343"/>
    <mergeCell ref="F281:G281"/>
    <mergeCell ref="F452:G452"/>
    <mergeCell ref="F87:G87"/>
    <mergeCell ref="F451:G451"/>
    <mergeCell ref="F280:G280"/>
    <mergeCell ref="F218:G218"/>
    <mergeCell ref="F147:G147"/>
    <mergeCell ref="F89:G89"/>
    <mergeCell ref="F309:G309"/>
    <mergeCell ref="F7:G7"/>
    <mergeCell ref="F305:G305"/>
    <mergeCell ref="F242:G242"/>
    <mergeCell ref="F36:G36"/>
    <mergeCell ref="F307:G307"/>
    <mergeCell ref="F334:G334"/>
    <mergeCell ref="F163:G163"/>
    <mergeCell ref="F101:G101"/>
    <mergeCell ref="F8:G8"/>
    <mergeCell ref="F244:G244"/>
    <mergeCell ref="F100:G100"/>
    <mergeCell ref="F342:G342"/>
    <mergeCell ref="F336:G336"/>
    <mergeCell ref="F165:G165"/>
    <mergeCell ref="F311:G311"/>
    <mergeCell ref="F115:G115"/>
    <mergeCell ref="F308:G308"/>
    <mergeCell ref="F102:G102"/>
    <mergeCell ref="F425:G425"/>
    <mergeCell ref="F229:G229"/>
    <mergeCell ref="F400:G400"/>
    <mergeCell ref="F77:G77"/>
    <mergeCell ref="F166:G166"/>
    <mergeCell ref="F402:G402"/>
    <mergeCell ref="F377:G377"/>
    <mergeCell ref="F191:G191"/>
    <mergeCell ref="F255:G255"/>
    <mergeCell ref="F316:G316"/>
    <mergeCell ref="F59:G59"/>
    <mergeCell ref="F301:G301"/>
    <mergeCell ref="F24:G24"/>
    <mergeCell ref="F295:G295"/>
    <mergeCell ref="F95:G95"/>
    <mergeCell ref="F393:G393"/>
    <mergeCell ref="F282:G282"/>
    <mergeCell ref="F453:G453"/>
    <mergeCell ref="F331:G331"/>
    <mergeCell ref="F113:G113"/>
    <mergeCell ref="F232:G232"/>
    <mergeCell ref="F32:G32"/>
    <mergeCell ref="F330:G330"/>
    <mergeCell ref="F159:G159"/>
    <mergeCell ref="F219:G219"/>
    <mergeCell ref="F324:G324"/>
    <mergeCell ref="F26:G26"/>
    <mergeCell ref="F395:G395"/>
    <mergeCell ref="F268:G268"/>
    <mergeCell ref="F97:G97"/>
    <mergeCell ref="F90:G90"/>
    <mergeCell ref="F184:G184"/>
    <mergeCell ref="F27:G27"/>
    <mergeCell ref="F456:G456"/>
    <mergeCell ref="F471:G471"/>
    <mergeCell ref="F123:G123"/>
    <mergeCell ref="F179:G179"/>
    <mergeCell ref="F250:G250"/>
    <mergeCell ref="F44:G44"/>
  </mergeCells>
  <conditionalFormatting sqref="G3:G4">
    <cfRule type="cellIs" priority="1" operator="lessThan" dxfId="1">
      <formula>0</formula>
    </cfRule>
    <cfRule type="cellIs" priority="2" operator="greaterThanOrEqual" dxfId="0">
      <formula>0</formula>
    </cfRule>
  </conditionalFormatting>
  <pageMargins left="0.25" right="0.25" top="0.75" bottom="0.75" header="0.3" footer="0.3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06"/>
  <sheetViews>
    <sheetView zoomScaleNormal="100" workbookViewId="0">
      <selection activeCell="D44" sqref="D44"/>
    </sheetView>
  </sheetViews>
  <sheetFormatPr baseColWidth="8" defaultColWidth="8.875" defaultRowHeight="17.25"/>
  <cols>
    <col width="15.125" customWidth="1" style="11" min="1" max="2"/>
    <col width="15" customWidth="1" style="23" min="3" max="3"/>
    <col width="12.875" customWidth="1" style="11" min="4" max="4"/>
    <col width="17" customWidth="1" style="11" min="5" max="5"/>
    <col width="12.75" customWidth="1" style="11" min="6" max="6"/>
    <col width="12.875" customWidth="1" style="11" min="7" max="7"/>
    <col width="8.875" customWidth="1" style="12" min="8" max="8"/>
    <col width="12.625" customWidth="1" style="12" min="9" max="9"/>
    <col width="8.875" customWidth="1" style="12" min="10" max="10"/>
    <col width="8.875" customWidth="1" style="13" min="11" max="1024"/>
    <col width="8.875" customWidth="1" min="1025" max="1108"/>
  </cols>
  <sheetData>
    <row r="1" ht="30" customHeight="1">
      <c r="A1" s="14" t="n"/>
      <c r="B1" s="15" t="n"/>
      <c r="C1" s="53" t="inlineStr">
        <is>
          <t>存股統計專用表格</t>
        </is>
      </c>
      <c r="D1" s="54" t="n"/>
      <c r="E1" s="54" t="n"/>
      <c r="F1" s="58" t="inlineStr">
        <is>
          <t>00692.TW</t>
        </is>
      </c>
      <c r="G1" s="42" t="n"/>
      <c r="H1" s="57" t="n"/>
      <c r="I1" s="44" t="n"/>
      <c r="J1" s="42" t="n"/>
    </row>
    <row r="2" ht="21.75" customHeight="1">
      <c r="A2" s="4" t="inlineStr">
        <is>
          <t>實際成本</t>
        </is>
      </c>
      <c r="B2" s="4" t="inlineStr">
        <is>
          <t>帳面成本</t>
        </is>
      </c>
      <c r="C2" s="4" t="inlineStr">
        <is>
          <t>目前市價</t>
        </is>
      </c>
      <c r="D2" s="4" t="inlineStr">
        <is>
          <t>總股數</t>
        </is>
      </c>
      <c r="E2" s="4" t="inlineStr">
        <is>
          <t>總成本</t>
        </is>
      </c>
      <c r="F2" s="4" t="inlineStr">
        <is>
          <t>股利+借券</t>
        </is>
      </c>
      <c r="G2" s="4" t="inlineStr">
        <is>
          <t>報酬率(含息)</t>
        </is>
      </c>
      <c r="H2" s="47" t="n"/>
      <c r="I2" s="47" t="n"/>
      <c r="J2" s="19" t="n"/>
    </row>
    <row r="3" ht="18.75" customHeight="1">
      <c r="A3" s="45">
        <f>(E3-F3)/D3</f>
        <v/>
      </c>
      <c r="B3" s="49">
        <f>E3/D3</f>
        <v/>
      </c>
      <c r="C3" s="61" t="inlineStr">
        <is>
          <t>61.25</t>
        </is>
      </c>
      <c r="D3" s="56">
        <f>SUM(D7:D505)</f>
        <v/>
      </c>
      <c r="E3" s="59">
        <f>SUM(E7:E505)</f>
        <v/>
      </c>
      <c r="F3" s="59">
        <f>SUM(F6:G505)</f>
        <v/>
      </c>
      <c r="G3" s="7">
        <f>G4/E3</f>
        <v/>
      </c>
      <c r="H3" s="51" t="n"/>
      <c r="I3" s="135" t="n"/>
      <c r="J3" s="52" t="n"/>
    </row>
    <row r="4" ht="18.75" customHeight="1">
      <c r="A4" s="46" t="n"/>
      <c r="B4" s="46" t="n"/>
      <c r="C4" s="48" t="n"/>
      <c r="D4" s="46" t="n"/>
      <c r="E4" s="46" t="n"/>
      <c r="F4" s="46" t="n"/>
      <c r="G4" s="136">
        <f>D3*C3-E3+F3</f>
        <v/>
      </c>
      <c r="H4" s="48" t="n"/>
      <c r="I4" s="48" t="n"/>
      <c r="J4" s="48" t="n"/>
    </row>
    <row r="5">
      <c r="A5" s="16" t="inlineStr">
        <is>
          <t>交易筆數</t>
        </is>
      </c>
      <c r="B5" s="24" t="inlineStr">
        <is>
          <t>購買日期</t>
        </is>
      </c>
      <c r="C5" s="16" t="inlineStr">
        <is>
          <t>購入價格</t>
        </is>
      </c>
      <c r="D5" s="16" t="inlineStr">
        <is>
          <t>股數</t>
        </is>
      </c>
      <c r="E5" s="16" t="inlineStr">
        <is>
          <t>持有成本</t>
        </is>
      </c>
      <c r="F5" s="60" t="inlineStr">
        <is>
          <t>股利</t>
        </is>
      </c>
      <c r="G5" s="42" t="n"/>
      <c r="H5" s="47" t="n"/>
      <c r="I5" s="47" t="n"/>
      <c r="J5" s="47" t="n"/>
    </row>
    <row r="6">
      <c r="A6" s="17" t="n">
        <v>1</v>
      </c>
      <c r="B6" s="43" t="inlineStr">
        <is>
          <t>借券收入</t>
        </is>
      </c>
      <c r="C6" s="44" t="n"/>
      <c r="D6" s="44" t="n"/>
      <c r="E6" s="42" t="n"/>
      <c r="F6" s="50" t="n"/>
      <c r="G6" s="42" t="n"/>
      <c r="H6" s="48" t="n"/>
      <c r="I6" s="48" t="n"/>
      <c r="J6" s="48" t="n"/>
    </row>
    <row r="7">
      <c r="A7" s="17" t="n">
        <v>2</v>
      </c>
      <c r="B7" s="25" t="inlineStr">
        <is>
          <t>2023.08.09</t>
        </is>
      </c>
      <c r="C7" s="41" t="n">
        <v>31.92</v>
      </c>
      <c r="D7" s="41" t="n">
        <v>30</v>
      </c>
      <c r="E7" s="41" t="n">
        <v>958</v>
      </c>
      <c r="F7" s="41" t="n"/>
      <c r="G7" s="42" t="n"/>
      <c r="H7" s="20" t="n"/>
      <c r="I7" s="20" t="n"/>
      <c r="J7" s="20" t="n"/>
    </row>
    <row r="8">
      <c r="A8" s="17" t="n">
        <v>3</v>
      </c>
      <c r="B8" s="25" t="inlineStr">
        <is>
          <t>2023.08.18</t>
        </is>
      </c>
      <c r="C8" s="41" t="n">
        <v>31.18</v>
      </c>
      <c r="D8" s="41" t="n">
        <v>1000</v>
      </c>
      <c r="E8" s="41" t="n">
        <v>31224</v>
      </c>
      <c r="F8" s="41" t="n"/>
      <c r="G8" s="42" t="n"/>
      <c r="H8" s="20" t="n"/>
      <c r="I8" s="20" t="n"/>
      <c r="J8" s="20" t="n"/>
    </row>
    <row r="9">
      <c r="A9" s="17" t="n">
        <v>4</v>
      </c>
      <c r="B9" s="25" t="inlineStr">
        <is>
          <t>2023.09.11</t>
        </is>
      </c>
      <c r="C9" s="41" t="n">
        <v>31.03</v>
      </c>
      <c r="D9" s="41" t="n">
        <v>30</v>
      </c>
      <c r="E9" s="41" t="n">
        <v>932</v>
      </c>
      <c r="F9" s="41" t="n"/>
      <c r="G9" s="42" t="n"/>
      <c r="H9" s="20" t="n"/>
      <c r="I9" s="20" t="n"/>
      <c r="J9" s="20" t="n"/>
    </row>
    <row r="10">
      <c r="A10" s="17" t="n">
        <v>5</v>
      </c>
      <c r="B10" s="25" t="inlineStr">
        <is>
          <t>2023.10.06</t>
        </is>
      </c>
      <c r="C10" s="41" t="n">
        <v>31.12</v>
      </c>
      <c r="D10" s="41" t="n">
        <v>31</v>
      </c>
      <c r="E10" s="18" t="n">
        <v>966</v>
      </c>
      <c r="F10" s="41" t="n"/>
      <c r="G10" s="42" t="n"/>
      <c r="H10" s="20" t="n"/>
      <c r="I10" s="20" t="n"/>
      <c r="J10" s="20" t="n"/>
    </row>
    <row r="11">
      <c r="A11" s="17" t="n">
        <v>6</v>
      </c>
      <c r="B11" s="25" t="inlineStr">
        <is>
          <t>2023.10.24</t>
        </is>
      </c>
      <c r="C11" s="41" t="n">
        <v>30.79</v>
      </c>
      <c r="D11" s="41" t="n">
        <v>50</v>
      </c>
      <c r="E11" s="41" t="n">
        <v>1541</v>
      </c>
      <c r="F11" s="41" t="n"/>
      <c r="G11" s="42" t="n"/>
      <c r="H11" s="20" t="n"/>
      <c r="I11" s="20" t="n"/>
      <c r="J11" s="20" t="n"/>
    </row>
    <row r="12">
      <c r="A12" s="17" t="n">
        <v>7</v>
      </c>
      <c r="B12" s="25" t="inlineStr">
        <is>
          <t>2023.11.06</t>
        </is>
      </c>
      <c r="C12" s="41" t="n">
        <v>31.67</v>
      </c>
      <c r="D12" s="41" t="n">
        <v>30</v>
      </c>
      <c r="E12" s="41" t="n">
        <v>951</v>
      </c>
      <c r="F12" s="41" t="n"/>
      <c r="G12" s="42" t="n"/>
      <c r="H12" s="20" t="n"/>
      <c r="I12" s="20" t="n"/>
      <c r="J12" s="20" t="n"/>
    </row>
    <row r="13">
      <c r="A13" s="17" t="n">
        <v>8</v>
      </c>
      <c r="B13" s="25" t="inlineStr">
        <is>
          <t>2023.12.06</t>
        </is>
      </c>
      <c r="C13" s="41" t="n">
        <v>31.67</v>
      </c>
      <c r="D13" s="41" t="n">
        <v>30</v>
      </c>
      <c r="E13" s="41" t="n">
        <v>951</v>
      </c>
      <c r="F13" s="41" t="n"/>
      <c r="G13" s="42" t="n"/>
      <c r="H13" s="20" t="n"/>
      <c r="I13" s="20" t="n"/>
      <c r="J13" s="20" t="n"/>
    </row>
    <row r="14">
      <c r="A14" s="17" t="n">
        <v>9</v>
      </c>
      <c r="B14" s="25" t="inlineStr">
        <is>
          <t>2023.12.12</t>
        </is>
      </c>
      <c r="C14" s="41" t="n"/>
      <c r="D14" s="41" t="n"/>
      <c r="E14" s="41" t="n"/>
      <c r="F14" s="41" t="n">
        <v>1234</v>
      </c>
      <c r="G14" s="42" t="n"/>
      <c r="H14" s="20" t="n"/>
      <c r="I14" s="20" t="n"/>
      <c r="J14" s="20" t="n"/>
    </row>
    <row r="15">
      <c r="A15" s="17" t="n">
        <v>10</v>
      </c>
      <c r="B15" s="25" t="inlineStr">
        <is>
          <t>2024.01.08</t>
        </is>
      </c>
      <c r="C15" s="41" t="n">
        <v>32.1</v>
      </c>
      <c r="D15" s="41" t="n">
        <v>30</v>
      </c>
      <c r="E15" s="41" t="n">
        <v>964</v>
      </c>
      <c r="F15" s="41" t="n"/>
      <c r="G15" s="42" t="n"/>
      <c r="H15" s="20" t="n"/>
      <c r="I15" s="20" t="n"/>
      <c r="J15" s="20" t="n"/>
    </row>
    <row r="16">
      <c r="A16" s="17" t="n">
        <v>11</v>
      </c>
      <c r="B16" s="25" t="inlineStr">
        <is>
          <t>2024.01.17</t>
        </is>
      </c>
      <c r="C16" s="41" t="n">
        <v>31.57</v>
      </c>
      <c r="D16" s="41" t="n">
        <v>50</v>
      </c>
      <c r="E16" s="41" t="n">
        <v>1580</v>
      </c>
      <c r="F16" s="41" t="n"/>
      <c r="G16" s="42" t="n"/>
      <c r="H16" s="20" t="n"/>
      <c r="I16" s="20" t="n"/>
      <c r="J16" s="20" t="n"/>
    </row>
    <row r="17" ht="16.5" customFormat="1" customHeight="1" s="12">
      <c r="A17" s="17" t="n">
        <v>12</v>
      </c>
      <c r="B17" s="25" t="inlineStr">
        <is>
          <t>2024.02.15</t>
        </is>
      </c>
      <c r="C17" s="41" t="n">
        <v>34.36</v>
      </c>
      <c r="D17" s="41" t="n">
        <v>28</v>
      </c>
      <c r="E17" s="41" t="n">
        <v>863</v>
      </c>
      <c r="F17" s="41" t="n"/>
      <c r="G17" s="42" t="n"/>
      <c r="H17" s="20" t="n"/>
      <c r="I17" s="20" t="n"/>
      <c r="J17" s="20" t="n"/>
    </row>
    <row r="18" ht="16.5" customFormat="1" customHeight="1" s="12">
      <c r="A18" s="17" t="n">
        <v>13</v>
      </c>
      <c r="B18" s="25" t="inlineStr">
        <is>
          <t>2024.03.06</t>
        </is>
      </c>
      <c r="C18" s="41" t="n">
        <v>35.65</v>
      </c>
      <c r="D18" s="41" t="n">
        <v>26</v>
      </c>
      <c r="E18" s="41" t="n">
        <v>928</v>
      </c>
      <c r="F18" s="41" t="n"/>
      <c r="G18" s="42" t="n"/>
      <c r="H18" s="20" t="n"/>
      <c r="I18" s="20" t="n"/>
      <c r="J18" s="20" t="n"/>
    </row>
    <row r="19" ht="16.5" customFormat="1" customHeight="1" s="12">
      <c r="A19" s="17" t="n">
        <v>14</v>
      </c>
      <c r="B19" s="25" t="inlineStr">
        <is>
          <t>2024.04.08</t>
        </is>
      </c>
      <c r="C19" s="41" t="n">
        <v>38.24</v>
      </c>
      <c r="D19" s="41" t="n">
        <v>25</v>
      </c>
      <c r="E19" s="41" t="n">
        <v>957</v>
      </c>
      <c r="F19" s="41" t="n"/>
      <c r="G19" s="42" t="n"/>
      <c r="H19" s="20" t="n"/>
      <c r="I19" s="20" t="n"/>
      <c r="J19" s="20" t="n"/>
    </row>
    <row r="20" ht="16.5" customFormat="1" customHeight="1" s="12">
      <c r="A20" s="17" t="n">
        <v>15</v>
      </c>
      <c r="B20" s="25" t="inlineStr">
        <is>
          <t>2024.05.06</t>
        </is>
      </c>
      <c r="C20" s="41" t="n">
        <v>38.52</v>
      </c>
      <c r="D20" s="41" t="n">
        <v>25</v>
      </c>
      <c r="E20" s="41" t="n">
        <v>964</v>
      </c>
      <c r="F20" s="41" t="n"/>
      <c r="G20" s="42" t="n"/>
      <c r="H20" s="20" t="n"/>
      <c r="I20" s="20" t="n"/>
      <c r="J20" s="20" t="n"/>
    </row>
    <row r="21" ht="16.5" customFormat="1" customHeight="1" s="12">
      <c r="A21" s="17" t="n">
        <v>16</v>
      </c>
      <c r="B21" s="25" t="inlineStr">
        <is>
          <t>2024.06.06</t>
        </is>
      </c>
      <c r="C21" s="41" t="n">
        <v>41.65</v>
      </c>
      <c r="D21" s="41" t="n">
        <v>23</v>
      </c>
      <c r="E21" s="41" t="n">
        <v>959</v>
      </c>
      <c r="F21" s="41" t="n"/>
      <c r="G21" s="42" t="n"/>
      <c r="H21" s="20" t="n"/>
      <c r="I21" s="20" t="n"/>
      <c r="J21" s="20" t="n"/>
    </row>
    <row r="22" ht="16.5" customFormat="1" customHeight="1" s="12">
      <c r="A22" s="17" t="n">
        <v>17</v>
      </c>
      <c r="B22" s="25" t="inlineStr">
        <is>
          <t>2024.07.08</t>
        </is>
      </c>
      <c r="C22" s="41" t="n">
        <v>46.29</v>
      </c>
      <c r="D22" s="41" t="n">
        <v>21</v>
      </c>
      <c r="E22" s="41" t="n">
        <v>973</v>
      </c>
      <c r="F22" s="41" t="n"/>
      <c r="G22" s="42" t="n"/>
      <c r="H22" s="20" t="n"/>
      <c r="I22" s="20" t="n"/>
      <c r="J22" s="20" t="n"/>
    </row>
    <row r="23" ht="16.5" customFormat="1" customHeight="1" s="12">
      <c r="A23" s="17" t="n">
        <v>18</v>
      </c>
      <c r="B23" s="25" t="inlineStr">
        <is>
          <t>2024.08.06</t>
        </is>
      </c>
      <c r="C23" s="41" t="n">
        <v>39.24</v>
      </c>
      <c r="D23" s="41" t="n">
        <v>25</v>
      </c>
      <c r="E23" s="41" t="n">
        <v>982</v>
      </c>
      <c r="F23" s="41" t="n"/>
      <c r="G23" s="42" t="n"/>
      <c r="H23" s="20" t="n"/>
      <c r="I23" s="20" t="n"/>
      <c r="J23" s="20" t="n"/>
    </row>
    <row r="24" ht="16.5" customFormat="1" customHeight="1" s="12">
      <c r="A24" s="17" t="n">
        <v>19</v>
      </c>
      <c r="B24" s="25" t="inlineStr">
        <is>
          <t>2024.08.09</t>
        </is>
      </c>
      <c r="C24" s="41" t="n"/>
      <c r="D24" s="41" t="n"/>
      <c r="E24" s="41" t="n"/>
      <c r="F24" s="41" t="n">
        <v>593</v>
      </c>
      <c r="G24" s="42" t="n"/>
      <c r="H24" s="20" t="n"/>
      <c r="I24" s="20" t="n"/>
      <c r="J24" s="20" t="n"/>
    </row>
    <row r="25" ht="16.5" customFormat="1" customHeight="1" s="12">
      <c r="A25" s="17" t="n">
        <v>20</v>
      </c>
      <c r="B25" s="25" t="inlineStr">
        <is>
          <t>2024.08.16</t>
        </is>
      </c>
      <c r="C25" s="41" t="n">
        <v>43</v>
      </c>
      <c r="D25" s="41" t="n">
        <v>11</v>
      </c>
      <c r="E25" s="41" t="n">
        <v>474</v>
      </c>
      <c r="F25" s="41" t="n"/>
      <c r="G25" s="42" t="n"/>
      <c r="H25" s="20" t="n"/>
      <c r="I25" s="20" t="n"/>
      <c r="J25" s="20" t="n"/>
    </row>
    <row r="26" ht="16.5" customFormat="1" customHeight="1" s="12">
      <c r="A26" s="17" t="n">
        <v>21</v>
      </c>
      <c r="B26" s="25" t="inlineStr">
        <is>
          <t>2024.09.06</t>
        </is>
      </c>
      <c r="C26" s="41" t="n">
        <v>41.04</v>
      </c>
      <c r="D26" s="41" t="n">
        <v>24</v>
      </c>
      <c r="E26" s="41" t="n">
        <v>986</v>
      </c>
      <c r="F26" s="41" t="n"/>
      <c r="G26" s="42" t="n"/>
      <c r="H26" s="20" t="n"/>
      <c r="I26" s="20" t="n"/>
      <c r="J26" s="20" t="n"/>
    </row>
    <row r="27" ht="16.5" customFormat="1" customHeight="1" s="12">
      <c r="A27" s="17" t="n">
        <v>22</v>
      </c>
      <c r="B27" s="25" t="inlineStr">
        <is>
          <t>2024.10.07</t>
        </is>
      </c>
      <c r="C27" s="41" t="n">
        <v>43.86</v>
      </c>
      <c r="D27" s="41" t="n">
        <v>22</v>
      </c>
      <c r="E27" s="41" t="n">
        <v>965</v>
      </c>
      <c r="F27" s="41" t="n"/>
      <c r="G27" s="42" t="n"/>
      <c r="H27" s="20" t="n"/>
      <c r="I27" s="20" t="n"/>
      <c r="J27" s="20" t="n"/>
    </row>
    <row r="28" ht="16.5" customFormat="1" customHeight="1" s="12">
      <c r="A28" s="17" t="n">
        <v>23</v>
      </c>
      <c r="B28" s="25" t="inlineStr">
        <is>
          <t>2024.11.06</t>
        </is>
      </c>
      <c r="C28" s="41" t="n">
        <v>45.76</v>
      </c>
      <c r="D28" s="41" t="n">
        <v>21</v>
      </c>
      <c r="E28" s="41" t="n">
        <v>962</v>
      </c>
      <c r="F28" s="41" t="n"/>
      <c r="G28" s="42" t="n"/>
      <c r="H28" s="20" t="n"/>
      <c r="I28" s="20" t="n"/>
      <c r="J28" s="20" t="n"/>
    </row>
    <row r="29" ht="16.5" customFormat="1" customHeight="1" s="12">
      <c r="A29" s="17" t="n">
        <v>24</v>
      </c>
      <c r="B29" s="25" t="inlineStr">
        <is>
          <t>2024.12.06</t>
        </is>
      </c>
      <c r="C29" s="41" t="n">
        <v>44.95</v>
      </c>
      <c r="D29" s="41" t="n">
        <v>22</v>
      </c>
      <c r="E29" s="41" t="n">
        <v>990</v>
      </c>
      <c r="F29" s="41" t="n"/>
      <c r="G29" s="42" t="n"/>
      <c r="H29" s="20" t="n"/>
      <c r="I29" s="20" t="n"/>
      <c r="J29" s="20" t="n"/>
    </row>
    <row r="30" ht="16.5" customFormat="1" customHeight="1" s="12">
      <c r="A30" s="17" t="n">
        <v>25</v>
      </c>
      <c r="B30" s="25" t="inlineStr">
        <is>
          <t>2024.12.12</t>
        </is>
      </c>
      <c r="C30" s="41" t="n"/>
      <c r="D30" s="41" t="n"/>
      <c r="E30" s="41" t="n"/>
      <c r="F30" s="41" t="n">
        <v>919</v>
      </c>
      <c r="G30" s="42" t="n"/>
      <c r="H30" s="20" t="n"/>
      <c r="I30" s="20" t="n"/>
      <c r="J30" s="20" t="n"/>
    </row>
    <row r="31" ht="16.5" customFormat="1" customHeight="1" s="12">
      <c r="A31" s="17" t="n">
        <v>26</v>
      </c>
      <c r="B31" s="25" t="inlineStr">
        <is>
          <t>2024.12.19</t>
        </is>
      </c>
      <c r="C31" s="41" t="n">
        <v>44.45</v>
      </c>
      <c r="D31" s="41" t="n">
        <v>20</v>
      </c>
      <c r="E31" s="41" t="n">
        <v>890</v>
      </c>
      <c r="F31" s="41" t="n"/>
      <c r="G31" s="42" t="n"/>
      <c r="H31" s="20" t="n"/>
      <c r="I31" s="20" t="n"/>
      <c r="J31" s="20" t="n"/>
    </row>
    <row r="32" ht="16.5" customFormat="1" customHeight="1" s="12">
      <c r="A32" s="17" t="n">
        <v>27</v>
      </c>
      <c r="B32" s="25" t="inlineStr">
        <is>
          <t>2025.01.06</t>
        </is>
      </c>
      <c r="C32" s="41" t="n">
        <v>45.95</v>
      </c>
      <c r="D32" s="41" t="n">
        <v>21</v>
      </c>
      <c r="E32" s="41" t="n">
        <v>966</v>
      </c>
      <c r="F32" s="41" t="n"/>
      <c r="G32" s="42" t="n"/>
      <c r="H32" s="20" t="n"/>
      <c r="I32" s="20" t="n"/>
      <c r="J32" s="20" t="n"/>
    </row>
    <row r="33" ht="16.5" customFormat="1" customHeight="1" s="12">
      <c r="A33" s="17" t="n">
        <v>28</v>
      </c>
      <c r="B33" s="25" t="inlineStr">
        <is>
          <t>2025.02.06</t>
        </is>
      </c>
      <c r="C33" s="41" t="n">
        <v>45.67</v>
      </c>
      <c r="D33" s="41" t="n">
        <v>21</v>
      </c>
      <c r="E33" s="41" t="n">
        <v>960</v>
      </c>
      <c r="F33" s="41" t="n"/>
      <c r="G33" s="42" t="n"/>
      <c r="H33" s="20" t="n"/>
      <c r="I33" s="20" t="n"/>
      <c r="J33" s="20" t="n"/>
    </row>
    <row r="34" ht="16.5" customFormat="1" customHeight="1" s="12">
      <c r="A34" s="17" t="n">
        <v>29</v>
      </c>
      <c r="B34" s="25" t="inlineStr">
        <is>
          <t>2025.03.06</t>
        </is>
      </c>
      <c r="C34" s="41" t="n">
        <v>43.82</v>
      </c>
      <c r="D34" s="41" t="n">
        <v>22</v>
      </c>
      <c r="E34" s="41" t="n">
        <v>965</v>
      </c>
      <c r="F34" s="41" t="n"/>
      <c r="G34" s="42" t="n"/>
      <c r="H34" s="20" t="n"/>
      <c r="I34" s="20" t="n"/>
      <c r="J34" s="20" t="n"/>
    </row>
    <row r="35" ht="16.5" customFormat="1" customHeight="1" s="12">
      <c r="A35" s="17" t="n">
        <v>30</v>
      </c>
      <c r="B35" s="25" t="inlineStr">
        <is>
          <t>2025.04.07</t>
        </is>
      </c>
      <c r="C35" s="41" t="n">
        <v>37.08</v>
      </c>
      <c r="D35" s="41" t="n">
        <v>26</v>
      </c>
      <c r="E35" s="41" t="n">
        <v>965</v>
      </c>
      <c r="F35" s="41" t="n"/>
      <c r="G35" s="42" t="n"/>
      <c r="H35" s="20" t="n"/>
      <c r="I35" s="20" t="n"/>
      <c r="J35" s="20" t="n"/>
    </row>
    <row r="36" ht="16.5" customFormat="1" customHeight="1" s="12">
      <c r="A36" s="17" t="n">
        <v>31</v>
      </c>
      <c r="B36" s="25" t="inlineStr">
        <is>
          <t>2025.05.06</t>
        </is>
      </c>
      <c r="C36" s="41" t="n">
        <v>39.92</v>
      </c>
      <c r="D36" s="41" t="n">
        <v>24</v>
      </c>
      <c r="E36" s="41" t="n">
        <v>959</v>
      </c>
      <c r="F36" s="41" t="n"/>
      <c r="G36" s="42" t="n"/>
      <c r="H36" s="20" t="n"/>
      <c r="I36" s="20" t="n"/>
      <c r="J36" s="20" t="n"/>
    </row>
    <row r="37" ht="16.5" customFormat="1" customHeight="1" s="12">
      <c r="A37" s="17" t="n">
        <v>32</v>
      </c>
      <c r="B37" s="25" t="inlineStr">
        <is>
          <t>2025.06.06</t>
        </is>
      </c>
      <c r="C37" s="41" t="n">
        <v>42.22</v>
      </c>
      <c r="D37" s="41" t="n">
        <v>23</v>
      </c>
      <c r="E37" s="41" t="n">
        <v>972</v>
      </c>
      <c r="F37" s="41" t="n"/>
      <c r="G37" s="42" t="n"/>
      <c r="H37" s="20" t="n"/>
      <c r="I37" s="20" t="n"/>
      <c r="J37" s="20" t="n"/>
    </row>
    <row r="38" ht="16.5" customFormat="1" customHeight="1" s="12">
      <c r="A38" s="17" t="n">
        <v>33</v>
      </c>
      <c r="B38" s="25" t="inlineStr">
        <is>
          <t>2025.07.07</t>
        </is>
      </c>
      <c r="C38" s="41" t="n">
        <v>44.82</v>
      </c>
      <c r="D38" s="41" t="n">
        <v>22</v>
      </c>
      <c r="E38" s="41" t="n">
        <v>987</v>
      </c>
      <c r="F38" s="41" t="n"/>
      <c r="G38" s="42" t="n"/>
      <c r="H38" s="20" t="n"/>
      <c r="I38" s="20" t="n"/>
      <c r="J38" s="20" t="n"/>
    </row>
    <row r="39" ht="16.5" customFormat="1" customHeight="1" s="12">
      <c r="A39" s="17" t="n">
        <v>34</v>
      </c>
      <c r="B39" s="25" t="inlineStr">
        <is>
          <t>2025.08.06</t>
        </is>
      </c>
      <c r="C39" s="41" t="n">
        <v>46.48</v>
      </c>
      <c r="D39" s="41" t="n">
        <v>21</v>
      </c>
      <c r="E39" s="41" t="n">
        <v>977</v>
      </c>
      <c r="F39" s="41" t="n"/>
      <c r="G39" s="42" t="n"/>
      <c r="H39" s="20" t="n"/>
      <c r="I39" s="20" t="n"/>
      <c r="J39" s="20" t="n"/>
    </row>
    <row r="40" ht="16.5" customFormat="1" customHeight="1" s="12">
      <c r="A40" s="17" t="n">
        <v>35</v>
      </c>
      <c r="B40" s="25" t="inlineStr">
        <is>
          <t>2025.08.08</t>
        </is>
      </c>
      <c r="C40" s="41" t="n"/>
      <c r="D40" s="41" t="n"/>
      <c r="E40" s="41" t="n"/>
      <c r="F40" s="41" t="n">
        <v>1088</v>
      </c>
      <c r="G40" s="42" t="n"/>
      <c r="H40" s="20" t="n"/>
      <c r="I40" s="20" t="n"/>
      <c r="J40" s="20" t="n"/>
    </row>
    <row r="41" ht="16.5" customFormat="1" customHeight="1" s="12">
      <c r="A41" s="17" t="n">
        <v>36</v>
      </c>
      <c r="B41" s="25" t="inlineStr">
        <is>
          <t>2025.08.13</t>
        </is>
      </c>
      <c r="C41" s="41" t="n">
        <v>48.25</v>
      </c>
      <c r="D41" s="41" t="n">
        <v>20</v>
      </c>
      <c r="E41" s="41" t="n">
        <v>966</v>
      </c>
      <c r="F41" s="41" t="n"/>
      <c r="G41" s="42" t="n"/>
      <c r="H41" s="20" t="n"/>
      <c r="I41" s="20" t="n"/>
      <c r="J41" s="20" t="n"/>
    </row>
    <row r="42" ht="16.5" customFormat="1" customHeight="1" s="12">
      <c r="A42" s="17" t="n">
        <v>37</v>
      </c>
      <c r="B42" s="25" t="inlineStr">
        <is>
          <t>2025.09.08</t>
        </is>
      </c>
      <c r="C42" s="41" t="n">
        <v>48.6</v>
      </c>
      <c r="D42" s="41" t="n">
        <v>20</v>
      </c>
      <c r="E42" s="41" t="n">
        <v>973</v>
      </c>
      <c r="F42" s="41" t="n"/>
      <c r="G42" s="42" t="n"/>
      <c r="H42" s="20" t="n"/>
      <c r="I42" s="20" t="n"/>
      <c r="J42" s="20" t="n"/>
    </row>
    <row r="43" ht="16.5" customFormat="1" customHeight="1" s="12">
      <c r="A43" s="17" t="n">
        <v>38</v>
      </c>
      <c r="B43" s="25" t="inlineStr">
        <is>
          <t>2025.09.25</t>
        </is>
      </c>
      <c r="C43" s="41" t="n">
        <v>48.75</v>
      </c>
      <c r="D43" s="41" t="n">
        <v>-1794</v>
      </c>
      <c r="E43" s="41" t="n"/>
      <c r="F43" s="41" t="n">
        <v>94370</v>
      </c>
      <c r="G43" s="42" t="n"/>
      <c r="H43" s="20" t="n"/>
      <c r="I43" s="20" t="n"/>
      <c r="J43" s="20" t="n"/>
    </row>
    <row r="44" ht="16.5" customFormat="1" customHeight="1" s="12">
      <c r="A44" s="17" t="n">
        <v>39</v>
      </c>
      <c r="B44" s="25" t="n"/>
      <c r="C44" s="41" t="n"/>
      <c r="D44" s="41" t="n"/>
      <c r="E44" s="41" t="n"/>
      <c r="F44" s="41" t="n"/>
      <c r="G44" s="42" t="n"/>
      <c r="H44" s="20" t="n"/>
      <c r="I44" s="20" t="n"/>
      <c r="J44" s="20" t="n"/>
    </row>
    <row r="45" ht="16.5" customFormat="1" customHeight="1" s="12">
      <c r="A45" s="17" t="n">
        <v>40</v>
      </c>
      <c r="B45" s="25" t="n"/>
      <c r="C45" s="41" t="n"/>
      <c r="D45" s="41" t="n"/>
      <c r="E45" s="41" t="n"/>
      <c r="F45" s="41" t="n"/>
      <c r="G45" s="42" t="n"/>
      <c r="H45" s="20" t="n"/>
      <c r="I45" s="20" t="n"/>
      <c r="J45" s="20" t="n"/>
    </row>
    <row r="46" ht="16.5" customFormat="1" customHeight="1" s="12">
      <c r="A46" s="17" t="n">
        <v>41</v>
      </c>
      <c r="B46" s="25" t="n"/>
      <c r="C46" s="41" t="n"/>
      <c r="D46" s="41" t="n"/>
      <c r="E46" s="41" t="n"/>
      <c r="F46" s="41" t="n"/>
      <c r="G46" s="42" t="n"/>
      <c r="H46" s="20" t="n"/>
      <c r="I46" s="20" t="n"/>
      <c r="J46" s="20" t="n"/>
    </row>
    <row r="47" ht="16.5" customFormat="1" customHeight="1" s="12">
      <c r="A47" s="17" t="n">
        <v>42</v>
      </c>
      <c r="B47" s="25" t="n"/>
      <c r="C47" s="41" t="n"/>
      <c r="D47" s="41" t="n"/>
      <c r="E47" s="41" t="n"/>
      <c r="F47" s="41" t="n"/>
      <c r="G47" s="42" t="n"/>
      <c r="H47" s="20" t="n"/>
      <c r="I47" s="20" t="n"/>
      <c r="J47" s="20" t="n"/>
    </row>
    <row r="48" ht="16.5" customFormat="1" customHeight="1" s="12">
      <c r="A48" s="17" t="n">
        <v>43</v>
      </c>
      <c r="B48" s="25" t="n"/>
      <c r="C48" s="41" t="n"/>
      <c r="D48" s="41" t="n"/>
      <c r="E48" s="41" t="n"/>
      <c r="F48" s="41" t="n"/>
      <c r="G48" s="42" t="n"/>
      <c r="H48" s="20" t="n"/>
      <c r="I48" s="20" t="n"/>
      <c r="J48" s="20" t="n"/>
    </row>
    <row r="49" ht="16.5" customFormat="1" customHeight="1" s="12">
      <c r="A49" s="17" t="n">
        <v>44</v>
      </c>
      <c r="B49" s="25" t="n"/>
      <c r="C49" s="41" t="n"/>
      <c r="D49" s="41" t="n"/>
      <c r="E49" s="41" t="n"/>
      <c r="F49" s="41" t="n"/>
      <c r="G49" s="42" t="n"/>
      <c r="H49" s="20" t="n"/>
      <c r="I49" s="20" t="n"/>
      <c r="J49" s="20" t="n"/>
    </row>
    <row r="50" ht="16.5" customFormat="1" customHeight="1" s="12">
      <c r="A50" s="17" t="n">
        <v>45</v>
      </c>
      <c r="B50" s="25" t="n"/>
      <c r="C50" s="41" t="n"/>
      <c r="D50" s="41" t="n"/>
      <c r="E50" s="41" t="n"/>
      <c r="F50" s="41" t="n"/>
      <c r="G50" s="42" t="n"/>
      <c r="H50" s="20" t="n"/>
      <c r="I50" s="20" t="n"/>
      <c r="J50" s="20" t="n"/>
    </row>
    <row r="51" ht="16.5" customFormat="1" customHeight="1" s="12">
      <c r="A51" s="17" t="n">
        <v>46</v>
      </c>
      <c r="B51" s="25" t="n"/>
      <c r="C51" s="41" t="n"/>
      <c r="D51" s="41" t="n"/>
      <c r="E51" s="41" t="n"/>
      <c r="F51" s="41" t="n"/>
      <c r="G51" s="42" t="n"/>
      <c r="H51" s="20" t="n"/>
      <c r="I51" s="20" t="n"/>
      <c r="J51" s="20" t="n"/>
    </row>
    <row r="52" ht="16.5" customFormat="1" customHeight="1" s="12">
      <c r="A52" s="17" t="n">
        <v>47</v>
      </c>
      <c r="B52" s="25" t="n"/>
      <c r="C52" s="41" t="n"/>
      <c r="D52" s="41" t="n"/>
      <c r="E52" s="41" t="n"/>
      <c r="F52" s="41" t="n"/>
      <c r="G52" s="42" t="n"/>
      <c r="H52" s="20" t="n"/>
      <c r="I52" s="20" t="n"/>
      <c r="J52" s="20" t="n"/>
    </row>
    <row r="53" ht="16.5" customFormat="1" customHeight="1" s="12">
      <c r="A53" s="17" t="n">
        <v>48</v>
      </c>
      <c r="B53" s="25" t="n"/>
      <c r="C53" s="41" t="n"/>
      <c r="D53" s="41" t="n"/>
      <c r="E53" s="41" t="n"/>
      <c r="F53" s="41" t="n"/>
      <c r="G53" s="42" t="n"/>
      <c r="H53" s="20" t="n"/>
      <c r="I53" s="20" t="n"/>
      <c r="J53" s="20" t="n"/>
    </row>
    <row r="54" ht="16.5" customFormat="1" customHeight="1" s="12">
      <c r="A54" s="17" t="n">
        <v>49</v>
      </c>
      <c r="B54" s="25" t="n"/>
      <c r="C54" s="41" t="n"/>
      <c r="D54" s="41" t="n"/>
      <c r="E54" s="41" t="n"/>
      <c r="F54" s="41" t="n"/>
      <c r="G54" s="42" t="n"/>
      <c r="H54" s="20" t="n"/>
      <c r="I54" s="20" t="n"/>
      <c r="J54" s="20" t="n"/>
    </row>
    <row r="55" ht="16.5" customFormat="1" customHeight="1" s="12">
      <c r="A55" s="17" t="n">
        <v>50</v>
      </c>
      <c r="B55" s="25" t="n"/>
      <c r="C55" s="41" t="n"/>
      <c r="D55" s="41" t="n"/>
      <c r="E55" s="41" t="n"/>
      <c r="F55" s="41" t="n"/>
      <c r="G55" s="42" t="n"/>
      <c r="H55" s="20" t="n"/>
      <c r="I55" s="20" t="n"/>
      <c r="J55" s="20" t="n"/>
    </row>
    <row r="56" ht="16.5" customFormat="1" customHeight="1" s="12">
      <c r="A56" s="17" t="n">
        <v>51</v>
      </c>
      <c r="B56" s="25" t="n"/>
      <c r="C56" s="41" t="n"/>
      <c r="D56" s="41" t="n"/>
      <c r="E56" s="41" t="n"/>
      <c r="F56" s="41" t="n"/>
      <c r="G56" s="42" t="n"/>
      <c r="H56" s="20" t="n"/>
      <c r="I56" s="20" t="n"/>
      <c r="J56" s="20" t="n"/>
    </row>
    <row r="57" ht="16.5" customFormat="1" customHeight="1" s="12">
      <c r="A57" s="17" t="n">
        <v>52</v>
      </c>
      <c r="B57" s="25" t="n"/>
      <c r="C57" s="41" t="n"/>
      <c r="D57" s="41" t="n"/>
      <c r="E57" s="41" t="n"/>
      <c r="F57" s="41" t="n"/>
      <c r="G57" s="42" t="n"/>
      <c r="H57" s="20" t="n"/>
      <c r="I57" s="20" t="n"/>
      <c r="J57" s="20" t="n"/>
    </row>
    <row r="58" ht="16.5" customFormat="1" customHeight="1" s="12">
      <c r="A58" s="17" t="n">
        <v>53</v>
      </c>
      <c r="B58" s="25" t="n"/>
      <c r="C58" s="41" t="n"/>
      <c r="D58" s="41" t="n"/>
      <c r="E58" s="41" t="n"/>
      <c r="F58" s="41" t="n"/>
      <c r="G58" s="42" t="n"/>
      <c r="H58" s="20" t="n"/>
      <c r="I58" s="20" t="n"/>
      <c r="J58" s="20" t="n"/>
    </row>
    <row r="59" ht="16.5" customFormat="1" customHeight="1" s="12">
      <c r="A59" s="17" t="n">
        <v>54</v>
      </c>
      <c r="B59" s="25" t="n"/>
      <c r="C59" s="41" t="n"/>
      <c r="D59" s="41" t="n"/>
      <c r="E59" s="41" t="n"/>
      <c r="F59" s="41" t="n"/>
      <c r="G59" s="42" t="n"/>
      <c r="H59" s="20" t="n"/>
      <c r="I59" s="20" t="n"/>
      <c r="J59" s="20" t="n"/>
    </row>
    <row r="60" ht="16.5" customFormat="1" customHeight="1" s="12">
      <c r="A60" s="17" t="n">
        <v>55</v>
      </c>
      <c r="B60" s="25" t="n"/>
      <c r="C60" s="41" t="n"/>
      <c r="D60" s="41" t="n"/>
      <c r="E60" s="41" t="n"/>
      <c r="F60" s="41" t="n"/>
      <c r="G60" s="42" t="n"/>
      <c r="H60" s="20" t="n"/>
      <c r="I60" s="20" t="n"/>
      <c r="J60" s="20" t="n"/>
    </row>
    <row r="61" ht="16.5" customFormat="1" customHeight="1" s="12">
      <c r="A61" s="17" t="n">
        <v>56</v>
      </c>
      <c r="B61" s="25" t="n"/>
      <c r="C61" s="41" t="n"/>
      <c r="D61" s="41" t="n"/>
      <c r="E61" s="41" t="n"/>
      <c r="F61" s="41" t="n"/>
      <c r="G61" s="42" t="n"/>
      <c r="H61" s="20" t="n"/>
      <c r="I61" s="20" t="n"/>
      <c r="J61" s="20" t="n"/>
    </row>
    <row r="62" ht="16.5" customFormat="1" customHeight="1" s="12">
      <c r="A62" s="17" t="n">
        <v>57</v>
      </c>
      <c r="B62" s="25" t="n"/>
      <c r="C62" s="41" t="n"/>
      <c r="D62" s="41" t="n"/>
      <c r="E62" s="41" t="n"/>
      <c r="F62" s="41" t="n"/>
      <c r="G62" s="42" t="n"/>
      <c r="H62" s="20" t="n"/>
      <c r="I62" s="20" t="n"/>
      <c r="J62" s="20" t="n"/>
    </row>
    <row r="63" ht="16.5" customFormat="1" customHeight="1" s="12">
      <c r="A63" s="17" t="n">
        <v>58</v>
      </c>
      <c r="B63" s="25" t="n"/>
      <c r="C63" s="41" t="n"/>
      <c r="D63" s="41" t="n"/>
      <c r="E63" s="41" t="n"/>
      <c r="F63" s="41" t="n"/>
      <c r="G63" s="42" t="n"/>
      <c r="H63" s="20" t="n"/>
      <c r="I63" s="20" t="n"/>
      <c r="J63" s="20" t="n"/>
    </row>
    <row r="64" ht="16.5" customFormat="1" customHeight="1" s="12">
      <c r="A64" s="17" t="n">
        <v>59</v>
      </c>
      <c r="B64" s="25" t="n"/>
      <c r="C64" s="41" t="n"/>
      <c r="D64" s="41" t="n"/>
      <c r="E64" s="41" t="n"/>
      <c r="F64" s="41" t="n"/>
      <c r="G64" s="42" t="n"/>
      <c r="H64" s="20" t="n"/>
      <c r="I64" s="20" t="n"/>
      <c r="J64" s="20" t="n"/>
    </row>
    <row r="65" ht="16.5" customFormat="1" customHeight="1" s="12">
      <c r="A65" s="17" t="n">
        <v>60</v>
      </c>
      <c r="B65" s="25" t="n"/>
      <c r="C65" s="41" t="n"/>
      <c r="D65" s="41" t="n"/>
      <c r="E65" s="41" t="n"/>
      <c r="F65" s="41" t="n"/>
      <c r="G65" s="42" t="n"/>
      <c r="H65" s="20" t="n"/>
      <c r="I65" s="20" t="n"/>
      <c r="J65" s="20" t="n"/>
    </row>
    <row r="66" ht="16.5" customFormat="1" customHeight="1" s="12">
      <c r="A66" s="17" t="n">
        <v>61</v>
      </c>
      <c r="B66" s="25" t="n"/>
      <c r="C66" s="41" t="n"/>
      <c r="D66" s="41" t="n"/>
      <c r="E66" s="41" t="n"/>
      <c r="F66" s="41" t="n"/>
      <c r="G66" s="42" t="n"/>
      <c r="H66" s="20" t="n"/>
      <c r="I66" s="20" t="n"/>
      <c r="J66" s="20" t="n"/>
    </row>
    <row r="67" ht="16.5" customFormat="1" customHeight="1" s="12">
      <c r="A67" s="17" t="n">
        <v>62</v>
      </c>
      <c r="B67" s="25" t="n"/>
      <c r="C67" s="41" t="n"/>
      <c r="D67" s="41" t="n"/>
      <c r="E67" s="41" t="n"/>
      <c r="F67" s="41" t="n"/>
      <c r="G67" s="42" t="n"/>
      <c r="H67" s="20" t="n"/>
      <c r="I67" s="20" t="n"/>
      <c r="J67" s="20" t="n"/>
    </row>
    <row r="68" ht="16.5" customFormat="1" customHeight="1" s="12">
      <c r="A68" s="17" t="n">
        <v>63</v>
      </c>
      <c r="B68" s="25" t="n"/>
      <c r="C68" s="41" t="n"/>
      <c r="D68" s="41" t="n"/>
      <c r="E68" s="41" t="n"/>
      <c r="F68" s="41" t="n"/>
      <c r="G68" s="42" t="n"/>
      <c r="H68" s="20" t="n"/>
      <c r="I68" s="20" t="n"/>
      <c r="J68" s="20" t="n"/>
    </row>
    <row r="69" ht="16.5" customFormat="1" customHeight="1" s="12">
      <c r="A69" s="17" t="n">
        <v>64</v>
      </c>
      <c r="B69" s="25" t="n"/>
      <c r="C69" s="41" t="n"/>
      <c r="D69" s="41" t="n"/>
      <c r="E69" s="41" t="n"/>
      <c r="F69" s="41" t="n"/>
      <c r="G69" s="42" t="n"/>
      <c r="H69" s="20" t="n"/>
      <c r="I69" s="20" t="n"/>
      <c r="J69" s="20" t="n"/>
    </row>
    <row r="70" ht="16.5" customFormat="1" customHeight="1" s="12">
      <c r="A70" s="17" t="n">
        <v>65</v>
      </c>
      <c r="B70" s="25" t="n"/>
      <c r="C70" s="41" t="n"/>
      <c r="D70" s="41" t="n"/>
      <c r="E70" s="41" t="n"/>
      <c r="F70" s="41" t="n"/>
      <c r="G70" s="42" t="n"/>
      <c r="H70" s="20" t="n"/>
      <c r="I70" s="20" t="n"/>
      <c r="J70" s="20" t="n"/>
    </row>
    <row r="71" ht="16.5" customFormat="1" customHeight="1" s="12">
      <c r="A71" s="17" t="n">
        <v>66</v>
      </c>
      <c r="B71" s="25" t="n"/>
      <c r="C71" s="41" t="n"/>
      <c r="D71" s="41" t="n"/>
      <c r="E71" s="41" t="n"/>
      <c r="F71" s="41" t="n"/>
      <c r="G71" s="42" t="n"/>
      <c r="H71" s="20" t="n"/>
      <c r="I71" s="20" t="n"/>
      <c r="J71" s="20" t="n"/>
    </row>
    <row r="72" ht="16.5" customFormat="1" customHeight="1" s="12">
      <c r="A72" s="17" t="n">
        <v>67</v>
      </c>
      <c r="B72" s="25" t="n"/>
      <c r="C72" s="41" t="n"/>
      <c r="D72" s="41" t="n"/>
      <c r="E72" s="41" t="n"/>
      <c r="F72" s="41" t="n"/>
      <c r="G72" s="42" t="n"/>
      <c r="H72" s="20" t="n"/>
      <c r="I72" s="20" t="n"/>
      <c r="J72" s="20" t="n"/>
    </row>
    <row r="73" ht="16.5" customFormat="1" customHeight="1" s="12">
      <c r="A73" s="17" t="n">
        <v>68</v>
      </c>
      <c r="B73" s="25" t="n"/>
      <c r="C73" s="41" t="n"/>
      <c r="D73" s="41" t="n"/>
      <c r="E73" s="41" t="n"/>
      <c r="F73" s="41" t="n"/>
      <c r="G73" s="42" t="n"/>
      <c r="H73" s="20" t="n"/>
      <c r="I73" s="20" t="n"/>
      <c r="J73" s="20" t="n"/>
    </row>
    <row r="74" ht="16.5" customFormat="1" customHeight="1" s="12">
      <c r="A74" s="17" t="n">
        <v>69</v>
      </c>
      <c r="B74" s="25" t="n"/>
      <c r="C74" s="41" t="n"/>
      <c r="D74" s="41" t="n"/>
      <c r="E74" s="41" t="n"/>
      <c r="F74" s="41" t="n"/>
      <c r="G74" s="42" t="n"/>
      <c r="H74" s="20" t="n"/>
      <c r="I74" s="20" t="n"/>
      <c r="J74" s="20" t="n"/>
    </row>
    <row r="75" ht="16.5" customFormat="1" customHeight="1" s="12">
      <c r="A75" s="17" t="n">
        <v>70</v>
      </c>
      <c r="B75" s="25" t="n"/>
      <c r="C75" s="41" t="n"/>
      <c r="D75" s="41" t="n"/>
      <c r="E75" s="41" t="n"/>
      <c r="F75" s="41" t="n"/>
      <c r="G75" s="42" t="n"/>
      <c r="H75" s="20" t="n"/>
      <c r="I75" s="20" t="n"/>
      <c r="J75" s="20" t="n"/>
    </row>
    <row r="76" ht="16.5" customFormat="1" customHeight="1" s="12">
      <c r="A76" s="17" t="n">
        <v>71</v>
      </c>
      <c r="B76" s="25" t="n"/>
      <c r="C76" s="41" t="n"/>
      <c r="D76" s="41" t="n"/>
      <c r="E76" s="41" t="n"/>
      <c r="F76" s="41" t="n"/>
      <c r="G76" s="42" t="n"/>
      <c r="H76" s="20" t="n"/>
      <c r="I76" s="20" t="n"/>
      <c r="J76" s="20" t="n"/>
    </row>
    <row r="77" ht="16.5" customFormat="1" customHeight="1" s="12">
      <c r="A77" s="17" t="n">
        <v>72</v>
      </c>
      <c r="B77" s="25" t="n"/>
      <c r="C77" s="41" t="n"/>
      <c r="D77" s="41" t="n"/>
      <c r="E77" s="41" t="n"/>
      <c r="F77" s="41" t="n"/>
      <c r="G77" s="42" t="n"/>
      <c r="H77" s="20" t="n"/>
      <c r="I77" s="20" t="n"/>
      <c r="J77" s="20" t="n"/>
    </row>
    <row r="78" ht="16.5" customFormat="1" customHeight="1" s="12">
      <c r="A78" s="17" t="n">
        <v>73</v>
      </c>
      <c r="B78" s="25" t="n"/>
      <c r="C78" s="41" t="n"/>
      <c r="D78" s="41" t="n"/>
      <c r="E78" s="41" t="n"/>
      <c r="F78" s="41" t="n"/>
      <c r="G78" s="42" t="n"/>
      <c r="H78" s="20" t="n"/>
      <c r="I78" s="20" t="n"/>
      <c r="J78" s="20" t="n"/>
    </row>
    <row r="79" ht="16.5" customFormat="1" customHeight="1" s="12">
      <c r="A79" s="17" t="n">
        <v>74</v>
      </c>
      <c r="B79" s="25" t="n"/>
      <c r="C79" s="41" t="n"/>
      <c r="D79" s="41" t="n"/>
      <c r="E79" s="41" t="n"/>
      <c r="F79" s="41" t="n"/>
      <c r="G79" s="42" t="n"/>
      <c r="H79" s="20" t="n"/>
      <c r="I79" s="20" t="n"/>
      <c r="J79" s="20" t="n"/>
    </row>
    <row r="80" ht="16.5" customFormat="1" customHeight="1" s="12">
      <c r="A80" s="17" t="n">
        <v>75</v>
      </c>
      <c r="B80" s="25" t="n"/>
      <c r="C80" s="41" t="n"/>
      <c r="D80" s="41" t="n"/>
      <c r="E80" s="41" t="n"/>
      <c r="F80" s="41" t="n"/>
      <c r="G80" s="42" t="n"/>
      <c r="H80" s="20" t="n"/>
      <c r="I80" s="20" t="n"/>
      <c r="J80" s="20" t="n"/>
    </row>
    <row r="81" ht="16.5" customFormat="1" customHeight="1" s="12">
      <c r="A81" s="17" t="n">
        <v>76</v>
      </c>
      <c r="B81" s="25" t="n"/>
      <c r="C81" s="41" t="n"/>
      <c r="D81" s="41" t="n"/>
      <c r="E81" s="41" t="n"/>
      <c r="F81" s="41" t="n"/>
      <c r="G81" s="42" t="n"/>
      <c r="H81" s="20" t="n"/>
      <c r="I81" s="20" t="n"/>
      <c r="J81" s="20" t="n"/>
    </row>
    <row r="82" ht="16.5" customFormat="1" customHeight="1" s="12">
      <c r="A82" s="17" t="n">
        <v>77</v>
      </c>
      <c r="B82" s="25" t="n"/>
      <c r="C82" s="41" t="n"/>
      <c r="D82" s="41" t="n"/>
      <c r="E82" s="41" t="n"/>
      <c r="F82" s="41" t="n"/>
      <c r="G82" s="42" t="n"/>
      <c r="H82" s="20" t="n"/>
      <c r="I82" s="20" t="n"/>
      <c r="J82" s="20" t="n"/>
    </row>
    <row r="83" ht="16.5" customFormat="1" customHeight="1" s="12">
      <c r="A83" s="17" t="n">
        <v>78</v>
      </c>
      <c r="B83" s="25" t="n"/>
      <c r="C83" s="41" t="n"/>
      <c r="D83" s="41" t="n"/>
      <c r="E83" s="41" t="n"/>
      <c r="F83" s="41" t="n"/>
      <c r="G83" s="42" t="n"/>
      <c r="H83" s="20" t="n"/>
      <c r="I83" s="20" t="n"/>
      <c r="J83" s="20" t="n"/>
    </row>
    <row r="84" ht="16.5" customFormat="1" customHeight="1" s="12">
      <c r="A84" s="17" t="n">
        <v>79</v>
      </c>
      <c r="B84" s="25" t="n"/>
      <c r="C84" s="41" t="n"/>
      <c r="D84" s="41" t="n"/>
      <c r="E84" s="41" t="n"/>
      <c r="F84" s="41" t="n"/>
      <c r="G84" s="42" t="n"/>
      <c r="H84" s="20" t="n"/>
      <c r="I84" s="20" t="n"/>
      <c r="J84" s="20" t="n"/>
    </row>
    <row r="85" ht="16.5" customFormat="1" customHeight="1" s="12">
      <c r="A85" s="17" t="n">
        <v>80</v>
      </c>
      <c r="B85" s="25" t="n"/>
      <c r="C85" s="41" t="n"/>
      <c r="D85" s="41" t="n"/>
      <c r="E85" s="41" t="n"/>
      <c r="F85" s="41" t="n"/>
      <c r="G85" s="42" t="n"/>
      <c r="H85" s="20" t="n"/>
      <c r="I85" s="20" t="n"/>
      <c r="J85" s="20" t="n"/>
    </row>
    <row r="86" ht="16.5" customFormat="1" customHeight="1" s="12">
      <c r="A86" s="17" t="n">
        <v>81</v>
      </c>
      <c r="B86" s="25" t="n"/>
      <c r="C86" s="41" t="n"/>
      <c r="D86" s="41" t="n"/>
      <c r="E86" s="41" t="n"/>
      <c r="F86" s="41" t="n"/>
      <c r="G86" s="42" t="n"/>
      <c r="H86" s="20" t="n"/>
      <c r="I86" s="20" t="n"/>
      <c r="J86" s="20" t="n"/>
    </row>
    <row r="87" ht="16.5" customFormat="1" customHeight="1" s="12">
      <c r="A87" s="17" t="n">
        <v>82</v>
      </c>
      <c r="B87" s="25" t="n"/>
      <c r="C87" s="41" t="n"/>
      <c r="D87" s="41" t="n"/>
      <c r="E87" s="41" t="n"/>
      <c r="F87" s="41" t="n"/>
      <c r="G87" s="42" t="n"/>
      <c r="H87" s="20" t="n"/>
      <c r="I87" s="20" t="n"/>
      <c r="J87" s="20" t="n"/>
    </row>
    <row r="88" ht="16.5" customFormat="1" customHeight="1" s="12">
      <c r="A88" s="17" t="n">
        <v>83</v>
      </c>
      <c r="B88" s="25" t="n"/>
      <c r="C88" s="41" t="n"/>
      <c r="D88" s="41" t="n"/>
      <c r="E88" s="41" t="n"/>
      <c r="F88" s="41" t="n"/>
      <c r="G88" s="42" t="n"/>
      <c r="H88" s="20" t="n"/>
      <c r="I88" s="20" t="n"/>
      <c r="J88" s="20" t="n"/>
    </row>
    <row r="89" ht="16.5" customFormat="1" customHeight="1" s="12">
      <c r="A89" s="17" t="n">
        <v>84</v>
      </c>
      <c r="B89" s="25" t="n"/>
      <c r="C89" s="41" t="n"/>
      <c r="D89" s="41" t="n"/>
      <c r="E89" s="41" t="n"/>
      <c r="F89" s="41" t="n"/>
      <c r="G89" s="42" t="n"/>
      <c r="H89" s="20" t="n"/>
      <c r="I89" s="20" t="n"/>
      <c r="J89" s="20" t="n"/>
    </row>
    <row r="90" ht="16.5" customFormat="1" customHeight="1" s="12">
      <c r="A90" s="17" t="n">
        <v>85</v>
      </c>
      <c r="B90" s="25" t="n"/>
      <c r="C90" s="41" t="n"/>
      <c r="D90" s="41" t="n"/>
      <c r="E90" s="41" t="n"/>
      <c r="F90" s="41" t="n"/>
      <c r="G90" s="42" t="n"/>
      <c r="H90" s="20" t="n"/>
      <c r="I90" s="20" t="n"/>
      <c r="J90" s="20" t="n"/>
    </row>
    <row r="91" ht="16.5" customFormat="1" customHeight="1" s="12">
      <c r="A91" s="17" t="n">
        <v>86</v>
      </c>
      <c r="B91" s="25" t="n"/>
      <c r="C91" s="41" t="n"/>
      <c r="D91" s="41" t="n"/>
      <c r="E91" s="41" t="n"/>
      <c r="F91" s="41" t="n"/>
      <c r="G91" s="42" t="n"/>
      <c r="H91" s="20" t="n"/>
      <c r="I91" s="20" t="n"/>
      <c r="J91" s="20" t="n"/>
    </row>
    <row r="92" ht="16.5" customFormat="1" customHeight="1" s="12">
      <c r="A92" s="17" t="n">
        <v>87</v>
      </c>
      <c r="B92" s="25" t="n"/>
      <c r="C92" s="41" t="n"/>
      <c r="D92" s="41" t="n"/>
      <c r="E92" s="41" t="n"/>
      <c r="F92" s="41" t="n"/>
      <c r="G92" s="42" t="n"/>
      <c r="H92" s="20" t="n"/>
      <c r="I92" s="20" t="n"/>
      <c r="J92" s="20" t="n"/>
    </row>
    <row r="93" ht="16.5" customFormat="1" customHeight="1" s="12">
      <c r="A93" s="17" t="n">
        <v>88</v>
      </c>
      <c r="B93" s="25" t="n"/>
      <c r="C93" s="41" t="n"/>
      <c r="D93" s="41" t="n"/>
      <c r="E93" s="41" t="n"/>
      <c r="F93" s="41" t="n"/>
      <c r="G93" s="42" t="n"/>
      <c r="H93" s="20" t="n"/>
      <c r="I93" s="20" t="n"/>
      <c r="J93" s="20" t="n"/>
    </row>
    <row r="94" ht="16.5" customFormat="1" customHeight="1" s="12">
      <c r="A94" s="17" t="n">
        <v>89</v>
      </c>
      <c r="B94" s="25" t="n"/>
      <c r="C94" s="41" t="n"/>
      <c r="D94" s="41" t="n"/>
      <c r="E94" s="41" t="n"/>
      <c r="F94" s="41" t="n"/>
      <c r="G94" s="42" t="n"/>
      <c r="H94" s="20" t="n"/>
      <c r="I94" s="20" t="n"/>
      <c r="J94" s="20" t="n"/>
    </row>
    <row r="95" ht="16.5" customFormat="1" customHeight="1" s="12">
      <c r="A95" s="17" t="n">
        <v>90</v>
      </c>
      <c r="B95" s="25" t="n"/>
      <c r="C95" s="41" t="n"/>
      <c r="D95" s="41" t="n"/>
      <c r="E95" s="41" t="n"/>
      <c r="F95" s="41" t="n"/>
      <c r="G95" s="42" t="n"/>
      <c r="H95" s="20" t="n"/>
      <c r="I95" s="20" t="n"/>
      <c r="J95" s="20" t="n"/>
    </row>
    <row r="96" ht="16.5" customFormat="1" customHeight="1" s="12">
      <c r="A96" s="17" t="n">
        <v>91</v>
      </c>
      <c r="B96" s="25" t="n"/>
      <c r="C96" s="41" t="n"/>
      <c r="D96" s="41" t="n"/>
      <c r="E96" s="41" t="n"/>
      <c r="F96" s="41" t="n"/>
      <c r="G96" s="42" t="n"/>
      <c r="H96" s="20" t="n"/>
      <c r="I96" s="20" t="n"/>
      <c r="J96" s="20" t="n"/>
    </row>
    <row r="97" ht="16.5" customFormat="1" customHeight="1" s="12">
      <c r="A97" s="17" t="n">
        <v>92</v>
      </c>
      <c r="B97" s="25" t="n"/>
      <c r="C97" s="41" t="n"/>
      <c r="D97" s="41" t="n"/>
      <c r="E97" s="41" t="n"/>
      <c r="F97" s="41" t="n"/>
      <c r="G97" s="42" t="n"/>
      <c r="H97" s="20" t="n"/>
      <c r="I97" s="20" t="n"/>
      <c r="J97" s="20" t="n"/>
    </row>
    <row r="98" ht="16.5" customFormat="1" customHeight="1" s="12">
      <c r="A98" s="17" t="n">
        <v>93</v>
      </c>
      <c r="B98" s="25" t="n"/>
      <c r="C98" s="41" t="n"/>
      <c r="D98" s="41" t="n"/>
      <c r="E98" s="41" t="n"/>
      <c r="F98" s="41" t="n"/>
      <c r="G98" s="42" t="n"/>
      <c r="H98" s="20" t="n"/>
      <c r="I98" s="20" t="n"/>
      <c r="J98" s="20" t="n"/>
    </row>
    <row r="99" ht="16.5" customFormat="1" customHeight="1" s="12">
      <c r="A99" s="17" t="n">
        <v>94</v>
      </c>
      <c r="B99" s="25" t="n"/>
      <c r="C99" s="41" t="n"/>
      <c r="D99" s="41" t="n"/>
      <c r="E99" s="41" t="n"/>
      <c r="F99" s="41" t="n"/>
      <c r="G99" s="42" t="n"/>
      <c r="H99" s="20" t="n"/>
      <c r="I99" s="20" t="n"/>
      <c r="J99" s="20" t="n"/>
    </row>
    <row r="100" ht="16.5" customFormat="1" customHeight="1" s="12">
      <c r="A100" s="17" t="n">
        <v>95</v>
      </c>
      <c r="B100" s="25" t="n"/>
      <c r="C100" s="41" t="n"/>
      <c r="D100" s="41" t="n"/>
      <c r="E100" s="41" t="n"/>
      <c r="F100" s="41" t="n"/>
      <c r="G100" s="42" t="n"/>
      <c r="H100" s="20" t="n"/>
      <c r="I100" s="20" t="n"/>
      <c r="J100" s="20" t="n"/>
    </row>
    <row r="101" ht="16.5" customFormat="1" customHeight="1" s="12">
      <c r="A101" s="17" t="n">
        <v>96</v>
      </c>
      <c r="B101" s="25" t="n"/>
      <c r="C101" s="41" t="n"/>
      <c r="D101" s="41" t="n"/>
      <c r="E101" s="41" t="n"/>
      <c r="F101" s="41" t="n"/>
      <c r="G101" s="42" t="n"/>
      <c r="H101" s="20" t="n"/>
      <c r="I101" s="20" t="n"/>
      <c r="J101" s="20" t="n"/>
    </row>
    <row r="102" ht="16.5" customFormat="1" customHeight="1" s="12">
      <c r="A102" s="17" t="n">
        <v>97</v>
      </c>
      <c r="B102" s="25" t="n"/>
      <c r="C102" s="41" t="n"/>
      <c r="D102" s="41" t="n"/>
      <c r="E102" s="41" t="n"/>
      <c r="F102" s="41" t="n"/>
      <c r="G102" s="42" t="n"/>
      <c r="H102" s="20" t="n"/>
      <c r="I102" s="20" t="n"/>
      <c r="J102" s="20" t="n"/>
    </row>
    <row r="103" ht="16.5" customFormat="1" customHeight="1" s="12">
      <c r="A103" s="17" t="n">
        <v>98</v>
      </c>
      <c r="B103" s="25" t="n"/>
      <c r="C103" s="41" t="n"/>
      <c r="D103" s="41" t="n"/>
      <c r="E103" s="41" t="n"/>
      <c r="F103" s="41" t="n"/>
      <c r="G103" s="42" t="n"/>
      <c r="H103" s="20" t="n"/>
      <c r="I103" s="20" t="n"/>
      <c r="J103" s="20" t="n"/>
    </row>
    <row r="104" ht="16.5" customFormat="1" customHeight="1" s="12">
      <c r="A104" s="17" t="n">
        <v>99</v>
      </c>
      <c r="B104" s="25" t="n"/>
      <c r="C104" s="41" t="n"/>
      <c r="D104" s="41" t="n"/>
      <c r="E104" s="41" t="n"/>
      <c r="F104" s="41" t="n"/>
      <c r="G104" s="42" t="n"/>
      <c r="H104" s="20" t="n"/>
      <c r="I104" s="20" t="n"/>
      <c r="J104" s="20" t="n"/>
    </row>
    <row r="105" ht="16.5" customFormat="1" customHeight="1" s="12">
      <c r="A105" s="17" t="n">
        <v>100</v>
      </c>
      <c r="B105" s="25" t="n"/>
      <c r="C105" s="41" t="n"/>
      <c r="D105" s="41" t="n"/>
      <c r="E105" s="41" t="n"/>
      <c r="F105" s="41" t="n"/>
      <c r="G105" s="42" t="n"/>
      <c r="H105" s="20" t="n"/>
      <c r="I105" s="20" t="n"/>
      <c r="J105" s="20" t="n"/>
    </row>
    <row r="106" ht="16.5" customFormat="1" customHeight="1" s="12">
      <c r="A106" s="17" t="n">
        <v>101</v>
      </c>
      <c r="B106" s="25" t="n"/>
      <c r="C106" s="41" t="n"/>
      <c r="D106" s="41" t="n"/>
      <c r="E106" s="41" t="n"/>
      <c r="F106" s="41" t="n"/>
      <c r="G106" s="42" t="n"/>
      <c r="H106" s="20" t="n"/>
      <c r="I106" s="20" t="n"/>
      <c r="J106" s="20" t="n"/>
    </row>
    <row r="107" ht="16.5" customFormat="1" customHeight="1" s="12">
      <c r="A107" s="17" t="n">
        <v>102</v>
      </c>
      <c r="B107" s="25" t="n"/>
      <c r="C107" s="41" t="n"/>
      <c r="D107" s="41" t="n"/>
      <c r="E107" s="41" t="n"/>
      <c r="F107" s="41" t="n"/>
      <c r="G107" s="42" t="n"/>
      <c r="H107" s="20" t="n"/>
      <c r="I107" s="20" t="n"/>
      <c r="J107" s="20" t="n"/>
    </row>
    <row r="108" ht="16.5" customFormat="1" customHeight="1" s="12">
      <c r="A108" s="17" t="n">
        <v>103</v>
      </c>
      <c r="B108" s="25" t="n"/>
      <c r="C108" s="41" t="n"/>
      <c r="D108" s="41" t="n"/>
      <c r="E108" s="41" t="n"/>
      <c r="F108" s="41" t="n"/>
      <c r="G108" s="42" t="n"/>
      <c r="H108" s="20" t="n"/>
      <c r="I108" s="20" t="n"/>
      <c r="J108" s="20" t="n"/>
    </row>
    <row r="109" ht="16.5" customFormat="1" customHeight="1" s="12">
      <c r="A109" s="17" t="n">
        <v>104</v>
      </c>
      <c r="B109" s="25" t="n"/>
      <c r="C109" s="41" t="n"/>
      <c r="D109" s="41" t="n"/>
      <c r="E109" s="41" t="n"/>
      <c r="F109" s="41" t="n"/>
      <c r="G109" s="42" t="n"/>
      <c r="H109" s="20" t="n"/>
      <c r="I109" s="20" t="n"/>
      <c r="J109" s="20" t="n"/>
    </row>
    <row r="110" ht="16.5" customFormat="1" customHeight="1" s="12">
      <c r="A110" s="17" t="n">
        <v>105</v>
      </c>
      <c r="B110" s="25" t="n"/>
      <c r="C110" s="41" t="n"/>
      <c r="D110" s="41" t="n"/>
      <c r="E110" s="41" t="n"/>
      <c r="F110" s="41" t="n"/>
      <c r="G110" s="42" t="n"/>
      <c r="H110" s="20" t="n"/>
      <c r="I110" s="20" t="n"/>
      <c r="J110" s="20" t="n"/>
    </row>
    <row r="111" ht="16.5" customFormat="1" customHeight="1" s="12">
      <c r="A111" s="17" t="n">
        <v>106</v>
      </c>
      <c r="B111" s="25" t="n"/>
      <c r="C111" s="41" t="n"/>
      <c r="D111" s="41" t="n"/>
      <c r="E111" s="41" t="n"/>
      <c r="F111" s="41" t="n"/>
      <c r="G111" s="42" t="n"/>
      <c r="H111" s="20" t="n"/>
      <c r="I111" s="20" t="n"/>
      <c r="J111" s="20" t="n"/>
    </row>
    <row r="112" ht="16.5" customFormat="1" customHeight="1" s="12">
      <c r="A112" s="17" t="n">
        <v>107</v>
      </c>
      <c r="B112" s="25" t="n"/>
      <c r="C112" s="41" t="n"/>
      <c r="D112" s="41" t="n"/>
      <c r="E112" s="41" t="n"/>
      <c r="F112" s="41" t="n"/>
      <c r="G112" s="42" t="n"/>
      <c r="H112" s="20" t="n"/>
      <c r="I112" s="20" t="n"/>
      <c r="J112" s="20" t="n"/>
    </row>
    <row r="113" ht="16.5" customFormat="1" customHeight="1" s="12">
      <c r="A113" s="17" t="n">
        <v>108</v>
      </c>
      <c r="B113" s="25" t="n"/>
      <c r="C113" s="41" t="n"/>
      <c r="D113" s="41" t="n"/>
      <c r="E113" s="41" t="n"/>
      <c r="F113" s="41" t="n"/>
      <c r="G113" s="42" t="n"/>
      <c r="H113" s="20" t="n"/>
      <c r="I113" s="20" t="n"/>
      <c r="J113" s="20" t="n"/>
    </row>
    <row r="114" ht="16.5" customFormat="1" customHeight="1" s="12">
      <c r="A114" s="17" t="n">
        <v>109</v>
      </c>
      <c r="B114" s="25" t="n"/>
      <c r="C114" s="41" t="n"/>
      <c r="D114" s="41" t="n"/>
      <c r="E114" s="41" t="n"/>
      <c r="F114" s="41" t="n"/>
      <c r="G114" s="42" t="n"/>
      <c r="H114" s="20" t="n"/>
      <c r="I114" s="20" t="n"/>
      <c r="J114" s="20" t="n"/>
    </row>
    <row r="115" ht="16.5" customFormat="1" customHeight="1" s="12">
      <c r="A115" s="17" t="n">
        <v>110</v>
      </c>
      <c r="B115" s="25" t="n"/>
      <c r="C115" s="41" t="n"/>
      <c r="D115" s="41" t="n"/>
      <c r="E115" s="41" t="n"/>
      <c r="F115" s="41" t="n"/>
      <c r="G115" s="42" t="n"/>
      <c r="H115" s="20" t="n"/>
      <c r="I115" s="20" t="n"/>
      <c r="J115" s="20" t="n"/>
    </row>
    <row r="116" ht="16.5" customFormat="1" customHeight="1" s="12">
      <c r="A116" s="17" t="n">
        <v>111</v>
      </c>
      <c r="B116" s="25" t="n"/>
      <c r="C116" s="41" t="n"/>
      <c r="D116" s="41" t="n"/>
      <c r="E116" s="41" t="n"/>
      <c r="F116" s="41" t="n"/>
      <c r="G116" s="42" t="n"/>
      <c r="H116" s="20" t="n"/>
      <c r="I116" s="20" t="n"/>
      <c r="J116" s="20" t="n"/>
    </row>
    <row r="117" ht="16.5" customFormat="1" customHeight="1" s="12">
      <c r="A117" s="17" t="n">
        <v>112</v>
      </c>
      <c r="B117" s="25" t="n"/>
      <c r="C117" s="41" t="n"/>
      <c r="D117" s="41" t="n"/>
      <c r="E117" s="41" t="n"/>
      <c r="F117" s="41" t="n"/>
      <c r="G117" s="42" t="n"/>
      <c r="H117" s="20" t="n"/>
      <c r="I117" s="20" t="n"/>
      <c r="J117" s="20" t="n"/>
    </row>
    <row r="118" ht="16.5" customFormat="1" customHeight="1" s="12">
      <c r="A118" s="17" t="n">
        <v>113</v>
      </c>
      <c r="B118" s="25" t="n"/>
      <c r="C118" s="41" t="n"/>
      <c r="D118" s="41" t="n"/>
      <c r="E118" s="41" t="n"/>
      <c r="F118" s="41" t="n"/>
      <c r="G118" s="42" t="n"/>
      <c r="H118" s="20" t="n"/>
      <c r="I118" s="20" t="n"/>
      <c r="J118" s="20" t="n"/>
    </row>
    <row r="119" ht="16.5" customFormat="1" customHeight="1" s="12">
      <c r="A119" s="17" t="n">
        <v>114</v>
      </c>
      <c r="B119" s="25" t="n"/>
      <c r="C119" s="41" t="n"/>
      <c r="D119" s="41" t="n"/>
      <c r="E119" s="41" t="n"/>
      <c r="F119" s="41" t="n"/>
      <c r="G119" s="42" t="n"/>
      <c r="H119" s="20" t="n"/>
      <c r="I119" s="20" t="n"/>
      <c r="J119" s="20" t="n"/>
    </row>
    <row r="120" ht="16.5" customFormat="1" customHeight="1" s="12">
      <c r="A120" s="17" t="n">
        <v>115</v>
      </c>
      <c r="B120" s="25" t="n"/>
      <c r="C120" s="41" t="n"/>
      <c r="D120" s="41" t="n"/>
      <c r="E120" s="41" t="n"/>
      <c r="F120" s="41" t="n"/>
      <c r="G120" s="42" t="n"/>
      <c r="H120" s="20" t="n"/>
      <c r="I120" s="20" t="n"/>
      <c r="J120" s="20" t="n"/>
    </row>
    <row r="121" ht="16.5" customFormat="1" customHeight="1" s="12">
      <c r="A121" s="17" t="n">
        <v>116</v>
      </c>
      <c r="B121" s="25" t="n"/>
      <c r="C121" s="41" t="n"/>
      <c r="D121" s="41" t="n"/>
      <c r="E121" s="41" t="n"/>
      <c r="F121" s="41" t="n"/>
      <c r="G121" s="42" t="n"/>
      <c r="H121" s="20" t="n"/>
      <c r="I121" s="20" t="n"/>
      <c r="J121" s="20" t="n"/>
    </row>
    <row r="122" ht="16.5" customFormat="1" customHeight="1" s="12">
      <c r="A122" s="17" t="n">
        <v>117</v>
      </c>
      <c r="B122" s="25" t="n"/>
      <c r="C122" s="41" t="n"/>
      <c r="D122" s="41" t="n"/>
      <c r="E122" s="41" t="n"/>
      <c r="F122" s="41" t="n"/>
      <c r="G122" s="42" t="n"/>
      <c r="H122" s="20" t="n"/>
      <c r="I122" s="20" t="n"/>
      <c r="J122" s="20" t="n"/>
    </row>
    <row r="123" ht="16.5" customFormat="1" customHeight="1" s="12">
      <c r="A123" s="17" t="n">
        <v>118</v>
      </c>
      <c r="B123" s="25" t="n"/>
      <c r="C123" s="41" t="n"/>
      <c r="D123" s="41" t="n"/>
      <c r="E123" s="41" t="n"/>
      <c r="F123" s="41" t="n"/>
      <c r="G123" s="42" t="n"/>
      <c r="H123" s="20" t="n"/>
      <c r="I123" s="20" t="n"/>
      <c r="J123" s="20" t="n"/>
    </row>
    <row r="124" ht="16.5" customFormat="1" customHeight="1" s="12">
      <c r="A124" s="17" t="n">
        <v>119</v>
      </c>
      <c r="B124" s="25" t="n"/>
      <c r="C124" s="41" t="n"/>
      <c r="D124" s="41" t="n"/>
      <c r="E124" s="41" t="n"/>
      <c r="F124" s="41" t="n"/>
      <c r="G124" s="42" t="n"/>
      <c r="H124" s="20" t="n"/>
      <c r="I124" s="20" t="n"/>
      <c r="J124" s="20" t="n"/>
    </row>
    <row r="125" ht="16.5" customFormat="1" customHeight="1" s="12">
      <c r="A125" s="17" t="n">
        <v>120</v>
      </c>
      <c r="B125" s="25" t="n"/>
      <c r="C125" s="41" t="n"/>
      <c r="D125" s="41" t="n"/>
      <c r="E125" s="41" t="n"/>
      <c r="F125" s="41" t="n"/>
      <c r="G125" s="42" t="n"/>
      <c r="H125" s="20" t="n"/>
      <c r="I125" s="20" t="n"/>
      <c r="J125" s="20" t="n"/>
    </row>
    <row r="126" ht="16.5" customFormat="1" customHeight="1" s="12">
      <c r="A126" s="17" t="n">
        <v>121</v>
      </c>
      <c r="B126" s="25" t="n"/>
      <c r="C126" s="41" t="n"/>
      <c r="D126" s="41" t="n"/>
      <c r="E126" s="41" t="n"/>
      <c r="F126" s="41" t="n"/>
      <c r="G126" s="42" t="n"/>
      <c r="H126" s="20" t="n"/>
      <c r="I126" s="20" t="n"/>
      <c r="J126" s="20" t="n"/>
    </row>
    <row r="127" ht="16.5" customFormat="1" customHeight="1" s="12">
      <c r="A127" s="17" t="n">
        <v>122</v>
      </c>
      <c r="B127" s="25" t="n"/>
      <c r="C127" s="41" t="n"/>
      <c r="D127" s="41" t="n"/>
      <c r="E127" s="41" t="n"/>
      <c r="F127" s="41" t="n"/>
      <c r="G127" s="42" t="n"/>
      <c r="H127" s="20" t="n"/>
      <c r="I127" s="20" t="n"/>
      <c r="J127" s="20" t="n"/>
    </row>
    <row r="128" ht="16.5" customFormat="1" customHeight="1" s="12">
      <c r="A128" s="17" t="n">
        <v>123</v>
      </c>
      <c r="B128" s="25" t="n"/>
      <c r="C128" s="41" t="n"/>
      <c r="D128" s="41" t="n"/>
      <c r="E128" s="41" t="n"/>
      <c r="F128" s="41" t="n"/>
      <c r="G128" s="42" t="n"/>
      <c r="H128" s="20" t="n"/>
      <c r="I128" s="20" t="n"/>
      <c r="J128" s="20" t="n"/>
    </row>
    <row r="129" ht="16.5" customFormat="1" customHeight="1" s="12">
      <c r="A129" s="17" t="n">
        <v>124</v>
      </c>
      <c r="B129" s="25" t="n"/>
      <c r="C129" s="41" t="n"/>
      <c r="D129" s="41" t="n"/>
      <c r="E129" s="41" t="n"/>
      <c r="F129" s="41" t="n"/>
      <c r="G129" s="42" t="n"/>
      <c r="H129" s="20" t="n"/>
      <c r="I129" s="20" t="n"/>
      <c r="J129" s="20" t="n"/>
    </row>
    <row r="130" ht="16.5" customFormat="1" customHeight="1" s="12">
      <c r="A130" s="17" t="n">
        <v>125</v>
      </c>
      <c r="B130" s="25" t="n"/>
      <c r="C130" s="41" t="n"/>
      <c r="D130" s="41" t="n"/>
      <c r="E130" s="41" t="n"/>
      <c r="F130" s="41" t="n"/>
      <c r="G130" s="42" t="n"/>
      <c r="H130" s="20" t="n"/>
      <c r="I130" s="20" t="n"/>
      <c r="J130" s="20" t="n"/>
    </row>
    <row r="131" ht="16.5" customFormat="1" customHeight="1" s="12">
      <c r="A131" s="17" t="n">
        <v>126</v>
      </c>
      <c r="B131" s="25" t="n"/>
      <c r="C131" s="41" t="n"/>
      <c r="D131" s="41" t="n"/>
      <c r="E131" s="41" t="n"/>
      <c r="F131" s="41" t="n"/>
      <c r="G131" s="42" t="n"/>
      <c r="H131" s="20" t="n"/>
      <c r="I131" s="20" t="n"/>
      <c r="J131" s="20" t="n"/>
    </row>
    <row r="132" ht="16.5" customFormat="1" customHeight="1" s="12">
      <c r="A132" s="17" t="n">
        <v>127</v>
      </c>
      <c r="B132" s="25" t="n"/>
      <c r="C132" s="41" t="n"/>
      <c r="D132" s="41" t="n"/>
      <c r="E132" s="41" t="n"/>
      <c r="F132" s="41" t="n"/>
      <c r="G132" s="42" t="n"/>
      <c r="H132" s="20" t="n"/>
      <c r="I132" s="20" t="n"/>
      <c r="J132" s="20" t="n"/>
    </row>
    <row r="133" ht="16.5" customFormat="1" customHeight="1" s="12">
      <c r="A133" s="17" t="n">
        <v>128</v>
      </c>
      <c r="B133" s="25" t="n"/>
      <c r="C133" s="41" t="n"/>
      <c r="D133" s="41" t="n"/>
      <c r="E133" s="41" t="n"/>
      <c r="F133" s="41" t="n"/>
      <c r="G133" s="42" t="n"/>
      <c r="H133" s="20" t="n"/>
      <c r="I133" s="20" t="n"/>
      <c r="J133" s="20" t="n"/>
    </row>
    <row r="134" ht="16.5" customFormat="1" customHeight="1" s="12">
      <c r="A134" s="17" t="n">
        <v>129</v>
      </c>
      <c r="B134" s="25" t="n"/>
      <c r="C134" s="41" t="n"/>
      <c r="D134" s="41" t="n"/>
      <c r="E134" s="41" t="n"/>
      <c r="F134" s="41" t="n"/>
      <c r="G134" s="42" t="n"/>
      <c r="H134" s="20" t="n"/>
      <c r="I134" s="20" t="n"/>
      <c r="J134" s="20" t="n"/>
    </row>
    <row r="135" ht="16.5" customFormat="1" customHeight="1" s="12">
      <c r="A135" s="17" t="n">
        <v>130</v>
      </c>
      <c r="B135" s="25" t="n"/>
      <c r="C135" s="41" t="n"/>
      <c r="D135" s="41" t="n"/>
      <c r="E135" s="41" t="n"/>
      <c r="F135" s="41" t="n"/>
      <c r="G135" s="42" t="n"/>
      <c r="H135" s="20" t="n"/>
      <c r="I135" s="20" t="n"/>
      <c r="J135" s="20" t="n"/>
    </row>
    <row r="136" ht="16.5" customFormat="1" customHeight="1" s="12">
      <c r="A136" s="17" t="n">
        <v>131</v>
      </c>
      <c r="B136" s="25" t="n"/>
      <c r="C136" s="41" t="n"/>
      <c r="D136" s="41" t="n"/>
      <c r="E136" s="41" t="n"/>
      <c r="F136" s="41" t="n"/>
      <c r="G136" s="42" t="n"/>
      <c r="H136" s="20" t="n"/>
      <c r="I136" s="20" t="n"/>
      <c r="J136" s="20" t="n"/>
    </row>
    <row r="137" ht="16.5" customFormat="1" customHeight="1" s="12">
      <c r="A137" s="17" t="n">
        <v>132</v>
      </c>
      <c r="B137" s="25" t="n"/>
      <c r="C137" s="41" t="n"/>
      <c r="D137" s="41" t="n"/>
      <c r="E137" s="41" t="n"/>
      <c r="F137" s="41" t="n"/>
      <c r="G137" s="42" t="n"/>
      <c r="H137" s="20" t="n"/>
      <c r="I137" s="20" t="n"/>
      <c r="J137" s="20" t="n"/>
    </row>
    <row r="138" ht="16.5" customFormat="1" customHeight="1" s="12">
      <c r="A138" s="17" t="n">
        <v>133</v>
      </c>
      <c r="B138" s="25" t="n"/>
      <c r="C138" s="41" t="n"/>
      <c r="D138" s="41" t="n"/>
      <c r="E138" s="41" t="n"/>
      <c r="F138" s="41" t="n"/>
      <c r="G138" s="42" t="n"/>
      <c r="H138" s="20" t="n"/>
      <c r="I138" s="20" t="n"/>
      <c r="J138" s="20" t="n"/>
    </row>
    <row r="139" ht="16.5" customFormat="1" customHeight="1" s="12">
      <c r="A139" s="17" t="n">
        <v>134</v>
      </c>
      <c r="B139" s="25" t="n"/>
      <c r="C139" s="41" t="n"/>
      <c r="D139" s="41" t="n"/>
      <c r="E139" s="41" t="n"/>
      <c r="F139" s="41" t="n"/>
      <c r="G139" s="42" t="n"/>
      <c r="H139" s="20" t="n"/>
      <c r="I139" s="20" t="n"/>
      <c r="J139" s="20" t="n"/>
    </row>
    <row r="140" ht="16.5" customFormat="1" customHeight="1" s="12">
      <c r="A140" s="17" t="n">
        <v>135</v>
      </c>
      <c r="B140" s="25" t="n"/>
      <c r="C140" s="41" t="n"/>
      <c r="D140" s="41" t="n"/>
      <c r="E140" s="41" t="n"/>
      <c r="F140" s="41" t="n"/>
      <c r="G140" s="42" t="n"/>
      <c r="H140" s="20" t="n"/>
      <c r="I140" s="20" t="n"/>
      <c r="J140" s="20" t="n"/>
    </row>
    <row r="141" ht="16.5" customFormat="1" customHeight="1" s="12">
      <c r="A141" s="17" t="n">
        <v>136</v>
      </c>
      <c r="B141" s="25" t="n"/>
      <c r="C141" s="41" t="n"/>
      <c r="D141" s="41" t="n"/>
      <c r="E141" s="41" t="n"/>
      <c r="F141" s="41" t="n"/>
      <c r="G141" s="42" t="n"/>
      <c r="H141" s="20" t="n"/>
      <c r="I141" s="20" t="n"/>
      <c r="J141" s="20" t="n"/>
    </row>
    <row r="142" ht="16.5" customFormat="1" customHeight="1" s="12">
      <c r="A142" s="17" t="n">
        <v>137</v>
      </c>
      <c r="B142" s="25" t="n"/>
      <c r="C142" s="41" t="n"/>
      <c r="D142" s="41" t="n"/>
      <c r="E142" s="41" t="n"/>
      <c r="F142" s="41" t="n"/>
      <c r="G142" s="42" t="n"/>
      <c r="H142" s="20" t="n"/>
      <c r="I142" s="20" t="n"/>
      <c r="J142" s="20" t="n"/>
    </row>
    <row r="143" ht="16.5" customFormat="1" customHeight="1" s="12">
      <c r="A143" s="17" t="n">
        <v>138</v>
      </c>
      <c r="B143" s="25" t="n"/>
      <c r="C143" s="41" t="n"/>
      <c r="D143" s="41" t="n"/>
      <c r="E143" s="41" t="n"/>
      <c r="F143" s="41" t="n"/>
      <c r="G143" s="42" t="n"/>
      <c r="H143" s="20" t="n"/>
      <c r="I143" s="20" t="n"/>
      <c r="J143" s="20" t="n"/>
    </row>
    <row r="144" ht="16.5" customFormat="1" customHeight="1" s="12">
      <c r="A144" s="17" t="n">
        <v>139</v>
      </c>
      <c r="B144" s="25" t="n"/>
      <c r="C144" s="41" t="n"/>
      <c r="D144" s="41" t="n"/>
      <c r="E144" s="41" t="n"/>
      <c r="F144" s="41" t="n"/>
      <c r="G144" s="42" t="n"/>
      <c r="H144" s="20" t="n"/>
      <c r="I144" s="20" t="n"/>
      <c r="J144" s="20" t="n"/>
    </row>
    <row r="145" ht="16.5" customFormat="1" customHeight="1" s="12">
      <c r="A145" s="17" t="n">
        <v>140</v>
      </c>
      <c r="B145" s="25" t="n"/>
      <c r="C145" s="41" t="n"/>
      <c r="D145" s="41" t="n"/>
      <c r="E145" s="41" t="n"/>
      <c r="F145" s="41" t="n"/>
      <c r="G145" s="42" t="n"/>
      <c r="H145" s="20" t="n"/>
      <c r="I145" s="20" t="n"/>
      <c r="J145" s="20" t="n"/>
    </row>
    <row r="146" ht="16.5" customFormat="1" customHeight="1" s="12">
      <c r="A146" s="17" t="n">
        <v>141</v>
      </c>
      <c r="B146" s="25" t="n"/>
      <c r="C146" s="41" t="n"/>
      <c r="D146" s="41" t="n"/>
      <c r="E146" s="41" t="n"/>
      <c r="F146" s="41" t="n"/>
      <c r="G146" s="42" t="n"/>
      <c r="H146" s="20" t="n"/>
      <c r="I146" s="20" t="n"/>
      <c r="J146" s="20" t="n"/>
    </row>
    <row r="147" ht="16.5" customFormat="1" customHeight="1" s="12">
      <c r="A147" s="17" t="n">
        <v>142</v>
      </c>
      <c r="B147" s="25" t="n"/>
      <c r="C147" s="41" t="n"/>
      <c r="D147" s="41" t="n"/>
      <c r="E147" s="41" t="n"/>
      <c r="F147" s="41" t="n"/>
      <c r="G147" s="42" t="n"/>
      <c r="H147" s="20" t="n"/>
      <c r="I147" s="20" t="n"/>
      <c r="J147" s="20" t="n"/>
    </row>
    <row r="148" ht="16.5" customFormat="1" customHeight="1" s="12">
      <c r="A148" s="17" t="n">
        <v>143</v>
      </c>
      <c r="B148" s="25" t="n"/>
      <c r="C148" s="41" t="n"/>
      <c r="D148" s="41" t="n"/>
      <c r="E148" s="41" t="n"/>
      <c r="F148" s="41" t="n"/>
      <c r="G148" s="42" t="n"/>
      <c r="H148" s="20" t="n"/>
      <c r="I148" s="20" t="n"/>
      <c r="J148" s="20" t="n"/>
    </row>
    <row r="149" ht="16.5" customFormat="1" customHeight="1" s="12">
      <c r="A149" s="17" t="n">
        <v>144</v>
      </c>
      <c r="B149" s="25" t="n"/>
      <c r="C149" s="41" t="n"/>
      <c r="D149" s="41" t="n"/>
      <c r="E149" s="41" t="n"/>
      <c r="F149" s="41" t="n"/>
      <c r="G149" s="42" t="n"/>
      <c r="H149" s="20" t="n"/>
      <c r="I149" s="20" t="n"/>
      <c r="J149" s="20" t="n"/>
    </row>
    <row r="150" ht="16.5" customFormat="1" customHeight="1" s="12">
      <c r="A150" s="17" t="n">
        <v>145</v>
      </c>
      <c r="B150" s="25" t="n"/>
      <c r="C150" s="41" t="n"/>
      <c r="D150" s="41" t="n"/>
      <c r="E150" s="41" t="n"/>
      <c r="F150" s="41" t="n"/>
      <c r="G150" s="42" t="n"/>
      <c r="H150" s="20" t="n"/>
      <c r="I150" s="20" t="n"/>
      <c r="J150" s="20" t="n"/>
    </row>
    <row r="151" ht="16.5" customFormat="1" customHeight="1" s="12">
      <c r="A151" s="17" t="n">
        <v>146</v>
      </c>
      <c r="B151" s="25" t="n"/>
      <c r="C151" s="41" t="n"/>
      <c r="D151" s="41" t="n"/>
      <c r="E151" s="41" t="n"/>
      <c r="F151" s="41" t="n"/>
      <c r="G151" s="42" t="n"/>
      <c r="H151" s="20" t="n"/>
      <c r="I151" s="20" t="n"/>
      <c r="J151" s="20" t="n"/>
    </row>
    <row r="152" ht="16.5" customFormat="1" customHeight="1" s="12">
      <c r="A152" s="17" t="n">
        <v>147</v>
      </c>
      <c r="B152" s="25" t="n"/>
      <c r="C152" s="41" t="n"/>
      <c r="D152" s="41" t="n"/>
      <c r="E152" s="41" t="n"/>
      <c r="F152" s="41" t="n"/>
      <c r="G152" s="42" t="n"/>
      <c r="H152" s="20" t="n"/>
      <c r="I152" s="20" t="n"/>
      <c r="J152" s="20" t="n"/>
    </row>
    <row r="153" ht="16.5" customFormat="1" customHeight="1" s="12">
      <c r="A153" s="17" t="n">
        <v>148</v>
      </c>
      <c r="B153" s="25" t="n"/>
      <c r="C153" s="41" t="n"/>
      <c r="D153" s="41" t="n"/>
      <c r="E153" s="41" t="n"/>
      <c r="F153" s="41" t="n"/>
      <c r="G153" s="42" t="n"/>
      <c r="H153" s="20" t="n"/>
      <c r="I153" s="20" t="n"/>
      <c r="J153" s="20" t="n"/>
    </row>
    <row r="154" ht="16.5" customFormat="1" customHeight="1" s="12">
      <c r="A154" s="17" t="n">
        <v>149</v>
      </c>
      <c r="B154" s="25" t="n"/>
      <c r="C154" s="41" t="n"/>
      <c r="D154" s="41" t="n"/>
      <c r="E154" s="41" t="n"/>
      <c r="F154" s="41" t="n"/>
      <c r="G154" s="42" t="n"/>
      <c r="H154" s="20" t="n"/>
      <c r="I154" s="20" t="n"/>
      <c r="J154" s="20" t="n"/>
    </row>
    <row r="155" ht="16.5" customFormat="1" customHeight="1" s="12">
      <c r="A155" s="17" t="n">
        <v>150</v>
      </c>
      <c r="B155" s="25" t="n"/>
      <c r="C155" s="41" t="n"/>
      <c r="D155" s="41" t="n"/>
      <c r="E155" s="41" t="n"/>
      <c r="F155" s="41" t="n"/>
      <c r="G155" s="42" t="n"/>
      <c r="H155" s="20" t="n"/>
      <c r="I155" s="20" t="n"/>
      <c r="J155" s="20" t="n"/>
    </row>
    <row r="156" ht="16.5" customFormat="1" customHeight="1" s="12">
      <c r="A156" s="17" t="n">
        <v>151</v>
      </c>
      <c r="B156" s="25" t="n"/>
      <c r="C156" s="41" t="n"/>
      <c r="D156" s="41" t="n"/>
      <c r="E156" s="41" t="n"/>
      <c r="F156" s="41" t="n"/>
      <c r="G156" s="42" t="n"/>
      <c r="H156" s="20" t="n"/>
      <c r="I156" s="20" t="n"/>
      <c r="J156" s="20" t="n"/>
    </row>
    <row r="157" ht="16.5" customFormat="1" customHeight="1" s="12">
      <c r="A157" s="17" t="n">
        <v>152</v>
      </c>
      <c r="B157" s="25" t="n"/>
      <c r="C157" s="41" t="n"/>
      <c r="D157" s="41" t="n"/>
      <c r="E157" s="41" t="n"/>
      <c r="F157" s="41" t="n"/>
      <c r="G157" s="42" t="n"/>
      <c r="H157" s="20" t="n"/>
      <c r="I157" s="20" t="n"/>
      <c r="J157" s="20" t="n"/>
    </row>
    <row r="158" ht="16.5" customFormat="1" customHeight="1" s="12">
      <c r="A158" s="17" t="n">
        <v>153</v>
      </c>
      <c r="B158" s="25" t="n"/>
      <c r="C158" s="41" t="n"/>
      <c r="D158" s="41" t="n"/>
      <c r="E158" s="41" t="n"/>
      <c r="F158" s="41" t="n"/>
      <c r="G158" s="42" t="n"/>
      <c r="H158" s="20" t="n"/>
      <c r="I158" s="20" t="n"/>
      <c r="J158" s="20" t="n"/>
    </row>
    <row r="159" ht="16.5" customFormat="1" customHeight="1" s="12">
      <c r="A159" s="17" t="n">
        <v>154</v>
      </c>
      <c r="B159" s="25" t="n"/>
      <c r="C159" s="41" t="n"/>
      <c r="D159" s="41" t="n"/>
      <c r="E159" s="41" t="n"/>
      <c r="F159" s="41" t="n"/>
      <c r="G159" s="42" t="n"/>
      <c r="H159" s="20" t="n"/>
      <c r="I159" s="20" t="n"/>
      <c r="J159" s="20" t="n"/>
    </row>
    <row r="160" ht="16.5" customFormat="1" customHeight="1" s="12">
      <c r="A160" s="17" t="n">
        <v>155</v>
      </c>
      <c r="B160" s="25" t="n"/>
      <c r="C160" s="41" t="n"/>
      <c r="D160" s="41" t="n"/>
      <c r="E160" s="41" t="n"/>
      <c r="F160" s="41" t="n"/>
      <c r="G160" s="42" t="n"/>
      <c r="H160" s="20" t="n"/>
      <c r="I160" s="20" t="n"/>
      <c r="J160" s="20" t="n"/>
    </row>
    <row r="161" ht="16.5" customFormat="1" customHeight="1" s="12">
      <c r="A161" s="17" t="n">
        <v>156</v>
      </c>
      <c r="B161" s="25" t="n"/>
      <c r="C161" s="41" t="n"/>
      <c r="D161" s="41" t="n"/>
      <c r="E161" s="41" t="n"/>
      <c r="F161" s="41" t="n"/>
      <c r="G161" s="42" t="n"/>
      <c r="H161" s="20" t="n"/>
      <c r="I161" s="20" t="n"/>
      <c r="J161" s="20" t="n"/>
    </row>
    <row r="162" ht="16.5" customFormat="1" customHeight="1" s="12">
      <c r="A162" s="17" t="n">
        <v>157</v>
      </c>
      <c r="B162" s="25" t="n"/>
      <c r="C162" s="41" t="n"/>
      <c r="D162" s="41" t="n"/>
      <c r="E162" s="41" t="n"/>
      <c r="F162" s="41" t="n"/>
      <c r="G162" s="42" t="n"/>
      <c r="H162" s="20" t="n"/>
      <c r="I162" s="20" t="n"/>
      <c r="J162" s="20" t="n"/>
    </row>
    <row r="163" ht="16.5" customFormat="1" customHeight="1" s="12">
      <c r="A163" s="17" t="n">
        <v>158</v>
      </c>
      <c r="B163" s="25" t="n"/>
      <c r="C163" s="41" t="n"/>
      <c r="D163" s="41" t="n"/>
      <c r="E163" s="41" t="n"/>
      <c r="F163" s="41" t="n"/>
      <c r="G163" s="42" t="n"/>
      <c r="H163" s="20" t="n"/>
      <c r="I163" s="20" t="n"/>
      <c r="J163" s="20" t="n"/>
    </row>
    <row r="164" ht="16.5" customFormat="1" customHeight="1" s="12">
      <c r="A164" s="17" t="n">
        <v>159</v>
      </c>
      <c r="B164" s="25" t="n"/>
      <c r="C164" s="41" t="n"/>
      <c r="D164" s="41" t="n"/>
      <c r="E164" s="41" t="n"/>
      <c r="F164" s="41" t="n"/>
      <c r="G164" s="42" t="n"/>
      <c r="H164" s="20" t="n"/>
      <c r="I164" s="20" t="n"/>
      <c r="J164" s="20" t="n"/>
    </row>
    <row r="165" ht="16.5" customFormat="1" customHeight="1" s="12">
      <c r="A165" s="17" t="n">
        <v>160</v>
      </c>
      <c r="B165" s="25" t="n"/>
      <c r="C165" s="41" t="n"/>
      <c r="D165" s="41" t="n"/>
      <c r="E165" s="41" t="n"/>
      <c r="F165" s="41" t="n"/>
      <c r="G165" s="42" t="n"/>
      <c r="H165" s="20" t="n"/>
      <c r="I165" s="20" t="n"/>
      <c r="J165" s="20" t="n"/>
    </row>
    <row r="166" ht="16.5" customFormat="1" customHeight="1" s="12">
      <c r="A166" s="17" t="n">
        <v>161</v>
      </c>
      <c r="B166" s="25" t="n"/>
      <c r="C166" s="41" t="n"/>
      <c r="D166" s="41" t="n"/>
      <c r="E166" s="41" t="n"/>
      <c r="F166" s="41" t="n"/>
      <c r="G166" s="42" t="n"/>
      <c r="H166" s="20" t="n"/>
      <c r="I166" s="20" t="n"/>
      <c r="J166" s="20" t="n"/>
    </row>
    <row r="167" ht="16.5" customFormat="1" customHeight="1" s="12">
      <c r="A167" s="17" t="n">
        <v>162</v>
      </c>
      <c r="B167" s="25" t="n"/>
      <c r="C167" s="41" t="n"/>
      <c r="D167" s="41" t="n"/>
      <c r="E167" s="41" t="n"/>
      <c r="F167" s="41" t="n"/>
      <c r="G167" s="42" t="n"/>
      <c r="H167" s="20" t="n"/>
      <c r="I167" s="20" t="n"/>
      <c r="J167" s="20" t="n"/>
    </row>
    <row r="168" ht="16.5" customFormat="1" customHeight="1" s="12">
      <c r="A168" s="17" t="n">
        <v>163</v>
      </c>
      <c r="B168" s="25" t="n"/>
      <c r="C168" s="41" t="n"/>
      <c r="D168" s="41" t="n"/>
      <c r="E168" s="41" t="n"/>
      <c r="F168" s="41" t="n"/>
      <c r="G168" s="42" t="n"/>
      <c r="H168" s="20" t="n"/>
      <c r="I168" s="20" t="n"/>
      <c r="J168" s="20" t="n"/>
    </row>
    <row r="169" ht="16.5" customFormat="1" customHeight="1" s="12">
      <c r="A169" s="17" t="n">
        <v>164</v>
      </c>
      <c r="B169" s="25" t="n"/>
      <c r="C169" s="41" t="n"/>
      <c r="D169" s="41" t="n"/>
      <c r="E169" s="41" t="n"/>
      <c r="F169" s="41" t="n"/>
      <c r="G169" s="42" t="n"/>
      <c r="H169" s="20" t="n"/>
      <c r="I169" s="20" t="n"/>
      <c r="J169" s="20" t="n"/>
    </row>
    <row r="170" ht="16.5" customFormat="1" customHeight="1" s="12">
      <c r="A170" s="17" t="n">
        <v>165</v>
      </c>
      <c r="B170" s="25" t="n"/>
      <c r="C170" s="41" t="n"/>
      <c r="D170" s="41" t="n"/>
      <c r="E170" s="41" t="n"/>
      <c r="F170" s="41" t="n"/>
      <c r="G170" s="42" t="n"/>
      <c r="H170" s="20" t="n"/>
      <c r="I170" s="20" t="n"/>
      <c r="J170" s="20" t="n"/>
    </row>
    <row r="171" ht="16.5" customFormat="1" customHeight="1" s="12">
      <c r="A171" s="17" t="n">
        <v>166</v>
      </c>
      <c r="B171" s="25" t="n"/>
      <c r="C171" s="41" t="n"/>
      <c r="D171" s="41" t="n"/>
      <c r="E171" s="41" t="n"/>
      <c r="F171" s="41" t="n"/>
      <c r="G171" s="42" t="n"/>
      <c r="H171" s="20" t="n"/>
      <c r="I171" s="20" t="n"/>
      <c r="J171" s="20" t="n"/>
    </row>
    <row r="172" ht="16.5" customFormat="1" customHeight="1" s="12">
      <c r="A172" s="17" t="n">
        <v>167</v>
      </c>
      <c r="B172" s="25" t="n"/>
      <c r="C172" s="41" t="n"/>
      <c r="D172" s="41" t="n"/>
      <c r="E172" s="41" t="n"/>
      <c r="F172" s="41" t="n"/>
      <c r="G172" s="42" t="n"/>
      <c r="H172" s="20" t="n"/>
      <c r="I172" s="20" t="n"/>
      <c r="J172" s="20" t="n"/>
    </row>
    <row r="173" ht="16.5" customFormat="1" customHeight="1" s="12">
      <c r="A173" s="17" t="n">
        <v>168</v>
      </c>
      <c r="B173" s="25" t="n"/>
      <c r="C173" s="41" t="n"/>
      <c r="D173" s="41" t="n"/>
      <c r="E173" s="41" t="n"/>
      <c r="F173" s="41" t="n"/>
      <c r="G173" s="42" t="n"/>
      <c r="H173" s="20" t="n"/>
      <c r="I173" s="20" t="n"/>
      <c r="J173" s="20" t="n"/>
    </row>
    <row r="174" ht="16.5" customFormat="1" customHeight="1" s="12">
      <c r="A174" s="17" t="n">
        <v>169</v>
      </c>
      <c r="B174" s="25" t="n"/>
      <c r="C174" s="41" t="n"/>
      <c r="D174" s="41" t="n"/>
      <c r="E174" s="41" t="n"/>
      <c r="F174" s="41" t="n"/>
      <c r="G174" s="42" t="n"/>
      <c r="H174" s="20" t="n"/>
      <c r="I174" s="20" t="n"/>
      <c r="J174" s="20" t="n"/>
    </row>
    <row r="175" ht="16.5" customFormat="1" customHeight="1" s="12">
      <c r="A175" s="17" t="n">
        <v>170</v>
      </c>
      <c r="B175" s="25" t="n"/>
      <c r="C175" s="41" t="n"/>
      <c r="D175" s="41" t="n"/>
      <c r="E175" s="41" t="n"/>
      <c r="F175" s="41" t="n"/>
      <c r="G175" s="42" t="n"/>
      <c r="H175" s="20" t="n"/>
      <c r="I175" s="20" t="n"/>
      <c r="J175" s="20" t="n"/>
    </row>
    <row r="176" ht="16.5" customFormat="1" customHeight="1" s="12">
      <c r="A176" s="17" t="n">
        <v>171</v>
      </c>
      <c r="B176" s="25" t="n"/>
      <c r="C176" s="41" t="n"/>
      <c r="D176" s="41" t="n"/>
      <c r="E176" s="41" t="n"/>
      <c r="F176" s="41" t="n"/>
      <c r="G176" s="42" t="n"/>
      <c r="H176" s="20" t="n"/>
      <c r="I176" s="20" t="n"/>
      <c r="J176" s="20" t="n"/>
    </row>
    <row r="177" ht="16.5" customFormat="1" customHeight="1" s="12">
      <c r="A177" s="17" t="n">
        <v>172</v>
      </c>
      <c r="B177" s="25" t="n"/>
      <c r="C177" s="41" t="n"/>
      <c r="D177" s="41" t="n"/>
      <c r="E177" s="41" t="n"/>
      <c r="F177" s="41" t="n"/>
      <c r="G177" s="42" t="n"/>
      <c r="H177" s="20" t="n"/>
      <c r="I177" s="20" t="n"/>
      <c r="J177" s="20" t="n"/>
    </row>
    <row r="178" ht="16.5" customFormat="1" customHeight="1" s="12">
      <c r="A178" s="17" t="n">
        <v>173</v>
      </c>
      <c r="B178" s="25" t="n"/>
      <c r="C178" s="41" t="n"/>
      <c r="D178" s="41" t="n"/>
      <c r="E178" s="41" t="n"/>
      <c r="F178" s="41" t="n"/>
      <c r="G178" s="42" t="n"/>
      <c r="H178" s="20" t="n"/>
      <c r="I178" s="20" t="n"/>
      <c r="J178" s="20" t="n"/>
    </row>
    <row r="179" ht="16.5" customFormat="1" customHeight="1" s="12">
      <c r="A179" s="17" t="n">
        <v>174</v>
      </c>
      <c r="B179" s="25" t="n"/>
      <c r="C179" s="41" t="n"/>
      <c r="D179" s="41" t="n"/>
      <c r="E179" s="41" t="n"/>
      <c r="F179" s="41" t="n"/>
      <c r="G179" s="42" t="n"/>
      <c r="H179" s="20" t="n"/>
      <c r="I179" s="20" t="n"/>
      <c r="J179" s="20" t="n"/>
    </row>
    <row r="180" ht="16.5" customFormat="1" customHeight="1" s="12">
      <c r="A180" s="17" t="n">
        <v>175</v>
      </c>
      <c r="B180" s="25" t="n"/>
      <c r="C180" s="41" t="n"/>
      <c r="D180" s="41" t="n"/>
      <c r="E180" s="41" t="n"/>
      <c r="F180" s="41" t="n"/>
      <c r="G180" s="42" t="n"/>
      <c r="H180" s="20" t="n"/>
      <c r="I180" s="20" t="n"/>
      <c r="J180" s="20" t="n"/>
    </row>
    <row r="181" ht="16.5" customFormat="1" customHeight="1" s="12">
      <c r="A181" s="17" t="n">
        <v>176</v>
      </c>
      <c r="B181" s="25" t="n"/>
      <c r="C181" s="41" t="n"/>
      <c r="D181" s="41" t="n"/>
      <c r="E181" s="41" t="n"/>
      <c r="F181" s="41" t="n"/>
      <c r="G181" s="42" t="n"/>
      <c r="H181" s="20" t="n"/>
      <c r="I181" s="20" t="n"/>
      <c r="J181" s="20" t="n"/>
    </row>
    <row r="182" ht="16.5" customFormat="1" customHeight="1" s="12">
      <c r="A182" s="17" t="n">
        <v>177</v>
      </c>
      <c r="B182" s="25" t="n"/>
      <c r="C182" s="41" t="n"/>
      <c r="D182" s="41" t="n"/>
      <c r="E182" s="41" t="n"/>
      <c r="F182" s="41" t="n"/>
      <c r="G182" s="42" t="n"/>
      <c r="H182" s="20" t="n"/>
      <c r="I182" s="20" t="n"/>
      <c r="J182" s="20" t="n"/>
    </row>
    <row r="183" ht="16.5" customFormat="1" customHeight="1" s="12">
      <c r="A183" s="17" t="n">
        <v>178</v>
      </c>
      <c r="B183" s="25" t="n"/>
      <c r="C183" s="41" t="n"/>
      <c r="D183" s="41" t="n"/>
      <c r="E183" s="41" t="n"/>
      <c r="F183" s="41" t="n"/>
      <c r="G183" s="42" t="n"/>
      <c r="H183" s="20" t="n"/>
      <c r="I183" s="20" t="n"/>
      <c r="J183" s="20" t="n"/>
    </row>
    <row r="184" ht="16.5" customFormat="1" customHeight="1" s="12">
      <c r="A184" s="17" t="n">
        <v>179</v>
      </c>
      <c r="B184" s="25" t="n"/>
      <c r="C184" s="41" t="n"/>
      <c r="D184" s="41" t="n"/>
      <c r="E184" s="41" t="n"/>
      <c r="F184" s="41" t="n"/>
      <c r="G184" s="42" t="n"/>
      <c r="H184" s="20" t="n"/>
      <c r="I184" s="20" t="n"/>
      <c r="J184" s="20" t="n"/>
    </row>
    <row r="185" ht="16.5" customFormat="1" customHeight="1" s="12">
      <c r="A185" s="17" t="n">
        <v>180</v>
      </c>
      <c r="B185" s="25" t="n"/>
      <c r="C185" s="41" t="n"/>
      <c r="D185" s="41" t="n"/>
      <c r="E185" s="41" t="n"/>
      <c r="F185" s="41" t="n"/>
      <c r="G185" s="42" t="n"/>
      <c r="H185" s="20" t="n"/>
      <c r="I185" s="20" t="n"/>
      <c r="J185" s="20" t="n"/>
    </row>
    <row r="186" ht="16.5" customFormat="1" customHeight="1" s="12">
      <c r="A186" s="17" t="n">
        <v>181</v>
      </c>
      <c r="B186" s="25" t="n"/>
      <c r="C186" s="41" t="n"/>
      <c r="D186" s="41" t="n"/>
      <c r="E186" s="41" t="n"/>
      <c r="F186" s="41" t="n"/>
      <c r="G186" s="42" t="n"/>
      <c r="H186" s="20" t="n"/>
      <c r="I186" s="20" t="n"/>
      <c r="J186" s="20" t="n"/>
    </row>
    <row r="187" ht="16.5" customFormat="1" customHeight="1" s="12">
      <c r="A187" s="17" t="n">
        <v>182</v>
      </c>
      <c r="B187" s="25" t="n"/>
      <c r="C187" s="41" t="n"/>
      <c r="D187" s="41" t="n"/>
      <c r="E187" s="41" t="n"/>
      <c r="F187" s="41" t="n"/>
      <c r="G187" s="42" t="n"/>
      <c r="H187" s="20" t="n"/>
      <c r="I187" s="20" t="n"/>
      <c r="J187" s="20" t="n"/>
    </row>
    <row r="188" ht="16.5" customFormat="1" customHeight="1" s="12">
      <c r="A188" s="17" t="n">
        <v>183</v>
      </c>
      <c r="B188" s="25" t="n"/>
      <c r="C188" s="41" t="n"/>
      <c r="D188" s="41" t="n"/>
      <c r="E188" s="41" t="n"/>
      <c r="F188" s="41" t="n"/>
      <c r="G188" s="42" t="n"/>
      <c r="H188" s="20" t="n"/>
      <c r="I188" s="20" t="n"/>
      <c r="J188" s="20" t="n"/>
    </row>
    <row r="189" ht="16.5" customFormat="1" customHeight="1" s="12">
      <c r="A189" s="17" t="n">
        <v>184</v>
      </c>
      <c r="B189" s="25" t="n"/>
      <c r="C189" s="41" t="n"/>
      <c r="D189" s="41" t="n"/>
      <c r="E189" s="41" t="n"/>
      <c r="F189" s="41" t="n"/>
      <c r="G189" s="42" t="n"/>
      <c r="H189" s="20" t="n"/>
      <c r="I189" s="20" t="n"/>
      <c r="J189" s="20" t="n"/>
    </row>
    <row r="190" ht="16.5" customFormat="1" customHeight="1" s="12">
      <c r="A190" s="17" t="n">
        <v>185</v>
      </c>
      <c r="B190" s="25" t="n"/>
      <c r="C190" s="41" t="n"/>
      <c r="D190" s="41" t="n"/>
      <c r="E190" s="41" t="n"/>
      <c r="F190" s="41" t="n"/>
      <c r="G190" s="42" t="n"/>
      <c r="H190" s="20" t="n"/>
      <c r="I190" s="20" t="n"/>
      <c r="J190" s="20" t="n"/>
    </row>
    <row r="191" ht="16.5" customFormat="1" customHeight="1" s="12">
      <c r="A191" s="17" t="n">
        <v>186</v>
      </c>
      <c r="B191" s="25" t="n"/>
      <c r="C191" s="41" t="n"/>
      <c r="D191" s="41" t="n"/>
      <c r="E191" s="41" t="n"/>
      <c r="F191" s="41" t="n"/>
      <c r="G191" s="42" t="n"/>
      <c r="H191" s="20" t="n"/>
      <c r="I191" s="20" t="n"/>
      <c r="J191" s="20" t="n"/>
    </row>
    <row r="192" ht="16.5" customFormat="1" customHeight="1" s="12">
      <c r="A192" s="17" t="n">
        <v>187</v>
      </c>
      <c r="B192" s="25" t="n"/>
      <c r="C192" s="41" t="n"/>
      <c r="D192" s="41" t="n"/>
      <c r="E192" s="41" t="n"/>
      <c r="F192" s="41" t="n"/>
      <c r="G192" s="42" t="n"/>
      <c r="H192" s="20" t="n"/>
      <c r="I192" s="20" t="n"/>
      <c r="J192" s="20" t="n"/>
    </row>
    <row r="193" ht="16.5" customFormat="1" customHeight="1" s="12">
      <c r="A193" s="17" t="n">
        <v>188</v>
      </c>
      <c r="B193" s="25" t="n"/>
      <c r="C193" s="41" t="n"/>
      <c r="D193" s="41" t="n"/>
      <c r="E193" s="41" t="n"/>
      <c r="F193" s="41" t="n"/>
      <c r="G193" s="42" t="n"/>
      <c r="H193" s="20" t="n"/>
      <c r="I193" s="20" t="n"/>
      <c r="J193" s="20" t="n"/>
    </row>
    <row r="194" ht="16.5" customFormat="1" customHeight="1" s="12">
      <c r="A194" s="17" t="n">
        <v>189</v>
      </c>
      <c r="B194" s="25" t="n"/>
      <c r="C194" s="41" t="n"/>
      <c r="D194" s="41" t="n"/>
      <c r="E194" s="41" t="n"/>
      <c r="F194" s="41" t="n"/>
      <c r="G194" s="42" t="n"/>
      <c r="H194" s="20" t="n"/>
      <c r="I194" s="20" t="n"/>
      <c r="J194" s="20" t="n"/>
    </row>
    <row r="195" ht="16.5" customFormat="1" customHeight="1" s="12">
      <c r="A195" s="17" t="n">
        <v>190</v>
      </c>
      <c r="B195" s="25" t="n"/>
      <c r="C195" s="41" t="n"/>
      <c r="D195" s="41" t="n"/>
      <c r="E195" s="41" t="n"/>
      <c r="F195" s="41" t="n"/>
      <c r="G195" s="42" t="n"/>
      <c r="H195" s="20" t="n"/>
      <c r="I195" s="20" t="n"/>
      <c r="J195" s="20" t="n"/>
    </row>
    <row r="196" ht="16.5" customFormat="1" customHeight="1" s="12">
      <c r="A196" s="17" t="n">
        <v>191</v>
      </c>
      <c r="B196" s="25" t="n"/>
      <c r="C196" s="41" t="n"/>
      <c r="D196" s="41" t="n"/>
      <c r="E196" s="41" t="n"/>
      <c r="F196" s="41" t="n"/>
      <c r="G196" s="42" t="n"/>
      <c r="H196" s="20" t="n"/>
      <c r="I196" s="20" t="n"/>
      <c r="J196" s="20" t="n"/>
    </row>
    <row r="197" ht="16.5" customFormat="1" customHeight="1" s="12">
      <c r="A197" s="17" t="n">
        <v>192</v>
      </c>
      <c r="B197" s="25" t="n"/>
      <c r="C197" s="41" t="n"/>
      <c r="D197" s="41" t="n"/>
      <c r="E197" s="41" t="n"/>
      <c r="F197" s="41" t="n"/>
      <c r="G197" s="42" t="n"/>
      <c r="H197" s="20" t="n"/>
      <c r="I197" s="20" t="n"/>
      <c r="J197" s="20" t="n"/>
    </row>
    <row r="198" ht="16.5" customFormat="1" customHeight="1" s="12">
      <c r="A198" s="17" t="n">
        <v>193</v>
      </c>
      <c r="B198" s="25" t="n"/>
      <c r="C198" s="41" t="n"/>
      <c r="D198" s="41" t="n"/>
      <c r="E198" s="41" t="n"/>
      <c r="F198" s="41" t="n"/>
      <c r="G198" s="42" t="n"/>
      <c r="H198" s="20" t="n"/>
      <c r="I198" s="20" t="n"/>
      <c r="J198" s="20" t="n"/>
    </row>
    <row r="199" ht="16.5" customFormat="1" customHeight="1" s="12">
      <c r="A199" s="17" t="n">
        <v>194</v>
      </c>
      <c r="B199" s="25" t="n"/>
      <c r="C199" s="41" t="n"/>
      <c r="D199" s="41" t="n"/>
      <c r="E199" s="41" t="n"/>
      <c r="F199" s="41" t="n"/>
      <c r="G199" s="42" t="n"/>
      <c r="H199" s="20" t="n"/>
      <c r="I199" s="20" t="n"/>
      <c r="J199" s="20" t="n"/>
    </row>
    <row r="200" ht="16.5" customFormat="1" customHeight="1" s="12">
      <c r="A200" s="17" t="n">
        <v>195</v>
      </c>
      <c r="B200" s="25" t="n"/>
      <c r="C200" s="41" t="n"/>
      <c r="D200" s="41" t="n"/>
      <c r="E200" s="41" t="n"/>
      <c r="F200" s="41" t="n"/>
      <c r="G200" s="42" t="n"/>
      <c r="H200" s="20" t="n"/>
      <c r="I200" s="20" t="n"/>
      <c r="J200" s="20" t="n"/>
    </row>
    <row r="201" ht="16.5" customFormat="1" customHeight="1" s="12">
      <c r="A201" s="17" t="n">
        <v>196</v>
      </c>
      <c r="B201" s="25" t="n"/>
      <c r="C201" s="41" t="n"/>
      <c r="D201" s="41" t="n"/>
      <c r="E201" s="41" t="n"/>
      <c r="F201" s="41" t="n"/>
      <c r="G201" s="42" t="n"/>
      <c r="H201" s="20" t="n"/>
      <c r="I201" s="20" t="n"/>
      <c r="J201" s="20" t="n"/>
    </row>
    <row r="202" ht="16.5" customFormat="1" customHeight="1" s="12">
      <c r="A202" s="17" t="n">
        <v>197</v>
      </c>
      <c r="B202" s="25" t="n"/>
      <c r="C202" s="41" t="n"/>
      <c r="D202" s="41" t="n"/>
      <c r="E202" s="41" t="n"/>
      <c r="F202" s="41" t="n"/>
      <c r="G202" s="42" t="n"/>
      <c r="H202" s="20" t="n"/>
      <c r="I202" s="20" t="n"/>
      <c r="J202" s="20" t="n"/>
    </row>
    <row r="203" ht="16.5" customFormat="1" customHeight="1" s="12">
      <c r="A203" s="17" t="n">
        <v>198</v>
      </c>
      <c r="B203" s="25" t="n"/>
      <c r="C203" s="41" t="n"/>
      <c r="D203" s="41" t="n"/>
      <c r="E203" s="41" t="n"/>
      <c r="F203" s="41" t="n"/>
      <c r="G203" s="42" t="n"/>
      <c r="H203" s="20" t="n"/>
      <c r="I203" s="20" t="n"/>
      <c r="J203" s="20" t="n"/>
    </row>
    <row r="204" ht="16.5" customFormat="1" customHeight="1" s="12">
      <c r="A204" s="17" t="n">
        <v>199</v>
      </c>
      <c r="B204" s="25" t="n"/>
      <c r="C204" s="41" t="n"/>
      <c r="D204" s="41" t="n"/>
      <c r="E204" s="41" t="n"/>
      <c r="F204" s="41" t="n"/>
      <c r="G204" s="42" t="n"/>
      <c r="H204" s="20" t="n"/>
      <c r="I204" s="20" t="n"/>
      <c r="J204" s="20" t="n"/>
    </row>
    <row r="205" ht="16.5" customFormat="1" customHeight="1" s="12">
      <c r="A205" s="17" t="n">
        <v>200</v>
      </c>
      <c r="B205" s="25" t="n"/>
      <c r="C205" s="41" t="n"/>
      <c r="D205" s="41" t="n"/>
      <c r="E205" s="41" t="n"/>
      <c r="F205" s="41" t="n"/>
      <c r="G205" s="42" t="n"/>
      <c r="H205" s="20" t="n"/>
      <c r="I205" s="20" t="n"/>
      <c r="J205" s="20" t="n"/>
    </row>
    <row r="206" ht="16.5" customFormat="1" customHeight="1" s="12">
      <c r="A206" s="17" t="n">
        <v>201</v>
      </c>
      <c r="B206" s="25" t="n"/>
      <c r="C206" s="41" t="n"/>
      <c r="D206" s="41" t="n"/>
      <c r="E206" s="41" t="n"/>
      <c r="F206" s="41" t="n"/>
      <c r="G206" s="42" t="n"/>
      <c r="H206" s="20" t="n"/>
      <c r="I206" s="20" t="n"/>
      <c r="J206" s="20" t="n"/>
    </row>
    <row r="207" ht="16.5" customFormat="1" customHeight="1" s="12">
      <c r="A207" s="17" t="n">
        <v>202</v>
      </c>
      <c r="B207" s="25" t="n"/>
      <c r="C207" s="41" t="n"/>
      <c r="D207" s="41" t="n"/>
      <c r="E207" s="41" t="n"/>
      <c r="F207" s="41" t="n"/>
      <c r="G207" s="42" t="n"/>
      <c r="H207" s="20" t="n"/>
      <c r="I207" s="20" t="n"/>
      <c r="J207" s="20" t="n"/>
    </row>
    <row r="208" ht="16.5" customFormat="1" customHeight="1" s="12">
      <c r="A208" s="17" t="n">
        <v>203</v>
      </c>
      <c r="B208" s="25" t="n"/>
      <c r="C208" s="41" t="n"/>
      <c r="D208" s="41" t="n"/>
      <c r="E208" s="41" t="n"/>
      <c r="F208" s="41" t="n"/>
      <c r="G208" s="42" t="n"/>
      <c r="H208" s="20" t="n"/>
      <c r="I208" s="20" t="n"/>
      <c r="J208" s="20" t="n"/>
    </row>
    <row r="209" ht="16.5" customFormat="1" customHeight="1" s="12">
      <c r="A209" s="17" t="n">
        <v>204</v>
      </c>
      <c r="B209" s="25" t="n"/>
      <c r="C209" s="41" t="n"/>
      <c r="D209" s="41" t="n"/>
      <c r="E209" s="41" t="n"/>
      <c r="F209" s="41" t="n"/>
      <c r="G209" s="42" t="n"/>
      <c r="H209" s="20" t="n"/>
      <c r="I209" s="20" t="n"/>
      <c r="J209" s="20" t="n"/>
    </row>
    <row r="210" ht="16.5" customFormat="1" customHeight="1" s="12">
      <c r="A210" s="17" t="n">
        <v>205</v>
      </c>
      <c r="B210" s="25" t="n"/>
      <c r="C210" s="41" t="n"/>
      <c r="D210" s="41" t="n"/>
      <c r="E210" s="41" t="n"/>
      <c r="F210" s="41" t="n"/>
      <c r="G210" s="42" t="n"/>
      <c r="H210" s="20" t="n"/>
      <c r="I210" s="20" t="n"/>
      <c r="J210" s="20" t="n"/>
    </row>
    <row r="211" ht="16.5" customFormat="1" customHeight="1" s="12">
      <c r="A211" s="17" t="n">
        <v>206</v>
      </c>
      <c r="B211" s="25" t="n"/>
      <c r="C211" s="41" t="n"/>
      <c r="D211" s="41" t="n"/>
      <c r="E211" s="41" t="n"/>
      <c r="F211" s="41" t="n"/>
      <c r="G211" s="42" t="n"/>
      <c r="H211" s="20" t="n"/>
      <c r="I211" s="20" t="n"/>
      <c r="J211" s="20" t="n"/>
    </row>
    <row r="212" ht="16.5" customFormat="1" customHeight="1" s="12">
      <c r="A212" s="17" t="n">
        <v>207</v>
      </c>
      <c r="B212" s="25" t="n"/>
      <c r="C212" s="41" t="n"/>
      <c r="D212" s="41" t="n"/>
      <c r="E212" s="41" t="n"/>
      <c r="F212" s="41" t="n"/>
      <c r="G212" s="42" t="n"/>
      <c r="H212" s="20" t="n"/>
      <c r="I212" s="20" t="n"/>
      <c r="J212" s="20" t="n"/>
    </row>
    <row r="213" ht="16.5" customFormat="1" customHeight="1" s="12">
      <c r="A213" s="17" t="n">
        <v>208</v>
      </c>
      <c r="B213" s="25" t="n"/>
      <c r="C213" s="41" t="n"/>
      <c r="D213" s="41" t="n"/>
      <c r="E213" s="41" t="n"/>
      <c r="F213" s="41" t="n"/>
      <c r="G213" s="42" t="n"/>
      <c r="H213" s="20" t="n"/>
      <c r="I213" s="20" t="n"/>
      <c r="J213" s="20" t="n"/>
    </row>
    <row r="214" ht="16.5" customFormat="1" customHeight="1" s="12">
      <c r="A214" s="17" t="n">
        <v>209</v>
      </c>
      <c r="B214" s="25" t="n"/>
      <c r="C214" s="41" t="n"/>
      <c r="D214" s="41" t="n"/>
      <c r="E214" s="41" t="n"/>
      <c r="F214" s="41" t="n"/>
      <c r="G214" s="42" t="n"/>
      <c r="H214" s="20" t="n"/>
      <c r="I214" s="20" t="n"/>
      <c r="J214" s="20" t="n"/>
    </row>
    <row r="215" ht="16.5" customFormat="1" customHeight="1" s="12">
      <c r="A215" s="17" t="n">
        <v>210</v>
      </c>
      <c r="B215" s="25" t="n"/>
      <c r="C215" s="41" t="n"/>
      <c r="D215" s="41" t="n"/>
      <c r="E215" s="41" t="n"/>
      <c r="F215" s="41" t="n"/>
      <c r="G215" s="42" t="n"/>
      <c r="H215" s="20" t="n"/>
      <c r="I215" s="20" t="n"/>
      <c r="J215" s="20" t="n"/>
    </row>
    <row r="216" ht="16.5" customFormat="1" customHeight="1" s="12">
      <c r="A216" s="17" t="n">
        <v>211</v>
      </c>
      <c r="B216" s="25" t="n"/>
      <c r="C216" s="41" t="n"/>
      <c r="D216" s="41" t="n"/>
      <c r="E216" s="41" t="n"/>
      <c r="F216" s="41" t="n"/>
      <c r="G216" s="42" t="n"/>
      <c r="H216" s="20" t="n"/>
      <c r="I216" s="20" t="n"/>
      <c r="J216" s="20" t="n"/>
    </row>
    <row r="217" ht="16.5" customFormat="1" customHeight="1" s="12">
      <c r="A217" s="17" t="n">
        <v>212</v>
      </c>
      <c r="B217" s="25" t="n"/>
      <c r="C217" s="41" t="n"/>
      <c r="D217" s="41" t="n"/>
      <c r="E217" s="41" t="n"/>
      <c r="F217" s="41" t="n"/>
      <c r="G217" s="42" t="n"/>
      <c r="H217" s="20" t="n"/>
      <c r="I217" s="20" t="n"/>
      <c r="J217" s="20" t="n"/>
    </row>
    <row r="218" ht="16.5" customFormat="1" customHeight="1" s="12">
      <c r="A218" s="17" t="n">
        <v>213</v>
      </c>
      <c r="B218" s="25" t="n"/>
      <c r="C218" s="41" t="n"/>
      <c r="D218" s="41" t="n"/>
      <c r="E218" s="41" t="n"/>
      <c r="F218" s="41" t="n"/>
      <c r="G218" s="42" t="n"/>
      <c r="H218" s="20" t="n"/>
      <c r="I218" s="20" t="n"/>
      <c r="J218" s="20" t="n"/>
    </row>
    <row r="219" ht="16.5" customFormat="1" customHeight="1" s="12">
      <c r="A219" s="17" t="n">
        <v>214</v>
      </c>
      <c r="B219" s="25" t="n"/>
      <c r="C219" s="41" t="n"/>
      <c r="D219" s="41" t="n"/>
      <c r="E219" s="41" t="n"/>
      <c r="F219" s="41" t="n"/>
      <c r="G219" s="42" t="n"/>
      <c r="H219" s="20" t="n"/>
      <c r="I219" s="20" t="n"/>
      <c r="J219" s="20" t="n"/>
    </row>
    <row r="220" ht="16.5" customFormat="1" customHeight="1" s="12">
      <c r="A220" s="17" t="n">
        <v>215</v>
      </c>
      <c r="B220" s="25" t="n"/>
      <c r="C220" s="41" t="n"/>
      <c r="D220" s="41" t="n"/>
      <c r="E220" s="41" t="n"/>
      <c r="F220" s="41" t="n"/>
      <c r="G220" s="42" t="n"/>
      <c r="H220" s="20" t="n"/>
      <c r="I220" s="20" t="n"/>
      <c r="J220" s="20" t="n"/>
    </row>
    <row r="221" ht="16.5" customFormat="1" customHeight="1" s="12">
      <c r="A221" s="17" t="n">
        <v>216</v>
      </c>
      <c r="B221" s="25" t="n"/>
      <c r="C221" s="41" t="n"/>
      <c r="D221" s="41" t="n"/>
      <c r="E221" s="41" t="n"/>
      <c r="F221" s="41" t="n"/>
      <c r="G221" s="42" t="n"/>
      <c r="H221" s="20" t="n"/>
      <c r="I221" s="20" t="n"/>
      <c r="J221" s="20" t="n"/>
    </row>
    <row r="222" ht="16.5" customFormat="1" customHeight="1" s="12">
      <c r="A222" s="17" t="n">
        <v>217</v>
      </c>
      <c r="B222" s="25" t="n"/>
      <c r="C222" s="41" t="n"/>
      <c r="D222" s="41" t="n"/>
      <c r="E222" s="41" t="n"/>
      <c r="F222" s="41" t="n"/>
      <c r="G222" s="42" t="n"/>
      <c r="H222" s="20" t="n"/>
      <c r="I222" s="20" t="n"/>
      <c r="J222" s="20" t="n"/>
    </row>
    <row r="223" ht="16.5" customFormat="1" customHeight="1" s="12">
      <c r="A223" s="17" t="n">
        <v>218</v>
      </c>
      <c r="B223" s="25" t="n"/>
      <c r="C223" s="41" t="n"/>
      <c r="D223" s="41" t="n"/>
      <c r="E223" s="41" t="n"/>
      <c r="F223" s="41" t="n"/>
      <c r="G223" s="42" t="n"/>
      <c r="H223" s="20" t="n"/>
      <c r="I223" s="20" t="n"/>
      <c r="J223" s="20" t="n"/>
    </row>
    <row r="224" ht="16.5" customFormat="1" customHeight="1" s="12">
      <c r="A224" s="17" t="n">
        <v>219</v>
      </c>
      <c r="B224" s="25" t="n"/>
      <c r="C224" s="41" t="n"/>
      <c r="D224" s="41" t="n"/>
      <c r="E224" s="41" t="n"/>
      <c r="F224" s="41" t="n"/>
      <c r="G224" s="42" t="n"/>
      <c r="H224" s="20" t="n"/>
      <c r="I224" s="20" t="n"/>
      <c r="J224" s="20" t="n"/>
    </row>
    <row r="225" ht="16.5" customFormat="1" customHeight="1" s="12">
      <c r="A225" s="17" t="n">
        <v>220</v>
      </c>
      <c r="B225" s="25" t="n"/>
      <c r="C225" s="41" t="n"/>
      <c r="D225" s="41" t="n"/>
      <c r="E225" s="41" t="n"/>
      <c r="F225" s="41" t="n"/>
      <c r="G225" s="42" t="n"/>
      <c r="H225" s="20" t="n"/>
      <c r="I225" s="20" t="n"/>
      <c r="J225" s="20" t="n"/>
    </row>
    <row r="226" ht="16.5" customFormat="1" customHeight="1" s="12">
      <c r="A226" s="17" t="n">
        <v>221</v>
      </c>
      <c r="B226" s="25" t="n"/>
      <c r="C226" s="41" t="n"/>
      <c r="D226" s="41" t="n"/>
      <c r="E226" s="41" t="n"/>
      <c r="F226" s="41" t="n"/>
      <c r="G226" s="42" t="n"/>
      <c r="H226" s="20" t="n"/>
      <c r="I226" s="20" t="n"/>
      <c r="J226" s="20" t="n"/>
    </row>
    <row r="227" ht="16.5" customFormat="1" customHeight="1" s="12">
      <c r="A227" s="17" t="n">
        <v>222</v>
      </c>
      <c r="B227" s="25" t="n"/>
      <c r="C227" s="41" t="n"/>
      <c r="D227" s="41" t="n"/>
      <c r="E227" s="41" t="n"/>
      <c r="F227" s="41" t="n"/>
      <c r="G227" s="42" t="n"/>
      <c r="H227" s="20" t="n"/>
      <c r="I227" s="20" t="n"/>
      <c r="J227" s="20" t="n"/>
    </row>
    <row r="228" ht="16.5" customFormat="1" customHeight="1" s="12">
      <c r="A228" s="17" t="n">
        <v>223</v>
      </c>
      <c r="B228" s="25" t="n"/>
      <c r="C228" s="41" t="n"/>
      <c r="D228" s="41" t="n"/>
      <c r="E228" s="41" t="n"/>
      <c r="F228" s="41" t="n"/>
      <c r="G228" s="42" t="n"/>
      <c r="H228" s="20" t="n"/>
      <c r="I228" s="20" t="n"/>
      <c r="J228" s="20" t="n"/>
    </row>
    <row r="229" ht="16.5" customFormat="1" customHeight="1" s="12">
      <c r="A229" s="17" t="n">
        <v>224</v>
      </c>
      <c r="B229" s="25" t="n"/>
      <c r="C229" s="41" t="n"/>
      <c r="D229" s="41" t="n"/>
      <c r="E229" s="41" t="n"/>
      <c r="F229" s="41" t="n"/>
      <c r="G229" s="42" t="n"/>
      <c r="H229" s="20" t="n"/>
      <c r="I229" s="20" t="n"/>
      <c r="J229" s="20" t="n"/>
    </row>
    <row r="230" ht="16.5" customFormat="1" customHeight="1" s="12">
      <c r="A230" s="17" t="n">
        <v>225</v>
      </c>
      <c r="B230" s="25" t="n"/>
      <c r="C230" s="41" t="n"/>
      <c r="D230" s="41" t="n"/>
      <c r="E230" s="41" t="n"/>
      <c r="F230" s="41" t="n"/>
      <c r="G230" s="42" t="n"/>
      <c r="H230" s="20" t="n"/>
      <c r="I230" s="20" t="n"/>
      <c r="J230" s="20" t="n"/>
    </row>
    <row r="231" ht="16.5" customFormat="1" customHeight="1" s="12">
      <c r="A231" s="17" t="n">
        <v>226</v>
      </c>
      <c r="B231" s="25" t="n"/>
      <c r="C231" s="41" t="n"/>
      <c r="D231" s="41" t="n"/>
      <c r="E231" s="41" t="n"/>
      <c r="F231" s="41" t="n"/>
      <c r="G231" s="42" t="n"/>
      <c r="H231" s="20" t="n"/>
      <c r="I231" s="20" t="n"/>
      <c r="J231" s="20" t="n"/>
    </row>
    <row r="232" ht="16.5" customFormat="1" customHeight="1" s="12">
      <c r="A232" s="17" t="n">
        <v>227</v>
      </c>
      <c r="B232" s="25" t="n"/>
      <c r="C232" s="41" t="n"/>
      <c r="D232" s="41" t="n"/>
      <c r="E232" s="41" t="n"/>
      <c r="F232" s="41" t="n"/>
      <c r="G232" s="42" t="n"/>
      <c r="H232" s="20" t="n"/>
      <c r="I232" s="20" t="n"/>
      <c r="J232" s="20" t="n"/>
    </row>
    <row r="233" ht="16.5" customFormat="1" customHeight="1" s="12">
      <c r="A233" s="17" t="n">
        <v>228</v>
      </c>
      <c r="B233" s="25" t="n"/>
      <c r="C233" s="41" t="n"/>
      <c r="D233" s="41" t="n"/>
      <c r="E233" s="41" t="n"/>
      <c r="F233" s="41" t="n"/>
      <c r="G233" s="42" t="n"/>
      <c r="H233" s="20" t="n"/>
      <c r="I233" s="20" t="n"/>
      <c r="J233" s="20" t="n"/>
    </row>
    <row r="234" ht="16.5" customFormat="1" customHeight="1" s="12">
      <c r="A234" s="17" t="n">
        <v>229</v>
      </c>
      <c r="B234" s="25" t="n"/>
      <c r="C234" s="41" t="n"/>
      <c r="D234" s="41" t="n"/>
      <c r="E234" s="41" t="n"/>
      <c r="F234" s="41" t="n"/>
      <c r="G234" s="42" t="n"/>
      <c r="H234" s="20" t="n"/>
      <c r="I234" s="20" t="n"/>
      <c r="J234" s="20" t="n"/>
    </row>
    <row r="235" ht="16.5" customFormat="1" customHeight="1" s="12">
      <c r="A235" s="17" t="n">
        <v>230</v>
      </c>
      <c r="B235" s="25" t="n"/>
      <c r="C235" s="41" t="n"/>
      <c r="D235" s="41" t="n"/>
      <c r="E235" s="41" t="n"/>
      <c r="F235" s="41" t="n"/>
      <c r="G235" s="42" t="n"/>
      <c r="H235" s="20" t="n"/>
      <c r="I235" s="20" t="n"/>
      <c r="J235" s="20" t="n"/>
    </row>
    <row r="236" ht="16.5" customFormat="1" customHeight="1" s="12">
      <c r="A236" s="17" t="n">
        <v>231</v>
      </c>
      <c r="B236" s="25" t="n"/>
      <c r="C236" s="41" t="n"/>
      <c r="D236" s="41" t="n"/>
      <c r="E236" s="41" t="n"/>
      <c r="F236" s="41" t="n"/>
      <c r="G236" s="42" t="n"/>
      <c r="H236" s="20" t="n"/>
      <c r="I236" s="20" t="n"/>
      <c r="J236" s="20" t="n"/>
    </row>
    <row r="237" ht="16.5" customFormat="1" customHeight="1" s="12">
      <c r="A237" s="17" t="n">
        <v>232</v>
      </c>
      <c r="B237" s="25" t="n"/>
      <c r="C237" s="41" t="n"/>
      <c r="D237" s="41" t="n"/>
      <c r="E237" s="41" t="n"/>
      <c r="F237" s="41" t="n"/>
      <c r="G237" s="42" t="n"/>
      <c r="H237" s="20" t="n"/>
      <c r="I237" s="20" t="n"/>
      <c r="J237" s="20" t="n"/>
    </row>
    <row r="238" ht="16.5" customFormat="1" customHeight="1" s="12">
      <c r="A238" s="17" t="n">
        <v>233</v>
      </c>
      <c r="B238" s="25" t="n"/>
      <c r="C238" s="41" t="n"/>
      <c r="D238" s="41" t="n"/>
      <c r="E238" s="41" t="n"/>
      <c r="F238" s="41" t="n"/>
      <c r="G238" s="42" t="n"/>
      <c r="H238" s="20" t="n"/>
      <c r="I238" s="20" t="n"/>
      <c r="J238" s="20" t="n"/>
    </row>
    <row r="239" ht="16.5" customFormat="1" customHeight="1" s="12">
      <c r="A239" s="17" t="n">
        <v>234</v>
      </c>
      <c r="B239" s="25" t="n"/>
      <c r="C239" s="41" t="n"/>
      <c r="D239" s="41" t="n"/>
      <c r="E239" s="41" t="n"/>
      <c r="F239" s="41" t="n"/>
      <c r="G239" s="42" t="n"/>
      <c r="H239" s="20" t="n"/>
      <c r="I239" s="20" t="n"/>
      <c r="J239" s="20" t="n"/>
    </row>
    <row r="240" ht="16.5" customFormat="1" customHeight="1" s="12">
      <c r="A240" s="17" t="n">
        <v>235</v>
      </c>
      <c r="B240" s="25" t="n"/>
      <c r="C240" s="41" t="n"/>
      <c r="D240" s="41" t="n"/>
      <c r="E240" s="41" t="n"/>
      <c r="F240" s="41" t="n"/>
      <c r="G240" s="42" t="n"/>
      <c r="H240" s="20" t="n"/>
      <c r="I240" s="20" t="n"/>
      <c r="J240" s="20" t="n"/>
    </row>
    <row r="241" ht="16.5" customFormat="1" customHeight="1" s="12">
      <c r="A241" s="17" t="n">
        <v>236</v>
      </c>
      <c r="B241" s="25" t="n"/>
      <c r="C241" s="41" t="n"/>
      <c r="D241" s="41" t="n"/>
      <c r="E241" s="41" t="n"/>
      <c r="F241" s="41" t="n"/>
      <c r="G241" s="42" t="n"/>
      <c r="H241" s="20" t="n"/>
      <c r="I241" s="20" t="n"/>
      <c r="J241" s="20" t="n"/>
    </row>
    <row r="242" ht="16.5" customFormat="1" customHeight="1" s="12">
      <c r="A242" s="17" t="n">
        <v>237</v>
      </c>
      <c r="B242" s="25" t="n"/>
      <c r="C242" s="41" t="n"/>
      <c r="D242" s="41" t="n"/>
      <c r="E242" s="41" t="n"/>
      <c r="F242" s="41" t="n"/>
      <c r="G242" s="42" t="n"/>
      <c r="H242" s="20" t="n"/>
      <c r="I242" s="20" t="n"/>
      <c r="J242" s="20" t="n"/>
    </row>
    <row r="243" ht="16.5" customFormat="1" customHeight="1" s="12">
      <c r="A243" s="17" t="n">
        <v>238</v>
      </c>
      <c r="B243" s="25" t="n"/>
      <c r="C243" s="41" t="n"/>
      <c r="D243" s="41" t="n"/>
      <c r="E243" s="41" t="n"/>
      <c r="F243" s="41" t="n"/>
      <c r="G243" s="42" t="n"/>
      <c r="H243" s="20" t="n"/>
      <c r="I243" s="20" t="n"/>
      <c r="J243" s="20" t="n"/>
    </row>
    <row r="244" ht="16.5" customFormat="1" customHeight="1" s="12">
      <c r="A244" s="17" t="n">
        <v>239</v>
      </c>
      <c r="B244" s="25" t="n"/>
      <c r="C244" s="41" t="n"/>
      <c r="D244" s="41" t="n"/>
      <c r="E244" s="41" t="n"/>
      <c r="F244" s="41" t="n"/>
      <c r="G244" s="42" t="n"/>
      <c r="H244" s="20" t="n"/>
      <c r="I244" s="20" t="n"/>
      <c r="J244" s="20" t="n"/>
    </row>
    <row r="245" ht="16.5" customFormat="1" customHeight="1" s="12">
      <c r="A245" s="17" t="n">
        <v>240</v>
      </c>
      <c r="B245" s="25" t="n"/>
      <c r="C245" s="41" t="n"/>
      <c r="D245" s="41" t="n"/>
      <c r="E245" s="41" t="n"/>
      <c r="F245" s="41" t="n"/>
      <c r="G245" s="42" t="n"/>
      <c r="H245" s="20" t="n"/>
      <c r="I245" s="20" t="n"/>
      <c r="J245" s="20" t="n"/>
    </row>
    <row r="246" ht="16.5" customFormat="1" customHeight="1" s="12">
      <c r="A246" s="17" t="n">
        <v>241</v>
      </c>
      <c r="B246" s="25" t="n"/>
      <c r="C246" s="41" t="n"/>
      <c r="D246" s="41" t="n"/>
      <c r="E246" s="41" t="n"/>
      <c r="F246" s="41" t="n"/>
      <c r="G246" s="42" t="n"/>
      <c r="H246" s="20" t="n"/>
      <c r="I246" s="20" t="n"/>
      <c r="J246" s="20" t="n"/>
    </row>
    <row r="247" ht="16.5" customFormat="1" customHeight="1" s="12">
      <c r="A247" s="17" t="n">
        <v>242</v>
      </c>
      <c r="B247" s="25" t="n"/>
      <c r="C247" s="41" t="n"/>
      <c r="D247" s="41" t="n"/>
      <c r="E247" s="41" t="n"/>
      <c r="F247" s="41" t="n"/>
      <c r="G247" s="42" t="n"/>
      <c r="H247" s="20" t="n"/>
      <c r="I247" s="20" t="n"/>
      <c r="J247" s="20" t="n"/>
    </row>
    <row r="248" ht="16.5" customFormat="1" customHeight="1" s="12">
      <c r="A248" s="17" t="n">
        <v>243</v>
      </c>
      <c r="B248" s="25" t="n"/>
      <c r="C248" s="41" t="n"/>
      <c r="D248" s="41" t="n"/>
      <c r="E248" s="41" t="n"/>
      <c r="F248" s="41" t="n"/>
      <c r="G248" s="42" t="n"/>
      <c r="H248" s="20" t="n"/>
      <c r="I248" s="20" t="n"/>
      <c r="J248" s="20" t="n"/>
    </row>
    <row r="249" ht="16.5" customFormat="1" customHeight="1" s="12">
      <c r="A249" s="17" t="n">
        <v>244</v>
      </c>
      <c r="B249" s="25" t="n"/>
      <c r="C249" s="41" t="n"/>
      <c r="D249" s="41" t="n"/>
      <c r="E249" s="41" t="n"/>
      <c r="F249" s="41" t="n"/>
      <c r="G249" s="42" t="n"/>
      <c r="H249" s="20" t="n"/>
      <c r="I249" s="20" t="n"/>
      <c r="J249" s="20" t="n"/>
    </row>
    <row r="250" ht="16.5" customFormat="1" customHeight="1" s="12">
      <c r="A250" s="17" t="n">
        <v>245</v>
      </c>
      <c r="B250" s="25" t="n"/>
      <c r="C250" s="41" t="n"/>
      <c r="D250" s="41" t="n"/>
      <c r="E250" s="41" t="n"/>
      <c r="F250" s="41" t="n"/>
      <c r="G250" s="42" t="n"/>
      <c r="H250" s="20" t="n"/>
      <c r="I250" s="20" t="n"/>
      <c r="J250" s="20" t="n"/>
    </row>
    <row r="251" ht="16.5" customFormat="1" customHeight="1" s="12">
      <c r="A251" s="17" t="n">
        <v>246</v>
      </c>
      <c r="B251" s="25" t="n"/>
      <c r="C251" s="41" t="n"/>
      <c r="D251" s="41" t="n"/>
      <c r="E251" s="41" t="n"/>
      <c r="F251" s="41" t="n"/>
      <c r="G251" s="42" t="n"/>
      <c r="H251" s="20" t="n"/>
      <c r="I251" s="20" t="n"/>
      <c r="J251" s="20" t="n"/>
    </row>
    <row r="252" ht="16.5" customFormat="1" customHeight="1" s="12">
      <c r="A252" s="17" t="n">
        <v>247</v>
      </c>
      <c r="B252" s="25" t="n"/>
      <c r="C252" s="41" t="n"/>
      <c r="D252" s="41" t="n"/>
      <c r="E252" s="41" t="n"/>
      <c r="F252" s="41" t="n"/>
      <c r="G252" s="42" t="n"/>
      <c r="H252" s="20" t="n"/>
      <c r="I252" s="20" t="n"/>
      <c r="J252" s="20" t="n"/>
    </row>
    <row r="253" ht="16.5" customFormat="1" customHeight="1" s="12">
      <c r="A253" s="17" t="n">
        <v>248</v>
      </c>
      <c r="B253" s="25" t="n"/>
      <c r="C253" s="41" t="n"/>
      <c r="D253" s="41" t="n"/>
      <c r="E253" s="41" t="n"/>
      <c r="F253" s="41" t="n"/>
      <c r="G253" s="42" t="n"/>
      <c r="H253" s="20" t="n"/>
      <c r="I253" s="20" t="n"/>
      <c r="J253" s="20" t="n"/>
    </row>
    <row r="254" ht="16.5" customFormat="1" customHeight="1" s="12">
      <c r="A254" s="17" t="n">
        <v>249</v>
      </c>
      <c r="B254" s="25" t="n"/>
      <c r="C254" s="41" t="n"/>
      <c r="D254" s="41" t="n"/>
      <c r="E254" s="41" t="n"/>
      <c r="F254" s="41" t="n"/>
      <c r="G254" s="42" t="n"/>
      <c r="H254" s="20" t="n"/>
      <c r="I254" s="20" t="n"/>
      <c r="J254" s="20" t="n"/>
    </row>
    <row r="255" ht="16.5" customFormat="1" customHeight="1" s="12">
      <c r="A255" s="17" t="n">
        <v>250</v>
      </c>
      <c r="B255" s="25" t="n"/>
      <c r="C255" s="41" t="n"/>
      <c r="D255" s="41" t="n"/>
      <c r="E255" s="41" t="n"/>
      <c r="F255" s="41" t="n"/>
      <c r="G255" s="42" t="n"/>
      <c r="H255" s="20" t="n"/>
      <c r="I255" s="20" t="n"/>
      <c r="J255" s="20" t="n"/>
    </row>
    <row r="256" ht="16.5" customFormat="1" customHeight="1" s="12">
      <c r="A256" s="17" t="n">
        <v>251</v>
      </c>
      <c r="B256" s="25" t="n"/>
      <c r="C256" s="41" t="n"/>
      <c r="D256" s="41" t="n"/>
      <c r="E256" s="41" t="n"/>
      <c r="F256" s="41" t="n"/>
      <c r="G256" s="42" t="n"/>
      <c r="H256" s="20" t="n"/>
      <c r="I256" s="20" t="n"/>
      <c r="J256" s="20" t="n"/>
    </row>
    <row r="257" ht="16.5" customFormat="1" customHeight="1" s="12">
      <c r="A257" s="17" t="n">
        <v>252</v>
      </c>
      <c r="B257" s="25" t="n"/>
      <c r="C257" s="41" t="n"/>
      <c r="D257" s="41" t="n"/>
      <c r="E257" s="41" t="n"/>
      <c r="F257" s="41" t="n"/>
      <c r="G257" s="42" t="n"/>
      <c r="H257" s="20" t="n"/>
      <c r="I257" s="20" t="n"/>
      <c r="J257" s="20" t="n"/>
    </row>
    <row r="258" ht="16.5" customFormat="1" customHeight="1" s="12">
      <c r="A258" s="17" t="n">
        <v>253</v>
      </c>
      <c r="B258" s="25" t="n"/>
      <c r="C258" s="41" t="n"/>
      <c r="D258" s="41" t="n"/>
      <c r="E258" s="41" t="n"/>
      <c r="F258" s="41" t="n"/>
      <c r="G258" s="42" t="n"/>
      <c r="H258" s="20" t="n"/>
      <c r="I258" s="20" t="n"/>
      <c r="J258" s="20" t="n"/>
    </row>
    <row r="259" ht="16.5" customFormat="1" customHeight="1" s="12">
      <c r="A259" s="17" t="n">
        <v>254</v>
      </c>
      <c r="B259" s="25" t="n"/>
      <c r="C259" s="41" t="n"/>
      <c r="D259" s="41" t="n"/>
      <c r="E259" s="41" t="n"/>
      <c r="F259" s="41" t="n"/>
      <c r="G259" s="42" t="n"/>
      <c r="H259" s="20" t="n"/>
      <c r="I259" s="20" t="n"/>
      <c r="J259" s="20" t="n"/>
    </row>
    <row r="260" ht="16.5" customFormat="1" customHeight="1" s="12">
      <c r="A260" s="17" t="n">
        <v>255</v>
      </c>
      <c r="B260" s="25" t="n"/>
      <c r="C260" s="41" t="n"/>
      <c r="D260" s="41" t="n"/>
      <c r="E260" s="41" t="n"/>
      <c r="F260" s="41" t="n"/>
      <c r="G260" s="42" t="n"/>
      <c r="H260" s="20" t="n"/>
      <c r="I260" s="20" t="n"/>
      <c r="J260" s="20" t="n"/>
    </row>
    <row r="261" ht="16.5" customFormat="1" customHeight="1" s="12">
      <c r="A261" s="17" t="n">
        <v>256</v>
      </c>
      <c r="B261" s="25" t="n"/>
      <c r="C261" s="41" t="n"/>
      <c r="D261" s="41" t="n"/>
      <c r="E261" s="41" t="n"/>
      <c r="F261" s="41" t="n"/>
      <c r="G261" s="42" t="n"/>
      <c r="H261" s="20" t="n"/>
      <c r="I261" s="20" t="n"/>
      <c r="J261" s="20" t="n"/>
    </row>
    <row r="262" ht="16.5" customFormat="1" customHeight="1" s="12">
      <c r="A262" s="17" t="n">
        <v>257</v>
      </c>
      <c r="B262" s="25" t="n"/>
      <c r="C262" s="41" t="n"/>
      <c r="D262" s="41" t="n"/>
      <c r="E262" s="41" t="n"/>
      <c r="F262" s="41" t="n"/>
      <c r="G262" s="42" t="n"/>
      <c r="H262" s="20" t="n"/>
      <c r="I262" s="20" t="n"/>
      <c r="J262" s="20" t="n"/>
    </row>
    <row r="263" ht="16.5" customFormat="1" customHeight="1" s="12">
      <c r="A263" s="17" t="n">
        <v>258</v>
      </c>
      <c r="B263" s="25" t="n"/>
      <c r="C263" s="41" t="n"/>
      <c r="D263" s="41" t="n"/>
      <c r="E263" s="41" t="n"/>
      <c r="F263" s="41" t="n"/>
      <c r="G263" s="42" t="n"/>
      <c r="H263" s="20" t="n"/>
      <c r="I263" s="20" t="n"/>
      <c r="J263" s="20" t="n"/>
    </row>
    <row r="264" ht="16.5" customFormat="1" customHeight="1" s="12">
      <c r="A264" s="17" t="n">
        <v>259</v>
      </c>
      <c r="B264" s="25" t="n"/>
      <c r="C264" s="41" t="n"/>
      <c r="D264" s="41" t="n"/>
      <c r="E264" s="41" t="n"/>
      <c r="F264" s="41" t="n"/>
      <c r="G264" s="42" t="n"/>
      <c r="H264" s="20" t="n"/>
      <c r="I264" s="20" t="n"/>
      <c r="J264" s="20" t="n"/>
    </row>
    <row r="265" ht="16.5" customFormat="1" customHeight="1" s="12">
      <c r="A265" s="17" t="n">
        <v>260</v>
      </c>
      <c r="B265" s="25" t="n"/>
      <c r="C265" s="41" t="n"/>
      <c r="D265" s="41" t="n"/>
      <c r="E265" s="41" t="n"/>
      <c r="F265" s="41" t="n"/>
      <c r="G265" s="42" t="n"/>
      <c r="H265" s="20" t="n"/>
      <c r="I265" s="20" t="n"/>
      <c r="J265" s="20" t="n"/>
    </row>
    <row r="266" ht="16.5" customFormat="1" customHeight="1" s="12">
      <c r="A266" s="17" t="n">
        <v>261</v>
      </c>
      <c r="B266" s="25" t="n"/>
      <c r="C266" s="41" t="n"/>
      <c r="D266" s="41" t="n"/>
      <c r="E266" s="41" t="n"/>
      <c r="F266" s="41" t="n"/>
      <c r="G266" s="42" t="n"/>
      <c r="H266" s="20" t="n"/>
      <c r="I266" s="20" t="n"/>
      <c r="J266" s="20" t="n"/>
    </row>
    <row r="267" ht="16.5" customFormat="1" customHeight="1" s="12">
      <c r="A267" s="17" t="n">
        <v>262</v>
      </c>
      <c r="B267" s="25" t="n"/>
      <c r="C267" s="41" t="n"/>
      <c r="D267" s="41" t="n"/>
      <c r="E267" s="41" t="n"/>
      <c r="F267" s="41" t="n"/>
      <c r="G267" s="42" t="n"/>
      <c r="H267" s="20" t="n"/>
      <c r="I267" s="20" t="n"/>
      <c r="J267" s="20" t="n"/>
    </row>
    <row r="268" ht="16.5" customFormat="1" customHeight="1" s="12">
      <c r="A268" s="17" t="n">
        <v>263</v>
      </c>
      <c r="B268" s="25" t="n"/>
      <c r="C268" s="41" t="n"/>
      <c r="D268" s="41" t="n"/>
      <c r="E268" s="41" t="n"/>
      <c r="F268" s="41" t="n"/>
      <c r="G268" s="42" t="n"/>
      <c r="H268" s="20" t="n"/>
      <c r="I268" s="20" t="n"/>
      <c r="J268" s="20" t="n"/>
    </row>
    <row r="269" ht="16.5" customFormat="1" customHeight="1" s="12">
      <c r="A269" s="17" t="n">
        <v>264</v>
      </c>
      <c r="B269" s="25" t="n"/>
      <c r="C269" s="41" t="n"/>
      <c r="D269" s="41" t="n"/>
      <c r="E269" s="41" t="n"/>
      <c r="F269" s="41" t="n"/>
      <c r="G269" s="42" t="n"/>
      <c r="H269" s="20" t="n"/>
      <c r="I269" s="20" t="n"/>
      <c r="J269" s="20" t="n"/>
    </row>
    <row r="270" ht="16.5" customFormat="1" customHeight="1" s="12">
      <c r="A270" s="17" t="n">
        <v>265</v>
      </c>
      <c r="B270" s="25" t="n"/>
      <c r="C270" s="41" t="n"/>
      <c r="D270" s="41" t="n"/>
      <c r="E270" s="41" t="n"/>
      <c r="F270" s="41" t="n"/>
      <c r="G270" s="42" t="n"/>
      <c r="H270" s="20" t="n"/>
      <c r="I270" s="20" t="n"/>
      <c r="J270" s="20" t="n"/>
    </row>
    <row r="271" ht="16.5" customFormat="1" customHeight="1" s="12">
      <c r="A271" s="17" t="n">
        <v>266</v>
      </c>
      <c r="B271" s="25" t="n"/>
      <c r="C271" s="41" t="n"/>
      <c r="D271" s="41" t="n"/>
      <c r="E271" s="41" t="n"/>
      <c r="F271" s="41" t="n"/>
      <c r="G271" s="42" t="n"/>
      <c r="H271" s="20" t="n"/>
      <c r="I271" s="20" t="n"/>
      <c r="J271" s="20" t="n"/>
    </row>
    <row r="272" ht="16.5" customFormat="1" customHeight="1" s="12">
      <c r="A272" s="17" t="n">
        <v>267</v>
      </c>
      <c r="B272" s="25" t="n"/>
      <c r="C272" s="41" t="n"/>
      <c r="D272" s="41" t="n"/>
      <c r="E272" s="41" t="n"/>
      <c r="F272" s="41" t="n"/>
      <c r="G272" s="42" t="n"/>
      <c r="H272" s="20" t="n"/>
      <c r="I272" s="20" t="n"/>
      <c r="J272" s="20" t="n"/>
    </row>
    <row r="273" ht="16.5" customFormat="1" customHeight="1" s="12">
      <c r="A273" s="17" t="n">
        <v>268</v>
      </c>
      <c r="B273" s="25" t="n"/>
      <c r="C273" s="41" t="n"/>
      <c r="D273" s="41" t="n"/>
      <c r="E273" s="41" t="n"/>
      <c r="F273" s="41" t="n"/>
      <c r="G273" s="42" t="n"/>
      <c r="H273" s="20" t="n"/>
      <c r="I273" s="20" t="n"/>
      <c r="J273" s="20" t="n"/>
    </row>
    <row r="274" ht="16.5" customFormat="1" customHeight="1" s="12">
      <c r="A274" s="17" t="n">
        <v>269</v>
      </c>
      <c r="B274" s="25" t="n"/>
      <c r="C274" s="41" t="n"/>
      <c r="D274" s="41" t="n"/>
      <c r="E274" s="41" t="n"/>
      <c r="F274" s="41" t="n"/>
      <c r="G274" s="42" t="n"/>
      <c r="H274" s="20" t="n"/>
      <c r="I274" s="20" t="n"/>
      <c r="J274" s="20" t="n"/>
    </row>
    <row r="275" ht="16.5" customFormat="1" customHeight="1" s="12">
      <c r="A275" s="17" t="n">
        <v>270</v>
      </c>
      <c r="B275" s="25" t="n"/>
      <c r="C275" s="41" t="n"/>
      <c r="D275" s="41" t="n"/>
      <c r="E275" s="41" t="n"/>
      <c r="F275" s="41" t="n"/>
      <c r="G275" s="42" t="n"/>
      <c r="H275" s="20" t="n"/>
      <c r="I275" s="20" t="n"/>
      <c r="J275" s="20" t="n"/>
    </row>
    <row r="276" ht="16.5" customFormat="1" customHeight="1" s="12">
      <c r="A276" s="17" t="n">
        <v>271</v>
      </c>
      <c r="B276" s="25" t="n"/>
      <c r="C276" s="41" t="n"/>
      <c r="D276" s="41" t="n"/>
      <c r="E276" s="41" t="n"/>
      <c r="F276" s="41" t="n"/>
      <c r="G276" s="42" t="n"/>
      <c r="H276" s="20" t="n"/>
      <c r="I276" s="20" t="n"/>
      <c r="J276" s="20" t="n"/>
    </row>
    <row r="277" ht="16.5" customFormat="1" customHeight="1" s="12">
      <c r="A277" s="17" t="n">
        <v>272</v>
      </c>
      <c r="B277" s="25" t="n"/>
      <c r="C277" s="41" t="n"/>
      <c r="D277" s="41" t="n"/>
      <c r="E277" s="41" t="n"/>
      <c r="F277" s="41" t="n"/>
      <c r="G277" s="42" t="n"/>
      <c r="H277" s="20" t="n"/>
      <c r="I277" s="20" t="n"/>
      <c r="J277" s="20" t="n"/>
    </row>
    <row r="278" ht="16.5" customFormat="1" customHeight="1" s="12">
      <c r="A278" s="17" t="n">
        <v>273</v>
      </c>
      <c r="B278" s="25" t="n"/>
      <c r="C278" s="41" t="n"/>
      <c r="D278" s="41" t="n"/>
      <c r="E278" s="41" t="n"/>
      <c r="F278" s="41" t="n"/>
      <c r="G278" s="42" t="n"/>
      <c r="H278" s="20" t="n"/>
      <c r="I278" s="20" t="n"/>
      <c r="J278" s="20" t="n"/>
    </row>
    <row r="279" ht="16.5" customFormat="1" customHeight="1" s="12">
      <c r="A279" s="17" t="n">
        <v>274</v>
      </c>
      <c r="B279" s="25" t="n"/>
      <c r="C279" s="41" t="n"/>
      <c r="D279" s="41" t="n"/>
      <c r="E279" s="41" t="n"/>
      <c r="F279" s="41" t="n"/>
      <c r="G279" s="42" t="n"/>
      <c r="H279" s="20" t="n"/>
      <c r="I279" s="20" t="n"/>
      <c r="J279" s="20" t="n"/>
    </row>
    <row r="280" ht="16.5" customFormat="1" customHeight="1" s="12">
      <c r="A280" s="17" t="n">
        <v>275</v>
      </c>
      <c r="B280" s="25" t="n"/>
      <c r="C280" s="41" t="n"/>
      <c r="D280" s="41" t="n"/>
      <c r="E280" s="41" t="n"/>
      <c r="F280" s="41" t="n"/>
      <c r="G280" s="42" t="n"/>
      <c r="H280" s="20" t="n"/>
      <c r="I280" s="20" t="n"/>
      <c r="J280" s="20" t="n"/>
    </row>
    <row r="281" ht="16.5" customFormat="1" customHeight="1" s="12">
      <c r="A281" s="17" t="n">
        <v>276</v>
      </c>
      <c r="B281" s="25" t="n"/>
      <c r="C281" s="41" t="n"/>
      <c r="D281" s="41" t="n"/>
      <c r="E281" s="41" t="n"/>
      <c r="F281" s="41" t="n"/>
      <c r="G281" s="42" t="n"/>
      <c r="H281" s="20" t="n"/>
      <c r="I281" s="20" t="n"/>
      <c r="J281" s="20" t="n"/>
    </row>
    <row r="282" ht="16.5" customFormat="1" customHeight="1" s="12">
      <c r="A282" s="17" t="n">
        <v>277</v>
      </c>
      <c r="B282" s="25" t="n"/>
      <c r="C282" s="41" t="n"/>
      <c r="D282" s="41" t="n"/>
      <c r="E282" s="41" t="n"/>
      <c r="F282" s="41" t="n"/>
      <c r="G282" s="42" t="n"/>
      <c r="H282" s="20" t="n"/>
      <c r="I282" s="20" t="n"/>
      <c r="J282" s="20" t="n"/>
    </row>
    <row r="283" ht="16.5" customFormat="1" customHeight="1" s="12">
      <c r="A283" s="17" t="n">
        <v>278</v>
      </c>
      <c r="B283" s="25" t="n"/>
      <c r="C283" s="41" t="n"/>
      <c r="D283" s="41" t="n"/>
      <c r="E283" s="41" t="n"/>
      <c r="F283" s="41" t="n"/>
      <c r="G283" s="42" t="n"/>
      <c r="H283" s="20" t="n"/>
      <c r="I283" s="20" t="n"/>
      <c r="J283" s="20" t="n"/>
    </row>
    <row r="284" ht="16.5" customFormat="1" customHeight="1" s="12">
      <c r="A284" s="17" t="n">
        <v>279</v>
      </c>
      <c r="B284" s="25" t="n"/>
      <c r="C284" s="41" t="n"/>
      <c r="D284" s="41" t="n"/>
      <c r="E284" s="41" t="n"/>
      <c r="F284" s="41" t="n"/>
      <c r="G284" s="42" t="n"/>
      <c r="H284" s="20" t="n"/>
      <c r="I284" s="20" t="n"/>
      <c r="J284" s="20" t="n"/>
    </row>
    <row r="285" ht="16.5" customFormat="1" customHeight="1" s="12">
      <c r="A285" s="17" t="n">
        <v>280</v>
      </c>
      <c r="B285" s="25" t="n"/>
      <c r="C285" s="41" t="n"/>
      <c r="D285" s="41" t="n"/>
      <c r="E285" s="41" t="n"/>
      <c r="F285" s="41" t="n"/>
      <c r="G285" s="42" t="n"/>
      <c r="H285" s="20" t="n"/>
      <c r="I285" s="20" t="n"/>
      <c r="J285" s="20" t="n"/>
    </row>
    <row r="286" ht="16.5" customFormat="1" customHeight="1" s="12">
      <c r="A286" s="17" t="n">
        <v>281</v>
      </c>
      <c r="B286" s="25" t="n"/>
      <c r="C286" s="41" t="n"/>
      <c r="D286" s="41" t="n"/>
      <c r="E286" s="41" t="n"/>
      <c r="F286" s="41" t="n"/>
      <c r="G286" s="42" t="n"/>
      <c r="H286" s="20" t="n"/>
      <c r="I286" s="20" t="n"/>
      <c r="J286" s="20" t="n"/>
    </row>
    <row r="287" ht="16.5" customFormat="1" customHeight="1" s="12">
      <c r="A287" s="17" t="n">
        <v>282</v>
      </c>
      <c r="B287" s="25" t="n"/>
      <c r="C287" s="41" t="n"/>
      <c r="D287" s="41" t="n"/>
      <c r="E287" s="41" t="n"/>
      <c r="F287" s="41" t="n"/>
      <c r="G287" s="42" t="n"/>
      <c r="H287" s="20" t="n"/>
      <c r="I287" s="20" t="n"/>
      <c r="J287" s="20" t="n"/>
    </row>
    <row r="288" ht="16.5" customFormat="1" customHeight="1" s="12">
      <c r="A288" s="17" t="n">
        <v>283</v>
      </c>
      <c r="B288" s="25" t="n"/>
      <c r="C288" s="41" t="n"/>
      <c r="D288" s="41" t="n"/>
      <c r="E288" s="41" t="n"/>
      <c r="F288" s="41" t="n"/>
      <c r="G288" s="42" t="n"/>
      <c r="H288" s="20" t="n"/>
      <c r="I288" s="20" t="n"/>
      <c r="J288" s="20" t="n"/>
    </row>
    <row r="289" ht="16.5" customFormat="1" customHeight="1" s="12">
      <c r="A289" s="17" t="n">
        <v>284</v>
      </c>
      <c r="B289" s="25" t="n"/>
      <c r="C289" s="41" t="n"/>
      <c r="D289" s="41" t="n"/>
      <c r="E289" s="41" t="n"/>
      <c r="F289" s="41" t="n"/>
      <c r="G289" s="42" t="n"/>
      <c r="H289" s="20" t="n"/>
      <c r="I289" s="20" t="n"/>
      <c r="J289" s="20" t="n"/>
    </row>
    <row r="290" ht="16.5" customFormat="1" customHeight="1" s="12">
      <c r="A290" s="17" t="n">
        <v>285</v>
      </c>
      <c r="B290" s="25" t="n"/>
      <c r="C290" s="41" t="n"/>
      <c r="D290" s="41" t="n"/>
      <c r="E290" s="41" t="n"/>
      <c r="F290" s="41" t="n"/>
      <c r="G290" s="42" t="n"/>
      <c r="H290" s="20" t="n"/>
      <c r="I290" s="20" t="n"/>
      <c r="J290" s="20" t="n"/>
    </row>
    <row r="291" ht="16.5" customFormat="1" customHeight="1" s="12">
      <c r="A291" s="17" t="n">
        <v>286</v>
      </c>
      <c r="B291" s="25" t="n"/>
      <c r="C291" s="41" t="n"/>
      <c r="D291" s="41" t="n"/>
      <c r="E291" s="41" t="n"/>
      <c r="F291" s="41" t="n"/>
      <c r="G291" s="42" t="n"/>
      <c r="H291" s="20" t="n"/>
      <c r="I291" s="20" t="n"/>
      <c r="J291" s="20" t="n"/>
    </row>
    <row r="292" ht="16.5" customFormat="1" customHeight="1" s="12">
      <c r="A292" s="17" t="n">
        <v>287</v>
      </c>
      <c r="B292" s="25" t="n"/>
      <c r="C292" s="41" t="n"/>
      <c r="D292" s="41" t="n"/>
      <c r="E292" s="41" t="n"/>
      <c r="F292" s="41" t="n"/>
      <c r="G292" s="42" t="n"/>
      <c r="H292" s="20" t="n"/>
      <c r="I292" s="20" t="n"/>
      <c r="J292" s="20" t="n"/>
    </row>
    <row r="293" ht="16.5" customFormat="1" customHeight="1" s="12">
      <c r="A293" s="17" t="n">
        <v>288</v>
      </c>
      <c r="B293" s="25" t="n"/>
      <c r="C293" s="41" t="n"/>
      <c r="D293" s="41" t="n"/>
      <c r="E293" s="41" t="n"/>
      <c r="F293" s="41" t="n"/>
      <c r="G293" s="42" t="n"/>
      <c r="H293" s="20" t="n"/>
      <c r="I293" s="20" t="n"/>
      <c r="J293" s="20" t="n"/>
    </row>
    <row r="294" ht="16.5" customFormat="1" customHeight="1" s="12">
      <c r="A294" s="17" t="n">
        <v>289</v>
      </c>
      <c r="B294" s="25" t="n"/>
      <c r="C294" s="41" t="n"/>
      <c r="D294" s="41" t="n"/>
      <c r="E294" s="41" t="n"/>
      <c r="F294" s="41" t="n"/>
      <c r="G294" s="42" t="n"/>
      <c r="H294" s="20" t="n"/>
      <c r="I294" s="20" t="n"/>
      <c r="J294" s="20" t="n"/>
    </row>
    <row r="295" ht="16.5" customFormat="1" customHeight="1" s="12">
      <c r="A295" s="17" t="n">
        <v>290</v>
      </c>
      <c r="B295" s="25" t="n"/>
      <c r="C295" s="41" t="n"/>
      <c r="D295" s="41" t="n"/>
      <c r="E295" s="41" t="n"/>
      <c r="F295" s="41" t="n"/>
      <c r="G295" s="42" t="n"/>
      <c r="H295" s="20" t="n"/>
      <c r="I295" s="20" t="n"/>
      <c r="J295" s="20" t="n"/>
    </row>
    <row r="296" ht="16.5" customFormat="1" customHeight="1" s="12">
      <c r="A296" s="17" t="n">
        <v>291</v>
      </c>
      <c r="B296" s="25" t="n"/>
      <c r="C296" s="41" t="n"/>
      <c r="D296" s="41" t="n"/>
      <c r="E296" s="41" t="n"/>
      <c r="F296" s="41" t="n"/>
      <c r="G296" s="42" t="n"/>
      <c r="H296" s="20" t="n"/>
      <c r="I296" s="20" t="n"/>
      <c r="J296" s="20" t="n"/>
    </row>
    <row r="297" ht="16.5" customFormat="1" customHeight="1" s="12">
      <c r="A297" s="17" t="n">
        <v>292</v>
      </c>
      <c r="B297" s="25" t="n"/>
      <c r="C297" s="41" t="n"/>
      <c r="D297" s="41" t="n"/>
      <c r="E297" s="41" t="n"/>
      <c r="F297" s="41" t="n"/>
      <c r="G297" s="42" t="n"/>
      <c r="H297" s="20" t="n"/>
      <c r="I297" s="20" t="n"/>
      <c r="J297" s="20" t="n"/>
    </row>
    <row r="298" ht="16.5" customFormat="1" customHeight="1" s="12">
      <c r="A298" s="17" t="n">
        <v>293</v>
      </c>
      <c r="B298" s="25" t="n"/>
      <c r="C298" s="41" t="n"/>
      <c r="D298" s="41" t="n"/>
      <c r="E298" s="41" t="n"/>
      <c r="F298" s="41" t="n"/>
      <c r="G298" s="42" t="n"/>
      <c r="H298" s="20" t="n"/>
      <c r="I298" s="20" t="n"/>
      <c r="J298" s="20" t="n"/>
    </row>
    <row r="299" ht="16.5" customFormat="1" customHeight="1" s="12">
      <c r="A299" s="17" t="n">
        <v>294</v>
      </c>
      <c r="B299" s="25" t="n"/>
      <c r="C299" s="41" t="n"/>
      <c r="D299" s="41" t="n"/>
      <c r="E299" s="41" t="n"/>
      <c r="F299" s="41" t="n"/>
      <c r="G299" s="42" t="n"/>
      <c r="H299" s="20" t="n"/>
      <c r="I299" s="20" t="n"/>
      <c r="J299" s="20" t="n"/>
    </row>
    <row r="300" ht="16.5" customFormat="1" customHeight="1" s="12">
      <c r="A300" s="17" t="n">
        <v>295</v>
      </c>
      <c r="B300" s="25" t="n"/>
      <c r="C300" s="41" t="n"/>
      <c r="D300" s="41" t="n"/>
      <c r="E300" s="41" t="n"/>
      <c r="F300" s="41" t="n"/>
      <c r="G300" s="42" t="n"/>
      <c r="H300" s="20" t="n"/>
      <c r="I300" s="20" t="n"/>
      <c r="J300" s="20" t="n"/>
    </row>
    <row r="301" ht="16.5" customFormat="1" customHeight="1" s="12">
      <c r="A301" s="17" t="n">
        <v>296</v>
      </c>
      <c r="B301" s="25" t="n"/>
      <c r="C301" s="41" t="n"/>
      <c r="D301" s="41" t="n"/>
      <c r="E301" s="41" t="n"/>
      <c r="F301" s="41" t="n"/>
      <c r="G301" s="42" t="n"/>
      <c r="H301" s="20" t="n"/>
      <c r="I301" s="20" t="n"/>
      <c r="J301" s="20" t="n"/>
    </row>
    <row r="302" ht="16.5" customFormat="1" customHeight="1" s="12">
      <c r="A302" s="17" t="n">
        <v>297</v>
      </c>
      <c r="B302" s="25" t="n"/>
      <c r="C302" s="41" t="n"/>
      <c r="D302" s="41" t="n"/>
      <c r="E302" s="41" t="n"/>
      <c r="F302" s="41" t="n"/>
      <c r="G302" s="42" t="n"/>
      <c r="H302" s="20" t="n"/>
      <c r="I302" s="20" t="n"/>
      <c r="J302" s="20" t="n"/>
    </row>
    <row r="303" ht="16.5" customFormat="1" customHeight="1" s="12">
      <c r="A303" s="17" t="n">
        <v>298</v>
      </c>
      <c r="B303" s="25" t="n"/>
      <c r="C303" s="41" t="n"/>
      <c r="D303" s="41" t="n"/>
      <c r="E303" s="41" t="n"/>
      <c r="F303" s="41" t="n"/>
      <c r="G303" s="42" t="n"/>
      <c r="H303" s="20" t="n"/>
      <c r="I303" s="20" t="n"/>
      <c r="J303" s="20" t="n"/>
    </row>
    <row r="304" ht="16.5" customFormat="1" customHeight="1" s="12">
      <c r="A304" s="17" t="n">
        <v>299</v>
      </c>
      <c r="B304" s="25" t="n"/>
      <c r="C304" s="41" t="n"/>
      <c r="D304" s="41" t="n"/>
      <c r="E304" s="41" t="n"/>
      <c r="F304" s="41" t="n"/>
      <c r="G304" s="42" t="n"/>
      <c r="H304" s="20" t="n"/>
      <c r="I304" s="20" t="n"/>
      <c r="J304" s="20" t="n"/>
    </row>
    <row r="305" ht="16.5" customFormat="1" customHeight="1" s="12">
      <c r="A305" s="17" t="n">
        <v>300</v>
      </c>
      <c r="B305" s="25" t="n"/>
      <c r="C305" s="41" t="n"/>
      <c r="D305" s="41" t="n"/>
      <c r="E305" s="41" t="n"/>
      <c r="F305" s="41" t="n"/>
      <c r="G305" s="42" t="n"/>
      <c r="H305" s="20" t="n"/>
      <c r="I305" s="20" t="n"/>
      <c r="J305" s="20" t="n"/>
    </row>
    <row r="306" ht="16.5" customFormat="1" customHeight="1" s="12">
      <c r="A306" s="17" t="n">
        <v>301</v>
      </c>
      <c r="B306" s="25" t="n"/>
      <c r="C306" s="41" t="n"/>
      <c r="D306" s="41" t="n"/>
      <c r="E306" s="41" t="n"/>
      <c r="F306" s="41" t="n"/>
      <c r="G306" s="42" t="n"/>
      <c r="H306" s="20" t="n"/>
      <c r="I306" s="20" t="n"/>
      <c r="J306" s="20" t="n"/>
    </row>
    <row r="307" ht="16.5" customFormat="1" customHeight="1" s="12">
      <c r="A307" s="17" t="n">
        <v>302</v>
      </c>
      <c r="B307" s="25" t="n"/>
      <c r="C307" s="41" t="n"/>
      <c r="D307" s="41" t="n"/>
      <c r="E307" s="41" t="n"/>
      <c r="F307" s="41" t="n"/>
      <c r="G307" s="42" t="n"/>
      <c r="H307" s="20" t="n"/>
      <c r="I307" s="20" t="n"/>
      <c r="J307" s="20" t="n"/>
    </row>
    <row r="308" ht="16.5" customFormat="1" customHeight="1" s="12">
      <c r="A308" s="17" t="n">
        <v>303</v>
      </c>
      <c r="B308" s="25" t="n"/>
      <c r="C308" s="41" t="n"/>
      <c r="D308" s="41" t="n"/>
      <c r="E308" s="41" t="n"/>
      <c r="F308" s="41" t="n"/>
      <c r="G308" s="42" t="n"/>
      <c r="H308" s="20" t="n"/>
      <c r="I308" s="20" t="n"/>
      <c r="J308" s="20" t="n"/>
    </row>
    <row r="309" ht="16.5" customFormat="1" customHeight="1" s="12">
      <c r="A309" s="17" t="n">
        <v>304</v>
      </c>
      <c r="B309" s="25" t="n"/>
      <c r="C309" s="41" t="n"/>
      <c r="D309" s="41" t="n"/>
      <c r="E309" s="41" t="n"/>
      <c r="F309" s="41" t="n"/>
      <c r="G309" s="42" t="n"/>
      <c r="H309" s="20" t="n"/>
      <c r="I309" s="20" t="n"/>
      <c r="J309" s="20" t="n"/>
    </row>
    <row r="310" ht="16.5" customFormat="1" customHeight="1" s="12">
      <c r="A310" s="17" t="n">
        <v>305</v>
      </c>
      <c r="B310" s="25" t="n"/>
      <c r="C310" s="41" t="n"/>
      <c r="D310" s="41" t="n"/>
      <c r="E310" s="41" t="n"/>
      <c r="F310" s="41" t="n"/>
      <c r="G310" s="42" t="n"/>
      <c r="H310" s="20" t="n"/>
      <c r="I310" s="20" t="n"/>
      <c r="J310" s="20" t="n"/>
    </row>
    <row r="311" ht="16.5" customFormat="1" customHeight="1" s="12">
      <c r="A311" s="17" t="n">
        <v>306</v>
      </c>
      <c r="B311" s="25" t="n"/>
      <c r="C311" s="41" t="n"/>
      <c r="D311" s="41" t="n"/>
      <c r="E311" s="41" t="n"/>
      <c r="F311" s="41" t="n"/>
      <c r="G311" s="42" t="n"/>
      <c r="H311" s="20" t="n"/>
      <c r="I311" s="20" t="n"/>
      <c r="J311" s="20" t="n"/>
    </row>
    <row r="312" ht="16.5" customFormat="1" customHeight="1" s="12">
      <c r="A312" s="17" t="n">
        <v>307</v>
      </c>
      <c r="B312" s="25" t="n"/>
      <c r="C312" s="41" t="n"/>
      <c r="D312" s="41" t="n"/>
      <c r="E312" s="41" t="n"/>
      <c r="F312" s="41" t="n"/>
      <c r="G312" s="42" t="n"/>
      <c r="H312" s="20" t="n"/>
      <c r="I312" s="20" t="n"/>
      <c r="J312" s="20" t="n"/>
    </row>
    <row r="313" ht="16.5" customFormat="1" customHeight="1" s="12">
      <c r="A313" s="17" t="n">
        <v>308</v>
      </c>
      <c r="B313" s="25" t="n"/>
      <c r="C313" s="41" t="n"/>
      <c r="D313" s="41" t="n"/>
      <c r="E313" s="41" t="n"/>
      <c r="F313" s="41" t="n"/>
      <c r="G313" s="42" t="n"/>
      <c r="H313" s="20" t="n"/>
      <c r="I313" s="20" t="n"/>
      <c r="J313" s="20" t="n"/>
    </row>
    <row r="314" ht="16.5" customFormat="1" customHeight="1" s="12">
      <c r="A314" s="17" t="n">
        <v>309</v>
      </c>
      <c r="B314" s="25" t="n"/>
      <c r="C314" s="41" t="n"/>
      <c r="D314" s="41" t="n"/>
      <c r="E314" s="41" t="n"/>
      <c r="F314" s="41" t="n"/>
      <c r="G314" s="42" t="n"/>
      <c r="H314" s="20" t="n"/>
      <c r="I314" s="20" t="n"/>
      <c r="J314" s="20" t="n"/>
    </row>
    <row r="315" ht="16.5" customFormat="1" customHeight="1" s="12">
      <c r="A315" s="17" t="n">
        <v>310</v>
      </c>
      <c r="B315" s="25" t="n"/>
      <c r="C315" s="41" t="n"/>
      <c r="D315" s="41" t="n"/>
      <c r="E315" s="41" t="n"/>
      <c r="F315" s="41" t="n"/>
      <c r="G315" s="42" t="n"/>
      <c r="H315" s="20" t="n"/>
      <c r="I315" s="20" t="n"/>
      <c r="J315" s="20" t="n"/>
    </row>
    <row r="316" ht="16.5" customFormat="1" customHeight="1" s="12">
      <c r="A316" s="17" t="n">
        <v>311</v>
      </c>
      <c r="B316" s="25" t="n"/>
      <c r="C316" s="41" t="n"/>
      <c r="D316" s="41" t="n"/>
      <c r="E316" s="41" t="n"/>
      <c r="F316" s="41" t="n"/>
      <c r="G316" s="42" t="n"/>
      <c r="H316" s="20" t="n"/>
      <c r="I316" s="20" t="n"/>
      <c r="J316" s="20" t="n"/>
    </row>
    <row r="317" ht="16.5" customFormat="1" customHeight="1" s="12">
      <c r="A317" s="17" t="n">
        <v>312</v>
      </c>
      <c r="B317" s="25" t="n"/>
      <c r="C317" s="41" t="n"/>
      <c r="D317" s="41" t="n"/>
      <c r="E317" s="41" t="n"/>
      <c r="F317" s="41" t="n"/>
      <c r="G317" s="42" t="n"/>
      <c r="H317" s="20" t="n"/>
      <c r="I317" s="20" t="n"/>
      <c r="J317" s="20" t="n"/>
    </row>
    <row r="318" ht="16.5" customFormat="1" customHeight="1" s="12">
      <c r="A318" s="17" t="n">
        <v>313</v>
      </c>
      <c r="B318" s="25" t="n"/>
      <c r="C318" s="41" t="n"/>
      <c r="D318" s="41" t="n"/>
      <c r="E318" s="41" t="n"/>
      <c r="F318" s="41" t="n"/>
      <c r="G318" s="42" t="n"/>
      <c r="H318" s="20" t="n"/>
      <c r="I318" s="20" t="n"/>
      <c r="J318" s="20" t="n"/>
    </row>
    <row r="319" ht="16.5" customFormat="1" customHeight="1" s="12">
      <c r="A319" s="17" t="n">
        <v>314</v>
      </c>
      <c r="B319" s="25" t="n"/>
      <c r="C319" s="41" t="n"/>
      <c r="D319" s="41" t="n"/>
      <c r="E319" s="41" t="n"/>
      <c r="F319" s="41" t="n"/>
      <c r="G319" s="42" t="n"/>
      <c r="H319" s="20" t="n"/>
      <c r="I319" s="20" t="n"/>
      <c r="J319" s="20" t="n"/>
    </row>
    <row r="320" ht="16.5" customFormat="1" customHeight="1" s="12">
      <c r="A320" s="17" t="n">
        <v>315</v>
      </c>
      <c r="B320" s="25" t="n"/>
      <c r="C320" s="41" t="n"/>
      <c r="D320" s="41" t="n"/>
      <c r="E320" s="41" t="n"/>
      <c r="F320" s="41" t="n"/>
      <c r="G320" s="42" t="n"/>
      <c r="H320" s="20" t="n"/>
      <c r="I320" s="20" t="n"/>
      <c r="J320" s="20" t="n"/>
    </row>
    <row r="321" ht="16.5" customFormat="1" customHeight="1" s="12">
      <c r="A321" s="17" t="n">
        <v>316</v>
      </c>
      <c r="B321" s="25" t="n"/>
      <c r="C321" s="41" t="n"/>
      <c r="D321" s="41" t="n"/>
      <c r="E321" s="41" t="n"/>
      <c r="F321" s="41" t="n"/>
      <c r="G321" s="42" t="n"/>
      <c r="H321" s="20" t="n"/>
      <c r="I321" s="20" t="n"/>
      <c r="J321" s="20" t="n"/>
    </row>
    <row r="322" ht="16.5" customFormat="1" customHeight="1" s="12">
      <c r="A322" s="17" t="n">
        <v>317</v>
      </c>
      <c r="B322" s="25" t="n"/>
      <c r="C322" s="41" t="n"/>
      <c r="D322" s="41" t="n"/>
      <c r="E322" s="41" t="n"/>
      <c r="F322" s="41" t="n"/>
      <c r="G322" s="42" t="n"/>
      <c r="H322" s="20" t="n"/>
      <c r="I322" s="20" t="n"/>
      <c r="J322" s="20" t="n"/>
    </row>
    <row r="323" ht="16.5" customFormat="1" customHeight="1" s="12">
      <c r="A323" s="17" t="n">
        <v>318</v>
      </c>
      <c r="B323" s="25" t="n"/>
      <c r="C323" s="41" t="n"/>
      <c r="D323" s="41" t="n"/>
      <c r="E323" s="41" t="n"/>
      <c r="F323" s="41" t="n"/>
      <c r="G323" s="42" t="n"/>
      <c r="H323" s="20" t="n"/>
      <c r="I323" s="20" t="n"/>
      <c r="J323" s="20" t="n"/>
    </row>
    <row r="324" ht="16.5" customFormat="1" customHeight="1" s="12">
      <c r="A324" s="17" t="n">
        <v>319</v>
      </c>
      <c r="B324" s="25" t="n"/>
      <c r="C324" s="41" t="n"/>
      <c r="D324" s="41" t="n"/>
      <c r="E324" s="41" t="n"/>
      <c r="F324" s="41" t="n"/>
      <c r="G324" s="42" t="n"/>
      <c r="H324" s="20" t="n"/>
      <c r="I324" s="20" t="n"/>
      <c r="J324" s="20" t="n"/>
    </row>
    <row r="325" ht="16.5" customFormat="1" customHeight="1" s="12">
      <c r="A325" s="17" t="n">
        <v>320</v>
      </c>
      <c r="B325" s="25" t="n"/>
      <c r="C325" s="41" t="n"/>
      <c r="D325" s="41" t="n"/>
      <c r="E325" s="41" t="n"/>
      <c r="F325" s="41" t="n"/>
      <c r="G325" s="42" t="n"/>
      <c r="H325" s="20" t="n"/>
      <c r="I325" s="20" t="n"/>
      <c r="J325" s="20" t="n"/>
    </row>
    <row r="326" ht="16.5" customFormat="1" customHeight="1" s="12">
      <c r="A326" s="17" t="n">
        <v>321</v>
      </c>
      <c r="B326" s="25" t="n"/>
      <c r="C326" s="41" t="n"/>
      <c r="D326" s="41" t="n"/>
      <c r="E326" s="41" t="n"/>
      <c r="F326" s="41" t="n"/>
      <c r="G326" s="42" t="n"/>
      <c r="H326" s="20" t="n"/>
      <c r="I326" s="20" t="n"/>
      <c r="J326" s="20" t="n"/>
    </row>
    <row r="327" ht="16.5" customFormat="1" customHeight="1" s="12">
      <c r="A327" s="17" t="n">
        <v>322</v>
      </c>
      <c r="B327" s="25" t="n"/>
      <c r="C327" s="41" t="n"/>
      <c r="D327" s="41" t="n"/>
      <c r="E327" s="41" t="n"/>
      <c r="F327" s="41" t="n"/>
      <c r="G327" s="42" t="n"/>
      <c r="H327" s="20" t="n"/>
      <c r="I327" s="20" t="n"/>
      <c r="J327" s="20" t="n"/>
    </row>
    <row r="328" ht="16.5" customFormat="1" customHeight="1" s="12">
      <c r="A328" s="17" t="n">
        <v>323</v>
      </c>
      <c r="B328" s="25" t="n"/>
      <c r="C328" s="41" t="n"/>
      <c r="D328" s="41" t="n"/>
      <c r="E328" s="41" t="n"/>
      <c r="F328" s="41" t="n"/>
      <c r="G328" s="42" t="n"/>
      <c r="H328" s="20" t="n"/>
      <c r="I328" s="20" t="n"/>
      <c r="J328" s="20" t="n"/>
    </row>
    <row r="329" ht="16.5" customFormat="1" customHeight="1" s="12">
      <c r="A329" s="17" t="n">
        <v>324</v>
      </c>
      <c r="B329" s="25" t="n"/>
      <c r="C329" s="41" t="n"/>
      <c r="D329" s="41" t="n"/>
      <c r="E329" s="41" t="n"/>
      <c r="F329" s="41" t="n"/>
      <c r="G329" s="42" t="n"/>
      <c r="H329" s="20" t="n"/>
      <c r="I329" s="20" t="n"/>
      <c r="J329" s="20" t="n"/>
    </row>
    <row r="330" ht="16.5" customFormat="1" customHeight="1" s="12">
      <c r="A330" s="17" t="n">
        <v>325</v>
      </c>
      <c r="B330" s="25" t="n"/>
      <c r="C330" s="41" t="n"/>
      <c r="D330" s="41" t="n"/>
      <c r="E330" s="41" t="n"/>
      <c r="F330" s="41" t="n"/>
      <c r="G330" s="42" t="n"/>
      <c r="H330" s="20" t="n"/>
      <c r="I330" s="20" t="n"/>
      <c r="J330" s="20" t="n"/>
    </row>
    <row r="331" ht="16.5" customFormat="1" customHeight="1" s="12">
      <c r="A331" s="17" t="n">
        <v>326</v>
      </c>
      <c r="B331" s="25" t="n"/>
      <c r="C331" s="41" t="n"/>
      <c r="D331" s="41" t="n"/>
      <c r="E331" s="41" t="n"/>
      <c r="F331" s="41" t="n"/>
      <c r="G331" s="42" t="n"/>
      <c r="H331" s="20" t="n"/>
      <c r="I331" s="20" t="n"/>
      <c r="J331" s="20" t="n"/>
    </row>
    <row r="332" ht="16.5" customFormat="1" customHeight="1" s="12">
      <c r="A332" s="17" t="n">
        <v>327</v>
      </c>
      <c r="B332" s="25" t="n"/>
      <c r="C332" s="41" t="n"/>
      <c r="D332" s="41" t="n"/>
      <c r="E332" s="41" t="n"/>
      <c r="F332" s="41" t="n"/>
      <c r="G332" s="42" t="n"/>
      <c r="H332" s="20" t="n"/>
      <c r="I332" s="20" t="n"/>
      <c r="J332" s="20" t="n"/>
    </row>
    <row r="333" ht="16.5" customFormat="1" customHeight="1" s="12">
      <c r="A333" s="17" t="n">
        <v>328</v>
      </c>
      <c r="B333" s="25" t="n"/>
      <c r="C333" s="41" t="n"/>
      <c r="D333" s="41" t="n"/>
      <c r="E333" s="41" t="n"/>
      <c r="F333" s="41" t="n"/>
      <c r="G333" s="42" t="n"/>
      <c r="H333" s="20" t="n"/>
      <c r="I333" s="20" t="n"/>
      <c r="J333" s="20" t="n"/>
    </row>
    <row r="334" ht="16.5" customFormat="1" customHeight="1" s="12">
      <c r="A334" s="17" t="n">
        <v>329</v>
      </c>
      <c r="B334" s="25" t="n"/>
      <c r="C334" s="41" t="n"/>
      <c r="D334" s="41" t="n"/>
      <c r="E334" s="41" t="n"/>
      <c r="F334" s="41" t="n"/>
      <c r="G334" s="42" t="n"/>
      <c r="H334" s="20" t="n"/>
      <c r="I334" s="20" t="n"/>
      <c r="J334" s="20" t="n"/>
    </row>
    <row r="335" ht="16.5" customFormat="1" customHeight="1" s="12">
      <c r="A335" s="17" t="n">
        <v>330</v>
      </c>
      <c r="B335" s="25" t="n"/>
      <c r="C335" s="41" t="n"/>
      <c r="D335" s="41" t="n"/>
      <c r="E335" s="41" t="n"/>
      <c r="F335" s="41" t="n"/>
      <c r="G335" s="42" t="n"/>
      <c r="H335" s="20" t="n"/>
      <c r="I335" s="20" t="n"/>
      <c r="J335" s="20" t="n"/>
    </row>
    <row r="336" ht="16.5" customFormat="1" customHeight="1" s="12">
      <c r="A336" s="17" t="n">
        <v>331</v>
      </c>
      <c r="B336" s="25" t="n"/>
      <c r="C336" s="41" t="n"/>
      <c r="D336" s="41" t="n"/>
      <c r="E336" s="41" t="n"/>
      <c r="F336" s="41" t="n"/>
      <c r="G336" s="42" t="n"/>
      <c r="H336" s="20" t="n"/>
      <c r="I336" s="20" t="n"/>
      <c r="J336" s="20" t="n"/>
    </row>
    <row r="337" ht="16.5" customFormat="1" customHeight="1" s="12">
      <c r="A337" s="17" t="n">
        <v>332</v>
      </c>
      <c r="B337" s="25" t="n"/>
      <c r="C337" s="41" t="n"/>
      <c r="D337" s="41" t="n"/>
      <c r="E337" s="41" t="n"/>
      <c r="F337" s="41" t="n"/>
      <c r="G337" s="42" t="n"/>
      <c r="H337" s="20" t="n"/>
      <c r="I337" s="20" t="n"/>
      <c r="J337" s="20" t="n"/>
    </row>
    <row r="338" ht="16.5" customFormat="1" customHeight="1" s="12">
      <c r="A338" s="17" t="n">
        <v>333</v>
      </c>
      <c r="B338" s="25" t="n"/>
      <c r="C338" s="41" t="n"/>
      <c r="D338" s="41" t="n"/>
      <c r="E338" s="41" t="n"/>
      <c r="F338" s="41" t="n"/>
      <c r="G338" s="42" t="n"/>
      <c r="H338" s="20" t="n"/>
      <c r="I338" s="20" t="n"/>
      <c r="J338" s="20" t="n"/>
    </row>
    <row r="339" ht="16.5" customFormat="1" customHeight="1" s="12">
      <c r="A339" s="17" t="n">
        <v>334</v>
      </c>
      <c r="B339" s="25" t="n"/>
      <c r="C339" s="41" t="n"/>
      <c r="D339" s="41" t="n"/>
      <c r="E339" s="41" t="n"/>
      <c r="F339" s="41" t="n"/>
      <c r="G339" s="42" t="n"/>
      <c r="H339" s="20" t="n"/>
      <c r="I339" s="20" t="n"/>
      <c r="J339" s="20" t="n"/>
    </row>
    <row r="340" ht="16.5" customFormat="1" customHeight="1" s="12">
      <c r="A340" s="17" t="n">
        <v>335</v>
      </c>
      <c r="B340" s="25" t="n"/>
      <c r="C340" s="41" t="n"/>
      <c r="D340" s="41" t="n"/>
      <c r="E340" s="41" t="n"/>
      <c r="F340" s="41" t="n"/>
      <c r="G340" s="42" t="n"/>
      <c r="H340" s="20" t="n"/>
      <c r="I340" s="20" t="n"/>
      <c r="J340" s="20" t="n"/>
    </row>
    <row r="341" ht="16.5" customFormat="1" customHeight="1" s="12">
      <c r="A341" s="17" t="n">
        <v>336</v>
      </c>
      <c r="B341" s="25" t="n"/>
      <c r="C341" s="41" t="n"/>
      <c r="D341" s="41" t="n"/>
      <c r="E341" s="41" t="n"/>
      <c r="F341" s="41" t="n"/>
      <c r="G341" s="42" t="n"/>
      <c r="H341" s="20" t="n"/>
      <c r="I341" s="20" t="n"/>
      <c r="J341" s="20" t="n"/>
    </row>
    <row r="342" ht="16.5" customFormat="1" customHeight="1" s="12">
      <c r="A342" s="17" t="n">
        <v>337</v>
      </c>
      <c r="B342" s="25" t="n"/>
      <c r="C342" s="41" t="n"/>
      <c r="D342" s="41" t="n"/>
      <c r="E342" s="41" t="n"/>
      <c r="F342" s="41" t="n"/>
      <c r="G342" s="42" t="n"/>
      <c r="H342" s="20" t="n"/>
      <c r="I342" s="20" t="n"/>
      <c r="J342" s="20" t="n"/>
    </row>
    <row r="343" ht="16.5" customFormat="1" customHeight="1" s="12">
      <c r="A343" s="17" t="n">
        <v>338</v>
      </c>
      <c r="B343" s="25" t="n"/>
      <c r="C343" s="41" t="n"/>
      <c r="D343" s="41" t="n"/>
      <c r="E343" s="41" t="n"/>
      <c r="F343" s="41" t="n"/>
      <c r="G343" s="42" t="n"/>
      <c r="H343" s="20" t="n"/>
      <c r="I343" s="20" t="n"/>
      <c r="J343" s="20" t="n"/>
    </row>
    <row r="344" ht="16.5" customFormat="1" customHeight="1" s="12">
      <c r="A344" s="17" t="n">
        <v>339</v>
      </c>
      <c r="B344" s="25" t="n"/>
      <c r="C344" s="41" t="n"/>
      <c r="D344" s="41" t="n"/>
      <c r="E344" s="41" t="n"/>
      <c r="F344" s="41" t="n"/>
      <c r="G344" s="42" t="n"/>
      <c r="H344" s="20" t="n"/>
      <c r="I344" s="20" t="n"/>
      <c r="J344" s="20" t="n"/>
    </row>
    <row r="345" ht="16.5" customFormat="1" customHeight="1" s="12">
      <c r="A345" s="17" t="n">
        <v>340</v>
      </c>
      <c r="B345" s="25" t="n"/>
      <c r="C345" s="41" t="n"/>
      <c r="D345" s="41" t="n"/>
      <c r="E345" s="41" t="n"/>
      <c r="F345" s="41" t="n"/>
      <c r="G345" s="42" t="n"/>
      <c r="H345" s="20" t="n"/>
      <c r="I345" s="20" t="n"/>
      <c r="J345" s="20" t="n"/>
    </row>
    <row r="346" ht="16.5" customFormat="1" customHeight="1" s="12">
      <c r="A346" s="17" t="n">
        <v>341</v>
      </c>
      <c r="B346" s="25" t="n"/>
      <c r="C346" s="41" t="n"/>
      <c r="D346" s="41" t="n"/>
      <c r="E346" s="41" t="n"/>
      <c r="F346" s="41" t="n"/>
      <c r="G346" s="42" t="n"/>
      <c r="H346" s="20" t="n"/>
      <c r="I346" s="20" t="n"/>
      <c r="J346" s="20" t="n"/>
    </row>
    <row r="347" ht="16.5" customFormat="1" customHeight="1" s="12">
      <c r="A347" s="17" t="n">
        <v>342</v>
      </c>
      <c r="B347" s="25" t="n"/>
      <c r="C347" s="41" t="n"/>
      <c r="D347" s="41" t="n"/>
      <c r="E347" s="41" t="n"/>
      <c r="F347" s="41" t="n"/>
      <c r="G347" s="42" t="n"/>
      <c r="H347" s="20" t="n"/>
      <c r="I347" s="20" t="n"/>
      <c r="J347" s="20" t="n"/>
    </row>
    <row r="348" ht="16.5" customFormat="1" customHeight="1" s="12">
      <c r="A348" s="17" t="n">
        <v>343</v>
      </c>
      <c r="B348" s="25" t="n"/>
      <c r="C348" s="41" t="n"/>
      <c r="D348" s="41" t="n"/>
      <c r="E348" s="41" t="n"/>
      <c r="F348" s="41" t="n"/>
      <c r="G348" s="42" t="n"/>
      <c r="H348" s="20" t="n"/>
      <c r="I348" s="20" t="n"/>
      <c r="J348" s="20" t="n"/>
    </row>
    <row r="349" ht="16.5" customFormat="1" customHeight="1" s="12">
      <c r="A349" s="17" t="n">
        <v>344</v>
      </c>
      <c r="B349" s="25" t="n"/>
      <c r="C349" s="41" t="n"/>
      <c r="D349" s="41" t="n"/>
      <c r="E349" s="41" t="n"/>
      <c r="F349" s="41" t="n"/>
      <c r="G349" s="42" t="n"/>
      <c r="H349" s="20" t="n"/>
      <c r="I349" s="20" t="n"/>
      <c r="J349" s="20" t="n"/>
    </row>
    <row r="350" ht="16.5" customFormat="1" customHeight="1" s="12">
      <c r="A350" s="17" t="n">
        <v>345</v>
      </c>
      <c r="B350" s="25" t="n"/>
      <c r="C350" s="41" t="n"/>
      <c r="D350" s="41" t="n"/>
      <c r="E350" s="41" t="n"/>
      <c r="F350" s="41" t="n"/>
      <c r="G350" s="42" t="n"/>
      <c r="H350" s="20" t="n"/>
      <c r="I350" s="20" t="n"/>
      <c r="J350" s="20" t="n"/>
    </row>
    <row r="351" ht="16.5" customFormat="1" customHeight="1" s="12">
      <c r="A351" s="17" t="n">
        <v>346</v>
      </c>
      <c r="B351" s="25" t="n"/>
      <c r="C351" s="41" t="n"/>
      <c r="D351" s="41" t="n"/>
      <c r="E351" s="41" t="n"/>
      <c r="F351" s="41" t="n"/>
      <c r="G351" s="42" t="n"/>
      <c r="H351" s="20" t="n"/>
      <c r="I351" s="20" t="n"/>
      <c r="J351" s="20" t="n"/>
    </row>
    <row r="352" ht="16.5" customFormat="1" customHeight="1" s="12">
      <c r="A352" s="17" t="n">
        <v>347</v>
      </c>
      <c r="B352" s="25" t="n"/>
      <c r="C352" s="41" t="n"/>
      <c r="D352" s="41" t="n"/>
      <c r="E352" s="41" t="n"/>
      <c r="F352" s="41" t="n"/>
      <c r="G352" s="42" t="n"/>
      <c r="H352" s="20" t="n"/>
      <c r="I352" s="20" t="n"/>
      <c r="J352" s="20" t="n"/>
    </row>
    <row r="353" ht="16.5" customFormat="1" customHeight="1" s="12">
      <c r="A353" s="17" t="n">
        <v>348</v>
      </c>
      <c r="B353" s="25" t="n"/>
      <c r="C353" s="41" t="n"/>
      <c r="D353" s="41" t="n"/>
      <c r="E353" s="41" t="n"/>
      <c r="F353" s="41" t="n"/>
      <c r="G353" s="42" t="n"/>
      <c r="H353" s="20" t="n"/>
      <c r="I353" s="20" t="n"/>
      <c r="J353" s="20" t="n"/>
    </row>
    <row r="354" ht="16.5" customFormat="1" customHeight="1" s="12">
      <c r="A354" s="17" t="n">
        <v>349</v>
      </c>
      <c r="B354" s="25" t="n"/>
      <c r="C354" s="41" t="n"/>
      <c r="D354" s="41" t="n"/>
      <c r="E354" s="41" t="n"/>
      <c r="F354" s="41" t="n"/>
      <c r="G354" s="42" t="n"/>
      <c r="H354" s="20" t="n"/>
      <c r="I354" s="20" t="n"/>
      <c r="J354" s="20" t="n"/>
    </row>
    <row r="355" ht="16.5" customFormat="1" customHeight="1" s="12">
      <c r="A355" s="17" t="n">
        <v>350</v>
      </c>
      <c r="B355" s="25" t="n"/>
      <c r="C355" s="41" t="n"/>
      <c r="D355" s="41" t="n"/>
      <c r="E355" s="41" t="n"/>
      <c r="F355" s="41" t="n"/>
      <c r="G355" s="42" t="n"/>
      <c r="H355" s="20" t="n"/>
      <c r="I355" s="20" t="n"/>
      <c r="J355" s="20" t="n"/>
    </row>
    <row r="356" ht="16.5" customFormat="1" customHeight="1" s="12">
      <c r="A356" s="17" t="n">
        <v>351</v>
      </c>
      <c r="B356" s="25" t="n"/>
      <c r="C356" s="41" t="n"/>
      <c r="D356" s="41" t="n"/>
      <c r="E356" s="41" t="n"/>
      <c r="F356" s="41" t="n"/>
      <c r="G356" s="42" t="n"/>
      <c r="H356" s="20" t="n"/>
      <c r="I356" s="20" t="n"/>
      <c r="J356" s="20" t="n"/>
    </row>
    <row r="357" ht="16.5" customFormat="1" customHeight="1" s="12">
      <c r="A357" s="17" t="n">
        <v>352</v>
      </c>
      <c r="B357" s="25" t="n"/>
      <c r="C357" s="41" t="n"/>
      <c r="D357" s="41" t="n"/>
      <c r="E357" s="41" t="n"/>
      <c r="F357" s="41" t="n"/>
      <c r="G357" s="42" t="n"/>
      <c r="H357" s="20" t="n"/>
      <c r="I357" s="20" t="n"/>
      <c r="J357" s="20" t="n"/>
    </row>
    <row r="358" ht="16.5" customFormat="1" customHeight="1" s="12">
      <c r="A358" s="17" t="n">
        <v>353</v>
      </c>
      <c r="B358" s="25" t="n"/>
      <c r="C358" s="41" t="n"/>
      <c r="D358" s="41" t="n"/>
      <c r="E358" s="41" t="n"/>
      <c r="F358" s="41" t="n"/>
      <c r="G358" s="42" t="n"/>
      <c r="H358" s="20" t="n"/>
      <c r="I358" s="20" t="n"/>
      <c r="J358" s="20" t="n"/>
    </row>
    <row r="359" ht="16.5" customFormat="1" customHeight="1" s="12">
      <c r="A359" s="17" t="n">
        <v>354</v>
      </c>
      <c r="B359" s="25" t="n"/>
      <c r="C359" s="41" t="n"/>
      <c r="D359" s="41" t="n"/>
      <c r="E359" s="41" t="n"/>
      <c r="F359" s="41" t="n"/>
      <c r="G359" s="42" t="n"/>
      <c r="H359" s="20" t="n"/>
      <c r="I359" s="20" t="n"/>
      <c r="J359" s="20" t="n"/>
    </row>
    <row r="360" ht="16.5" customFormat="1" customHeight="1" s="12">
      <c r="A360" s="17" t="n">
        <v>355</v>
      </c>
      <c r="B360" s="25" t="n"/>
      <c r="C360" s="41" t="n"/>
      <c r="D360" s="41" t="n"/>
      <c r="E360" s="41" t="n"/>
      <c r="F360" s="41" t="n"/>
      <c r="G360" s="42" t="n"/>
      <c r="H360" s="20" t="n"/>
      <c r="I360" s="20" t="n"/>
      <c r="J360" s="20" t="n"/>
    </row>
    <row r="361" ht="16.5" customFormat="1" customHeight="1" s="12">
      <c r="A361" s="17" t="n">
        <v>356</v>
      </c>
      <c r="B361" s="25" t="n"/>
      <c r="C361" s="41" t="n"/>
      <c r="D361" s="41" t="n"/>
      <c r="E361" s="41" t="n"/>
      <c r="F361" s="41" t="n"/>
      <c r="G361" s="42" t="n"/>
      <c r="H361" s="20" t="n"/>
      <c r="I361" s="20" t="n"/>
      <c r="J361" s="20" t="n"/>
    </row>
    <row r="362" ht="16.5" customFormat="1" customHeight="1" s="12">
      <c r="A362" s="17" t="n">
        <v>357</v>
      </c>
      <c r="B362" s="25" t="n"/>
      <c r="C362" s="41" t="n"/>
      <c r="D362" s="41" t="n"/>
      <c r="E362" s="41" t="n"/>
      <c r="F362" s="41" t="n"/>
      <c r="G362" s="42" t="n"/>
      <c r="H362" s="20" t="n"/>
      <c r="I362" s="20" t="n"/>
      <c r="J362" s="20" t="n"/>
    </row>
    <row r="363" ht="16.5" customFormat="1" customHeight="1" s="12">
      <c r="A363" s="17" t="n">
        <v>358</v>
      </c>
      <c r="B363" s="25" t="n"/>
      <c r="C363" s="41" t="n"/>
      <c r="D363" s="41" t="n"/>
      <c r="E363" s="41" t="n"/>
      <c r="F363" s="41" t="n"/>
      <c r="G363" s="42" t="n"/>
      <c r="H363" s="20" t="n"/>
      <c r="I363" s="20" t="n"/>
      <c r="J363" s="20" t="n"/>
    </row>
    <row r="364" ht="16.5" customFormat="1" customHeight="1" s="12">
      <c r="A364" s="17" t="n">
        <v>359</v>
      </c>
      <c r="B364" s="25" t="n"/>
      <c r="C364" s="41" t="n"/>
      <c r="D364" s="41" t="n"/>
      <c r="E364" s="41" t="n"/>
      <c r="F364" s="41" t="n"/>
      <c r="G364" s="42" t="n"/>
      <c r="H364" s="20" t="n"/>
      <c r="I364" s="20" t="n"/>
      <c r="J364" s="20" t="n"/>
    </row>
    <row r="365" ht="16.5" customFormat="1" customHeight="1" s="12">
      <c r="A365" s="17" t="n">
        <v>360</v>
      </c>
      <c r="B365" s="25" t="n"/>
      <c r="C365" s="41" t="n"/>
      <c r="D365" s="41" t="n"/>
      <c r="E365" s="41" t="n"/>
      <c r="F365" s="41" t="n"/>
      <c r="G365" s="42" t="n"/>
      <c r="H365" s="20" t="n"/>
      <c r="I365" s="20" t="n"/>
      <c r="J365" s="20" t="n"/>
    </row>
    <row r="366" ht="16.5" customFormat="1" customHeight="1" s="12">
      <c r="A366" s="17" t="n">
        <v>361</v>
      </c>
      <c r="B366" s="25" t="n"/>
      <c r="C366" s="41" t="n"/>
      <c r="D366" s="41" t="n"/>
      <c r="E366" s="41" t="n"/>
      <c r="F366" s="41" t="n"/>
      <c r="G366" s="42" t="n"/>
      <c r="H366" s="20" t="n"/>
      <c r="I366" s="20" t="n"/>
      <c r="J366" s="20" t="n"/>
    </row>
    <row r="367" ht="16.5" customFormat="1" customHeight="1" s="12">
      <c r="A367" s="17" t="n">
        <v>362</v>
      </c>
      <c r="B367" s="25" t="n"/>
      <c r="C367" s="41" t="n"/>
      <c r="D367" s="41" t="n"/>
      <c r="E367" s="41" t="n"/>
      <c r="F367" s="41" t="n"/>
      <c r="G367" s="42" t="n"/>
      <c r="H367" s="20" t="n"/>
      <c r="I367" s="20" t="n"/>
      <c r="J367" s="20" t="n"/>
    </row>
    <row r="368" ht="16.5" customFormat="1" customHeight="1" s="12">
      <c r="A368" s="17" t="n">
        <v>363</v>
      </c>
      <c r="B368" s="25" t="n"/>
      <c r="C368" s="41" t="n"/>
      <c r="D368" s="41" t="n"/>
      <c r="E368" s="41" t="n"/>
      <c r="F368" s="41" t="n"/>
      <c r="G368" s="42" t="n"/>
      <c r="H368" s="20" t="n"/>
      <c r="I368" s="20" t="n"/>
      <c r="J368" s="20" t="n"/>
    </row>
    <row r="369" ht="16.5" customFormat="1" customHeight="1" s="12">
      <c r="A369" s="17" t="n">
        <v>364</v>
      </c>
      <c r="B369" s="25" t="n"/>
      <c r="C369" s="41" t="n"/>
      <c r="D369" s="41" t="n"/>
      <c r="E369" s="41" t="n"/>
      <c r="F369" s="41" t="n"/>
      <c r="G369" s="42" t="n"/>
      <c r="H369" s="20" t="n"/>
      <c r="I369" s="20" t="n"/>
      <c r="J369" s="20" t="n"/>
    </row>
    <row r="370" ht="16.5" customFormat="1" customHeight="1" s="12">
      <c r="A370" s="17" t="n">
        <v>365</v>
      </c>
      <c r="B370" s="25" t="n"/>
      <c r="C370" s="41" t="n"/>
      <c r="D370" s="41" t="n"/>
      <c r="E370" s="41" t="n"/>
      <c r="F370" s="41" t="n"/>
      <c r="G370" s="42" t="n"/>
      <c r="H370" s="20" t="n"/>
      <c r="I370" s="20" t="n"/>
      <c r="J370" s="20" t="n"/>
    </row>
    <row r="371" ht="16.5" customFormat="1" customHeight="1" s="12">
      <c r="A371" s="17" t="n">
        <v>366</v>
      </c>
      <c r="B371" s="25" t="n"/>
      <c r="C371" s="41" t="n"/>
      <c r="D371" s="41" t="n"/>
      <c r="E371" s="41" t="n"/>
      <c r="F371" s="41" t="n"/>
      <c r="G371" s="42" t="n"/>
      <c r="H371" s="20" t="n"/>
      <c r="I371" s="20" t="n"/>
      <c r="J371" s="20" t="n"/>
    </row>
    <row r="372" ht="16.5" customFormat="1" customHeight="1" s="12">
      <c r="A372" s="17" t="n">
        <v>367</v>
      </c>
      <c r="B372" s="25" t="n"/>
      <c r="C372" s="41" t="n"/>
      <c r="D372" s="41" t="n"/>
      <c r="E372" s="41" t="n"/>
      <c r="F372" s="41" t="n"/>
      <c r="G372" s="42" t="n"/>
      <c r="H372" s="20" t="n"/>
      <c r="I372" s="20" t="n"/>
      <c r="J372" s="20" t="n"/>
    </row>
    <row r="373" ht="16.5" customFormat="1" customHeight="1" s="12">
      <c r="A373" s="17" t="n">
        <v>368</v>
      </c>
      <c r="B373" s="25" t="n"/>
      <c r="C373" s="41" t="n"/>
      <c r="D373" s="41" t="n"/>
      <c r="E373" s="41" t="n"/>
      <c r="F373" s="41" t="n"/>
      <c r="G373" s="42" t="n"/>
      <c r="H373" s="20" t="n"/>
      <c r="I373" s="20" t="n"/>
      <c r="J373" s="20" t="n"/>
    </row>
    <row r="374" ht="16.5" customFormat="1" customHeight="1" s="12">
      <c r="A374" s="17" t="n">
        <v>369</v>
      </c>
      <c r="B374" s="25" t="n"/>
      <c r="C374" s="41" t="n"/>
      <c r="D374" s="41" t="n"/>
      <c r="E374" s="41" t="n"/>
      <c r="F374" s="41" t="n"/>
      <c r="G374" s="42" t="n"/>
      <c r="H374" s="20" t="n"/>
      <c r="I374" s="20" t="n"/>
      <c r="J374" s="20" t="n"/>
    </row>
    <row r="375" ht="16.5" customFormat="1" customHeight="1" s="12">
      <c r="A375" s="17" t="n">
        <v>370</v>
      </c>
      <c r="B375" s="25" t="n"/>
      <c r="C375" s="41" t="n"/>
      <c r="D375" s="41" t="n"/>
      <c r="E375" s="41" t="n"/>
      <c r="F375" s="41" t="n"/>
      <c r="G375" s="42" t="n"/>
      <c r="H375" s="20" t="n"/>
      <c r="I375" s="20" t="n"/>
      <c r="J375" s="20" t="n"/>
    </row>
    <row r="376" ht="16.5" customFormat="1" customHeight="1" s="12">
      <c r="A376" s="17" t="n">
        <v>371</v>
      </c>
      <c r="B376" s="25" t="n"/>
      <c r="C376" s="41" t="n"/>
      <c r="D376" s="41" t="n"/>
      <c r="E376" s="41" t="n"/>
      <c r="F376" s="41" t="n"/>
      <c r="G376" s="42" t="n"/>
      <c r="H376" s="20" t="n"/>
      <c r="I376" s="20" t="n"/>
      <c r="J376" s="20" t="n"/>
    </row>
    <row r="377" ht="16.5" customFormat="1" customHeight="1" s="12">
      <c r="A377" s="17" t="n">
        <v>372</v>
      </c>
      <c r="B377" s="25" t="n"/>
      <c r="C377" s="41" t="n"/>
      <c r="D377" s="41" t="n"/>
      <c r="E377" s="41" t="n"/>
      <c r="F377" s="41" t="n"/>
      <c r="G377" s="42" t="n"/>
      <c r="H377" s="20" t="n"/>
      <c r="I377" s="20" t="n"/>
      <c r="J377" s="20" t="n"/>
    </row>
    <row r="378" ht="16.5" customFormat="1" customHeight="1" s="12">
      <c r="A378" s="17" t="n">
        <v>373</v>
      </c>
      <c r="B378" s="25" t="n"/>
      <c r="C378" s="41" t="n"/>
      <c r="D378" s="41" t="n"/>
      <c r="E378" s="41" t="n"/>
      <c r="F378" s="41" t="n"/>
      <c r="G378" s="42" t="n"/>
      <c r="H378" s="20" t="n"/>
      <c r="I378" s="20" t="n"/>
      <c r="J378" s="20" t="n"/>
    </row>
    <row r="379" ht="16.5" customFormat="1" customHeight="1" s="12">
      <c r="A379" s="17" t="n">
        <v>374</v>
      </c>
      <c r="B379" s="25" t="n"/>
      <c r="C379" s="41" t="n"/>
      <c r="D379" s="41" t="n"/>
      <c r="E379" s="41" t="n"/>
      <c r="F379" s="41" t="n"/>
      <c r="G379" s="42" t="n"/>
      <c r="H379" s="20" t="n"/>
      <c r="I379" s="20" t="n"/>
      <c r="J379" s="20" t="n"/>
    </row>
    <row r="380" ht="16.5" customFormat="1" customHeight="1" s="12">
      <c r="A380" s="17" t="n">
        <v>375</v>
      </c>
      <c r="B380" s="25" t="n"/>
      <c r="C380" s="41" t="n"/>
      <c r="D380" s="41" t="n"/>
      <c r="E380" s="41" t="n"/>
      <c r="F380" s="41" t="n"/>
      <c r="G380" s="42" t="n"/>
      <c r="H380" s="20" t="n"/>
      <c r="I380" s="20" t="n"/>
      <c r="J380" s="20" t="n"/>
    </row>
    <row r="381" ht="16.5" customFormat="1" customHeight="1" s="12">
      <c r="A381" s="17" t="n">
        <v>376</v>
      </c>
      <c r="B381" s="25" t="n"/>
      <c r="C381" s="41" t="n"/>
      <c r="D381" s="41" t="n"/>
      <c r="E381" s="41" t="n"/>
      <c r="F381" s="41" t="n"/>
      <c r="G381" s="42" t="n"/>
      <c r="H381" s="20" t="n"/>
      <c r="I381" s="20" t="n"/>
      <c r="J381" s="20" t="n"/>
    </row>
    <row r="382" ht="16.5" customFormat="1" customHeight="1" s="12">
      <c r="A382" s="17" t="n">
        <v>377</v>
      </c>
      <c r="B382" s="25" t="n"/>
      <c r="C382" s="41" t="n"/>
      <c r="D382" s="41" t="n"/>
      <c r="E382" s="41" t="n"/>
      <c r="F382" s="41" t="n"/>
      <c r="G382" s="42" t="n"/>
      <c r="H382" s="20" t="n"/>
      <c r="I382" s="20" t="n"/>
      <c r="J382" s="20" t="n"/>
    </row>
    <row r="383" ht="16.5" customFormat="1" customHeight="1" s="12">
      <c r="A383" s="17" t="n">
        <v>378</v>
      </c>
      <c r="B383" s="25" t="n"/>
      <c r="C383" s="41" t="n"/>
      <c r="D383" s="41" t="n"/>
      <c r="E383" s="41" t="n"/>
      <c r="F383" s="41" t="n"/>
      <c r="G383" s="42" t="n"/>
      <c r="H383" s="20" t="n"/>
      <c r="I383" s="20" t="n"/>
      <c r="J383" s="20" t="n"/>
    </row>
    <row r="384" ht="16.5" customFormat="1" customHeight="1" s="12">
      <c r="A384" s="17" t="n">
        <v>379</v>
      </c>
      <c r="B384" s="25" t="n"/>
      <c r="C384" s="41" t="n"/>
      <c r="D384" s="41" t="n"/>
      <c r="E384" s="41" t="n"/>
      <c r="F384" s="41" t="n"/>
      <c r="G384" s="42" t="n"/>
      <c r="H384" s="20" t="n"/>
      <c r="I384" s="20" t="n"/>
      <c r="J384" s="20" t="n"/>
    </row>
    <row r="385" ht="16.5" customFormat="1" customHeight="1" s="12">
      <c r="A385" s="17" t="n">
        <v>380</v>
      </c>
      <c r="B385" s="25" t="n"/>
      <c r="C385" s="41" t="n"/>
      <c r="D385" s="41" t="n"/>
      <c r="E385" s="41" t="n"/>
      <c r="F385" s="41" t="n"/>
      <c r="G385" s="42" t="n"/>
      <c r="H385" s="20" t="n"/>
      <c r="I385" s="20" t="n"/>
      <c r="J385" s="20" t="n"/>
    </row>
    <row r="386" ht="16.5" customFormat="1" customHeight="1" s="12">
      <c r="A386" s="17" t="n">
        <v>381</v>
      </c>
      <c r="B386" s="25" t="n"/>
      <c r="C386" s="41" t="n"/>
      <c r="D386" s="41" t="n"/>
      <c r="E386" s="41" t="n"/>
      <c r="F386" s="41" t="n"/>
      <c r="G386" s="42" t="n"/>
      <c r="H386" s="20" t="n"/>
      <c r="I386" s="20" t="n"/>
      <c r="J386" s="20" t="n"/>
    </row>
    <row r="387" ht="16.5" customFormat="1" customHeight="1" s="12">
      <c r="A387" s="17" t="n">
        <v>382</v>
      </c>
      <c r="B387" s="25" t="n"/>
      <c r="C387" s="41" t="n"/>
      <c r="D387" s="41" t="n"/>
      <c r="E387" s="41" t="n"/>
      <c r="F387" s="41" t="n"/>
      <c r="G387" s="42" t="n"/>
      <c r="H387" s="20" t="n"/>
      <c r="I387" s="20" t="n"/>
      <c r="J387" s="20" t="n"/>
    </row>
    <row r="388" ht="16.5" customFormat="1" customHeight="1" s="12">
      <c r="A388" s="17" t="n">
        <v>383</v>
      </c>
      <c r="B388" s="25" t="n"/>
      <c r="C388" s="41" t="n"/>
      <c r="D388" s="41" t="n"/>
      <c r="E388" s="41" t="n"/>
      <c r="F388" s="41" t="n"/>
      <c r="G388" s="42" t="n"/>
      <c r="H388" s="20" t="n"/>
      <c r="I388" s="20" t="n"/>
      <c r="J388" s="20" t="n"/>
    </row>
    <row r="389" ht="16.5" customFormat="1" customHeight="1" s="12">
      <c r="A389" s="17" t="n">
        <v>384</v>
      </c>
      <c r="B389" s="25" t="n"/>
      <c r="C389" s="41" t="n"/>
      <c r="D389" s="41" t="n"/>
      <c r="E389" s="41" t="n"/>
      <c r="F389" s="41" t="n"/>
      <c r="G389" s="42" t="n"/>
      <c r="H389" s="20" t="n"/>
      <c r="I389" s="20" t="n"/>
      <c r="J389" s="20" t="n"/>
    </row>
    <row r="390" ht="16.5" customFormat="1" customHeight="1" s="12">
      <c r="A390" s="17" t="n">
        <v>385</v>
      </c>
      <c r="B390" s="25" t="n"/>
      <c r="C390" s="41" t="n"/>
      <c r="D390" s="41" t="n"/>
      <c r="E390" s="41" t="n"/>
      <c r="F390" s="41" t="n"/>
      <c r="G390" s="42" t="n"/>
      <c r="H390" s="20" t="n"/>
      <c r="I390" s="20" t="n"/>
      <c r="J390" s="20" t="n"/>
    </row>
    <row r="391" ht="16.5" customFormat="1" customHeight="1" s="12">
      <c r="A391" s="17" t="n">
        <v>386</v>
      </c>
      <c r="B391" s="25" t="n"/>
      <c r="C391" s="41" t="n"/>
      <c r="D391" s="41" t="n"/>
      <c r="E391" s="41" t="n"/>
      <c r="F391" s="41" t="n"/>
      <c r="G391" s="42" t="n"/>
      <c r="H391" s="20" t="n"/>
      <c r="I391" s="20" t="n"/>
      <c r="J391" s="20" t="n"/>
    </row>
    <row r="392" ht="16.5" customFormat="1" customHeight="1" s="12">
      <c r="A392" s="17" t="n">
        <v>387</v>
      </c>
      <c r="B392" s="25" t="n"/>
      <c r="C392" s="41" t="n"/>
      <c r="D392" s="41" t="n"/>
      <c r="E392" s="41" t="n"/>
      <c r="F392" s="41" t="n"/>
      <c r="G392" s="42" t="n"/>
      <c r="H392" s="20" t="n"/>
      <c r="I392" s="20" t="n"/>
      <c r="J392" s="20" t="n"/>
    </row>
    <row r="393" ht="16.5" customFormat="1" customHeight="1" s="12">
      <c r="A393" s="17" t="n">
        <v>388</v>
      </c>
      <c r="B393" s="25" t="n"/>
      <c r="C393" s="41" t="n"/>
      <c r="D393" s="41" t="n"/>
      <c r="E393" s="41" t="n"/>
      <c r="F393" s="41" t="n"/>
      <c r="G393" s="42" t="n"/>
      <c r="H393" s="20" t="n"/>
      <c r="I393" s="20" t="n"/>
      <c r="J393" s="20" t="n"/>
    </row>
    <row r="394" ht="16.5" customFormat="1" customHeight="1" s="12">
      <c r="A394" s="17" t="n">
        <v>389</v>
      </c>
      <c r="B394" s="25" t="n"/>
      <c r="C394" s="41" t="n"/>
      <c r="D394" s="41" t="n"/>
      <c r="E394" s="41" t="n"/>
      <c r="F394" s="41" t="n"/>
      <c r="G394" s="42" t="n"/>
      <c r="H394" s="20" t="n"/>
      <c r="I394" s="20" t="n"/>
      <c r="J394" s="20" t="n"/>
    </row>
    <row r="395" ht="16.5" customFormat="1" customHeight="1" s="12">
      <c r="A395" s="17" t="n">
        <v>390</v>
      </c>
      <c r="B395" s="25" t="n"/>
      <c r="C395" s="41" t="n"/>
      <c r="D395" s="41" t="n"/>
      <c r="E395" s="41" t="n"/>
      <c r="F395" s="41" t="n"/>
      <c r="G395" s="42" t="n"/>
      <c r="H395" s="20" t="n"/>
      <c r="I395" s="20" t="n"/>
      <c r="J395" s="20" t="n"/>
    </row>
    <row r="396" ht="16.5" customFormat="1" customHeight="1" s="12">
      <c r="A396" s="17" t="n">
        <v>391</v>
      </c>
      <c r="B396" s="25" t="n"/>
      <c r="C396" s="41" t="n"/>
      <c r="D396" s="41" t="n"/>
      <c r="E396" s="41" t="n"/>
      <c r="F396" s="41" t="n"/>
      <c r="G396" s="42" t="n"/>
      <c r="H396" s="20" t="n"/>
      <c r="I396" s="20" t="n"/>
      <c r="J396" s="20" t="n"/>
    </row>
    <row r="397" ht="16.5" customFormat="1" customHeight="1" s="12">
      <c r="A397" s="17" t="n">
        <v>392</v>
      </c>
      <c r="B397" s="25" t="n"/>
      <c r="C397" s="41" t="n"/>
      <c r="D397" s="41" t="n"/>
      <c r="E397" s="41" t="n"/>
      <c r="F397" s="41" t="n"/>
      <c r="G397" s="42" t="n"/>
      <c r="H397" s="20" t="n"/>
      <c r="I397" s="20" t="n"/>
      <c r="J397" s="20" t="n"/>
    </row>
    <row r="398" ht="16.5" customFormat="1" customHeight="1" s="12">
      <c r="A398" s="17" t="n">
        <v>393</v>
      </c>
      <c r="B398" s="25" t="n"/>
      <c r="C398" s="41" t="n"/>
      <c r="D398" s="41" t="n"/>
      <c r="E398" s="41" t="n"/>
      <c r="F398" s="41" t="n"/>
      <c r="G398" s="42" t="n"/>
      <c r="H398" s="20" t="n"/>
      <c r="I398" s="20" t="n"/>
      <c r="J398" s="20" t="n"/>
    </row>
    <row r="399" ht="16.5" customFormat="1" customHeight="1" s="12">
      <c r="A399" s="17" t="n">
        <v>394</v>
      </c>
      <c r="B399" s="25" t="n"/>
      <c r="C399" s="41" t="n"/>
      <c r="D399" s="41" t="n"/>
      <c r="E399" s="41" t="n"/>
      <c r="F399" s="41" t="n"/>
      <c r="G399" s="42" t="n"/>
      <c r="H399" s="20" t="n"/>
      <c r="I399" s="20" t="n"/>
      <c r="J399" s="20" t="n"/>
    </row>
    <row r="400" ht="16.5" customFormat="1" customHeight="1" s="12">
      <c r="A400" s="17" t="n">
        <v>395</v>
      </c>
      <c r="B400" s="25" t="n"/>
      <c r="C400" s="41" t="n"/>
      <c r="D400" s="41" t="n"/>
      <c r="E400" s="41" t="n"/>
      <c r="F400" s="41" t="n"/>
      <c r="G400" s="42" t="n"/>
      <c r="H400" s="20" t="n"/>
      <c r="I400" s="20" t="n"/>
      <c r="J400" s="20" t="n"/>
    </row>
    <row r="401" ht="16.5" customFormat="1" customHeight="1" s="12">
      <c r="A401" s="17" t="n">
        <v>396</v>
      </c>
      <c r="B401" s="25" t="n"/>
      <c r="C401" s="41" t="n"/>
      <c r="D401" s="41" t="n"/>
      <c r="E401" s="41" t="n"/>
      <c r="F401" s="41" t="n"/>
      <c r="G401" s="42" t="n"/>
      <c r="H401" s="20" t="n"/>
      <c r="I401" s="20" t="n"/>
      <c r="J401" s="20" t="n"/>
    </row>
    <row r="402" ht="16.5" customFormat="1" customHeight="1" s="12">
      <c r="A402" s="17" t="n">
        <v>397</v>
      </c>
      <c r="B402" s="25" t="n"/>
      <c r="C402" s="41" t="n"/>
      <c r="D402" s="41" t="n"/>
      <c r="E402" s="41" t="n"/>
      <c r="F402" s="41" t="n"/>
      <c r="G402" s="42" t="n"/>
      <c r="H402" s="20" t="n"/>
      <c r="I402" s="20" t="n"/>
      <c r="J402" s="20" t="n"/>
    </row>
    <row r="403" ht="16.5" customFormat="1" customHeight="1" s="12">
      <c r="A403" s="17" t="n">
        <v>398</v>
      </c>
      <c r="B403" s="25" t="n"/>
      <c r="C403" s="41" t="n"/>
      <c r="D403" s="41" t="n"/>
      <c r="E403" s="41" t="n"/>
      <c r="F403" s="41" t="n"/>
      <c r="G403" s="42" t="n"/>
      <c r="H403" s="20" t="n"/>
      <c r="I403" s="20" t="n"/>
      <c r="J403" s="20" t="n"/>
    </row>
    <row r="404" ht="16.5" customFormat="1" customHeight="1" s="12">
      <c r="A404" s="17" t="n">
        <v>399</v>
      </c>
      <c r="B404" s="25" t="n"/>
      <c r="C404" s="41" t="n"/>
      <c r="D404" s="41" t="n"/>
      <c r="E404" s="41" t="n"/>
      <c r="F404" s="41" t="n"/>
      <c r="G404" s="42" t="n"/>
      <c r="H404" s="20" t="n"/>
      <c r="I404" s="20" t="n"/>
      <c r="J404" s="20" t="n"/>
    </row>
    <row r="405" ht="16.5" customFormat="1" customHeight="1" s="12">
      <c r="A405" s="17" t="n">
        <v>400</v>
      </c>
      <c r="B405" s="25" t="n"/>
      <c r="C405" s="41" t="n"/>
      <c r="D405" s="41" t="n"/>
      <c r="E405" s="41" t="n"/>
      <c r="F405" s="41" t="n"/>
      <c r="G405" s="42" t="n"/>
      <c r="H405" s="20" t="n"/>
      <c r="I405" s="20" t="n"/>
      <c r="J405" s="20" t="n"/>
    </row>
    <row r="406" ht="16.5" customFormat="1" customHeight="1" s="12">
      <c r="A406" s="17" t="n">
        <v>401</v>
      </c>
      <c r="B406" s="25" t="n"/>
      <c r="C406" s="41" t="n"/>
      <c r="D406" s="41" t="n"/>
      <c r="E406" s="41" t="n"/>
      <c r="F406" s="41" t="n"/>
      <c r="G406" s="42" t="n"/>
      <c r="H406" s="20" t="n"/>
      <c r="I406" s="20" t="n"/>
      <c r="J406" s="20" t="n"/>
    </row>
    <row r="407" ht="16.5" customFormat="1" customHeight="1" s="12">
      <c r="A407" s="17" t="n">
        <v>402</v>
      </c>
      <c r="B407" s="25" t="n"/>
      <c r="C407" s="41" t="n"/>
      <c r="D407" s="41" t="n"/>
      <c r="E407" s="41" t="n"/>
      <c r="F407" s="41" t="n"/>
      <c r="G407" s="42" t="n"/>
      <c r="H407" s="20" t="n"/>
      <c r="I407" s="20" t="n"/>
      <c r="J407" s="20" t="n"/>
    </row>
    <row r="408" ht="16.5" customFormat="1" customHeight="1" s="12">
      <c r="A408" s="17" t="n">
        <v>403</v>
      </c>
      <c r="B408" s="25" t="n"/>
      <c r="C408" s="41" t="n"/>
      <c r="D408" s="41" t="n"/>
      <c r="E408" s="41" t="n"/>
      <c r="F408" s="41" t="n"/>
      <c r="G408" s="42" t="n"/>
      <c r="H408" s="20" t="n"/>
      <c r="I408" s="20" t="n"/>
      <c r="J408" s="20" t="n"/>
    </row>
    <row r="409" ht="16.5" customFormat="1" customHeight="1" s="12">
      <c r="A409" s="17" t="n">
        <v>404</v>
      </c>
      <c r="B409" s="25" t="n"/>
      <c r="C409" s="41" t="n"/>
      <c r="D409" s="41" t="n"/>
      <c r="E409" s="41" t="n"/>
      <c r="F409" s="41" t="n"/>
      <c r="G409" s="42" t="n"/>
      <c r="H409" s="20" t="n"/>
      <c r="I409" s="20" t="n"/>
      <c r="J409" s="20" t="n"/>
    </row>
    <row r="410" ht="16.5" customFormat="1" customHeight="1" s="12">
      <c r="A410" s="17" t="n">
        <v>405</v>
      </c>
      <c r="B410" s="25" t="n"/>
      <c r="C410" s="41" t="n"/>
      <c r="D410" s="41" t="n"/>
      <c r="E410" s="41" t="n"/>
      <c r="F410" s="41" t="n"/>
      <c r="G410" s="42" t="n"/>
      <c r="H410" s="20" t="n"/>
      <c r="I410" s="20" t="n"/>
      <c r="J410" s="20" t="n"/>
    </row>
    <row r="411" ht="16.5" customFormat="1" customHeight="1" s="12">
      <c r="A411" s="17" t="n">
        <v>406</v>
      </c>
      <c r="B411" s="25" t="n"/>
      <c r="C411" s="41" t="n"/>
      <c r="D411" s="41" t="n"/>
      <c r="E411" s="41" t="n"/>
      <c r="F411" s="41" t="n"/>
      <c r="G411" s="42" t="n"/>
      <c r="H411" s="20" t="n"/>
      <c r="I411" s="20" t="n"/>
      <c r="J411" s="20" t="n"/>
    </row>
    <row r="412" ht="16.5" customFormat="1" customHeight="1" s="12">
      <c r="A412" s="17" t="n">
        <v>407</v>
      </c>
      <c r="B412" s="25" t="n"/>
      <c r="C412" s="41" t="n"/>
      <c r="D412" s="41" t="n"/>
      <c r="E412" s="41" t="n"/>
      <c r="F412" s="41" t="n"/>
      <c r="G412" s="42" t="n"/>
      <c r="H412" s="20" t="n"/>
      <c r="I412" s="20" t="n"/>
      <c r="J412" s="20" t="n"/>
    </row>
    <row r="413" ht="16.5" customFormat="1" customHeight="1" s="12">
      <c r="A413" s="17" t="n">
        <v>408</v>
      </c>
      <c r="B413" s="25" t="n"/>
      <c r="C413" s="41" t="n"/>
      <c r="D413" s="41" t="n"/>
      <c r="E413" s="41" t="n"/>
      <c r="F413" s="41" t="n"/>
      <c r="G413" s="42" t="n"/>
      <c r="H413" s="20" t="n"/>
      <c r="I413" s="20" t="n"/>
      <c r="J413" s="20" t="n"/>
    </row>
    <row r="414" ht="16.5" customFormat="1" customHeight="1" s="12">
      <c r="A414" s="17" t="n">
        <v>409</v>
      </c>
      <c r="B414" s="25" t="n"/>
      <c r="C414" s="41" t="n"/>
      <c r="D414" s="41" t="n"/>
      <c r="E414" s="41" t="n"/>
      <c r="F414" s="41" t="n"/>
      <c r="G414" s="42" t="n"/>
      <c r="H414" s="20" t="n"/>
      <c r="I414" s="20" t="n"/>
      <c r="J414" s="20" t="n"/>
    </row>
    <row r="415" ht="16.5" customFormat="1" customHeight="1" s="12">
      <c r="A415" s="17" t="n">
        <v>410</v>
      </c>
      <c r="B415" s="25" t="n"/>
      <c r="C415" s="41" t="n"/>
      <c r="D415" s="41" t="n"/>
      <c r="E415" s="41" t="n"/>
      <c r="F415" s="41" t="n"/>
      <c r="G415" s="42" t="n"/>
      <c r="H415" s="20" t="n"/>
      <c r="I415" s="20" t="n"/>
      <c r="J415" s="20" t="n"/>
    </row>
    <row r="416" ht="16.5" customFormat="1" customHeight="1" s="12">
      <c r="A416" s="17" t="n">
        <v>411</v>
      </c>
      <c r="B416" s="25" t="n"/>
      <c r="C416" s="41" t="n"/>
      <c r="D416" s="41" t="n"/>
      <c r="E416" s="41" t="n"/>
      <c r="F416" s="41" t="n"/>
      <c r="G416" s="42" t="n"/>
      <c r="H416" s="20" t="n"/>
      <c r="I416" s="20" t="n"/>
      <c r="J416" s="20" t="n"/>
    </row>
    <row r="417" ht="16.5" customFormat="1" customHeight="1" s="12">
      <c r="A417" s="17" t="n">
        <v>412</v>
      </c>
      <c r="B417" s="25" t="n"/>
      <c r="C417" s="41" t="n"/>
      <c r="D417" s="41" t="n"/>
      <c r="E417" s="41" t="n"/>
      <c r="F417" s="41" t="n"/>
      <c r="G417" s="42" t="n"/>
      <c r="H417" s="20" t="n"/>
      <c r="I417" s="20" t="n"/>
      <c r="J417" s="20" t="n"/>
    </row>
    <row r="418" ht="16.5" customFormat="1" customHeight="1" s="12">
      <c r="A418" s="17" t="n">
        <v>413</v>
      </c>
      <c r="B418" s="25" t="n"/>
      <c r="C418" s="41" t="n"/>
      <c r="D418" s="41" t="n"/>
      <c r="E418" s="41" t="n"/>
      <c r="F418" s="41" t="n"/>
      <c r="G418" s="42" t="n"/>
      <c r="H418" s="20" t="n"/>
      <c r="I418" s="20" t="n"/>
      <c r="J418" s="20" t="n"/>
    </row>
    <row r="419" ht="16.5" customFormat="1" customHeight="1" s="12">
      <c r="A419" s="17" t="n">
        <v>414</v>
      </c>
      <c r="B419" s="25" t="n"/>
      <c r="C419" s="41" t="n"/>
      <c r="D419" s="41" t="n"/>
      <c r="E419" s="41" t="n"/>
      <c r="F419" s="41" t="n"/>
      <c r="G419" s="42" t="n"/>
      <c r="H419" s="20" t="n"/>
      <c r="I419" s="20" t="n"/>
      <c r="J419" s="20" t="n"/>
    </row>
    <row r="420" ht="16.5" customFormat="1" customHeight="1" s="12">
      <c r="A420" s="17" t="n">
        <v>415</v>
      </c>
      <c r="B420" s="25" t="n"/>
      <c r="C420" s="41" t="n"/>
      <c r="D420" s="41" t="n"/>
      <c r="E420" s="41" t="n"/>
      <c r="F420" s="41" t="n"/>
      <c r="G420" s="42" t="n"/>
      <c r="H420" s="20" t="n"/>
      <c r="I420" s="20" t="n"/>
      <c r="J420" s="20" t="n"/>
    </row>
    <row r="421" ht="16.5" customFormat="1" customHeight="1" s="12">
      <c r="A421" s="17" t="n">
        <v>416</v>
      </c>
      <c r="B421" s="25" t="n"/>
      <c r="C421" s="41" t="n"/>
      <c r="D421" s="41" t="n"/>
      <c r="E421" s="41" t="n"/>
      <c r="F421" s="41" t="n"/>
      <c r="G421" s="42" t="n"/>
      <c r="H421" s="20" t="n"/>
      <c r="I421" s="20" t="n"/>
      <c r="J421" s="20" t="n"/>
    </row>
    <row r="422" ht="16.5" customFormat="1" customHeight="1" s="12">
      <c r="A422" s="17" t="n">
        <v>417</v>
      </c>
      <c r="B422" s="25" t="n"/>
      <c r="C422" s="41" t="n"/>
      <c r="D422" s="41" t="n"/>
      <c r="E422" s="41" t="n"/>
      <c r="F422" s="41" t="n"/>
      <c r="G422" s="42" t="n"/>
      <c r="H422" s="20" t="n"/>
      <c r="I422" s="20" t="n"/>
      <c r="J422" s="20" t="n"/>
    </row>
    <row r="423" ht="16.5" customFormat="1" customHeight="1" s="12">
      <c r="A423" s="17" t="n">
        <v>418</v>
      </c>
      <c r="B423" s="25" t="n"/>
      <c r="C423" s="41" t="n"/>
      <c r="D423" s="41" t="n"/>
      <c r="E423" s="41" t="n"/>
      <c r="F423" s="41" t="n"/>
      <c r="G423" s="42" t="n"/>
      <c r="H423" s="20" t="n"/>
      <c r="I423" s="20" t="n"/>
      <c r="J423" s="20" t="n"/>
    </row>
    <row r="424" ht="16.5" customFormat="1" customHeight="1" s="12">
      <c r="A424" s="17" t="n">
        <v>419</v>
      </c>
      <c r="B424" s="25" t="n"/>
      <c r="C424" s="41" t="n"/>
      <c r="D424" s="41" t="n"/>
      <c r="E424" s="41" t="n"/>
      <c r="F424" s="41" t="n"/>
      <c r="G424" s="42" t="n"/>
      <c r="H424" s="20" t="n"/>
      <c r="I424" s="20" t="n"/>
      <c r="J424" s="20" t="n"/>
    </row>
    <row r="425" ht="16.5" customFormat="1" customHeight="1" s="12">
      <c r="A425" s="17" t="n">
        <v>420</v>
      </c>
      <c r="B425" s="25" t="n"/>
      <c r="C425" s="41" t="n"/>
      <c r="D425" s="41" t="n"/>
      <c r="E425" s="41" t="n"/>
      <c r="F425" s="41" t="n"/>
      <c r="G425" s="42" t="n"/>
      <c r="H425" s="20" t="n"/>
      <c r="I425" s="20" t="n"/>
      <c r="J425" s="20" t="n"/>
    </row>
    <row r="426" ht="16.5" customFormat="1" customHeight="1" s="12">
      <c r="A426" s="17" t="n">
        <v>421</v>
      </c>
      <c r="B426" s="25" t="n"/>
      <c r="C426" s="41" t="n"/>
      <c r="D426" s="41" t="n"/>
      <c r="E426" s="41" t="n"/>
      <c r="F426" s="41" t="n"/>
      <c r="G426" s="42" t="n"/>
      <c r="H426" s="20" t="n"/>
      <c r="I426" s="20" t="n"/>
      <c r="J426" s="20" t="n"/>
    </row>
    <row r="427" ht="16.5" customFormat="1" customHeight="1" s="12">
      <c r="A427" s="17" t="n">
        <v>422</v>
      </c>
      <c r="B427" s="25" t="n"/>
      <c r="C427" s="41" t="n"/>
      <c r="D427" s="41" t="n"/>
      <c r="E427" s="41" t="n"/>
      <c r="F427" s="41" t="n"/>
      <c r="G427" s="42" t="n"/>
      <c r="H427" s="20" t="n"/>
      <c r="I427" s="20" t="n"/>
      <c r="J427" s="20" t="n"/>
    </row>
    <row r="428" ht="16.5" customFormat="1" customHeight="1" s="12">
      <c r="A428" s="17" t="n">
        <v>423</v>
      </c>
      <c r="B428" s="25" t="n"/>
      <c r="C428" s="41" t="n"/>
      <c r="D428" s="41" t="n"/>
      <c r="E428" s="41" t="n"/>
      <c r="F428" s="41" t="n"/>
      <c r="G428" s="42" t="n"/>
      <c r="H428" s="20" t="n"/>
      <c r="I428" s="20" t="n"/>
      <c r="J428" s="20" t="n"/>
    </row>
    <row r="429" ht="16.5" customFormat="1" customHeight="1" s="12">
      <c r="A429" s="17" t="n">
        <v>424</v>
      </c>
      <c r="B429" s="25" t="n"/>
      <c r="C429" s="41" t="n"/>
      <c r="D429" s="41" t="n"/>
      <c r="E429" s="41" t="n"/>
      <c r="F429" s="41" t="n"/>
      <c r="G429" s="42" t="n"/>
      <c r="H429" s="20" t="n"/>
      <c r="I429" s="20" t="n"/>
      <c r="J429" s="20" t="n"/>
    </row>
    <row r="430" ht="16.5" customFormat="1" customHeight="1" s="12">
      <c r="A430" s="17" t="n">
        <v>425</v>
      </c>
      <c r="B430" s="25" t="n"/>
      <c r="C430" s="41" t="n"/>
      <c r="D430" s="41" t="n"/>
      <c r="E430" s="41" t="n"/>
      <c r="F430" s="41" t="n"/>
      <c r="G430" s="42" t="n"/>
      <c r="H430" s="20" t="n"/>
      <c r="I430" s="20" t="n"/>
      <c r="J430" s="20" t="n"/>
    </row>
    <row r="431" ht="16.5" customFormat="1" customHeight="1" s="12">
      <c r="A431" s="17" t="n">
        <v>426</v>
      </c>
      <c r="B431" s="25" t="n"/>
      <c r="C431" s="41" t="n"/>
      <c r="D431" s="41" t="n"/>
      <c r="E431" s="41" t="n"/>
      <c r="F431" s="41" t="n"/>
      <c r="G431" s="42" t="n"/>
      <c r="H431" s="20" t="n"/>
      <c r="I431" s="20" t="n"/>
      <c r="J431" s="20" t="n"/>
    </row>
    <row r="432" ht="16.5" customFormat="1" customHeight="1" s="12">
      <c r="A432" s="17" t="n">
        <v>427</v>
      </c>
      <c r="B432" s="25" t="n"/>
      <c r="C432" s="41" t="n"/>
      <c r="D432" s="41" t="n"/>
      <c r="E432" s="41" t="n"/>
      <c r="F432" s="41" t="n"/>
      <c r="G432" s="42" t="n"/>
      <c r="H432" s="20" t="n"/>
      <c r="I432" s="20" t="n"/>
      <c r="J432" s="20" t="n"/>
    </row>
    <row r="433" ht="16.5" customFormat="1" customHeight="1" s="12">
      <c r="A433" s="17" t="n">
        <v>428</v>
      </c>
      <c r="B433" s="25" t="n"/>
      <c r="C433" s="41" t="n"/>
      <c r="D433" s="41" t="n"/>
      <c r="E433" s="41" t="n"/>
      <c r="F433" s="41" t="n"/>
      <c r="G433" s="42" t="n"/>
      <c r="H433" s="20" t="n"/>
      <c r="I433" s="20" t="n"/>
      <c r="J433" s="20" t="n"/>
    </row>
    <row r="434" ht="16.5" customFormat="1" customHeight="1" s="12">
      <c r="A434" s="17" t="n">
        <v>429</v>
      </c>
      <c r="B434" s="25" t="n"/>
      <c r="C434" s="41" t="n"/>
      <c r="D434" s="41" t="n"/>
      <c r="E434" s="41" t="n"/>
      <c r="F434" s="41" t="n"/>
      <c r="G434" s="42" t="n"/>
      <c r="H434" s="20" t="n"/>
      <c r="I434" s="20" t="n"/>
      <c r="J434" s="20" t="n"/>
    </row>
    <row r="435" ht="16.5" customFormat="1" customHeight="1" s="12">
      <c r="A435" s="17" t="n">
        <v>430</v>
      </c>
      <c r="B435" s="25" t="n"/>
      <c r="C435" s="41" t="n"/>
      <c r="D435" s="41" t="n"/>
      <c r="E435" s="41" t="n"/>
      <c r="F435" s="41" t="n"/>
      <c r="G435" s="42" t="n"/>
      <c r="H435" s="20" t="n"/>
      <c r="I435" s="20" t="n"/>
      <c r="J435" s="20" t="n"/>
    </row>
    <row r="436" ht="16.5" customFormat="1" customHeight="1" s="12">
      <c r="A436" s="17" t="n">
        <v>431</v>
      </c>
      <c r="B436" s="25" t="n"/>
      <c r="C436" s="41" t="n"/>
      <c r="D436" s="41" t="n"/>
      <c r="E436" s="41" t="n"/>
      <c r="F436" s="41" t="n"/>
      <c r="G436" s="42" t="n"/>
      <c r="H436" s="20" t="n"/>
      <c r="I436" s="20" t="n"/>
      <c r="J436" s="20" t="n"/>
    </row>
    <row r="437" ht="16.5" customFormat="1" customHeight="1" s="12">
      <c r="A437" s="17" t="n">
        <v>432</v>
      </c>
      <c r="B437" s="25" t="n"/>
      <c r="C437" s="41" t="n"/>
      <c r="D437" s="41" t="n"/>
      <c r="E437" s="41" t="n"/>
      <c r="F437" s="41" t="n"/>
      <c r="G437" s="42" t="n"/>
      <c r="H437" s="20" t="n"/>
      <c r="I437" s="20" t="n"/>
      <c r="J437" s="20" t="n"/>
    </row>
    <row r="438" ht="16.5" customFormat="1" customHeight="1" s="12">
      <c r="A438" s="17" t="n">
        <v>433</v>
      </c>
      <c r="B438" s="25" t="n"/>
      <c r="C438" s="41" t="n"/>
      <c r="D438" s="41" t="n"/>
      <c r="E438" s="41" t="n"/>
      <c r="F438" s="41" t="n"/>
      <c r="G438" s="42" t="n"/>
      <c r="H438" s="20" t="n"/>
      <c r="I438" s="20" t="n"/>
      <c r="J438" s="20" t="n"/>
    </row>
    <row r="439" ht="16.5" customFormat="1" customHeight="1" s="12">
      <c r="A439" s="17" t="n">
        <v>434</v>
      </c>
      <c r="B439" s="25" t="n"/>
      <c r="C439" s="41" t="n"/>
      <c r="D439" s="41" t="n"/>
      <c r="E439" s="41" t="n"/>
      <c r="F439" s="41" t="n"/>
      <c r="G439" s="42" t="n"/>
      <c r="H439" s="20" t="n"/>
      <c r="I439" s="20" t="n"/>
      <c r="J439" s="20" t="n"/>
    </row>
    <row r="440" ht="16.5" customFormat="1" customHeight="1" s="12">
      <c r="A440" s="17" t="n">
        <v>435</v>
      </c>
      <c r="B440" s="25" t="n"/>
      <c r="C440" s="41" t="n"/>
      <c r="D440" s="41" t="n"/>
      <c r="E440" s="41" t="n"/>
      <c r="F440" s="41" t="n"/>
      <c r="G440" s="42" t="n"/>
      <c r="H440" s="20" t="n"/>
      <c r="I440" s="20" t="n"/>
      <c r="J440" s="20" t="n"/>
    </row>
    <row r="441" ht="16.5" customFormat="1" customHeight="1" s="12">
      <c r="A441" s="17" t="n">
        <v>436</v>
      </c>
      <c r="B441" s="25" t="n"/>
      <c r="C441" s="41" t="n"/>
      <c r="D441" s="41" t="n"/>
      <c r="E441" s="41" t="n"/>
      <c r="F441" s="41" t="n"/>
      <c r="G441" s="42" t="n"/>
      <c r="H441" s="20" t="n"/>
      <c r="I441" s="20" t="n"/>
      <c r="J441" s="20" t="n"/>
    </row>
    <row r="442" ht="16.5" customFormat="1" customHeight="1" s="12">
      <c r="A442" s="17" t="n">
        <v>437</v>
      </c>
      <c r="B442" s="25" t="n"/>
      <c r="C442" s="41" t="n"/>
      <c r="D442" s="41" t="n"/>
      <c r="E442" s="41" t="n"/>
      <c r="F442" s="41" t="n"/>
      <c r="G442" s="42" t="n"/>
      <c r="H442" s="20" t="n"/>
      <c r="I442" s="20" t="n"/>
      <c r="J442" s="20" t="n"/>
    </row>
    <row r="443" ht="16.5" customFormat="1" customHeight="1" s="12">
      <c r="A443" s="17" t="n">
        <v>438</v>
      </c>
      <c r="B443" s="25" t="n"/>
      <c r="C443" s="41" t="n"/>
      <c r="D443" s="41" t="n"/>
      <c r="E443" s="41" t="n"/>
      <c r="F443" s="41" t="n"/>
      <c r="G443" s="42" t="n"/>
      <c r="H443" s="20" t="n"/>
      <c r="I443" s="20" t="n"/>
      <c r="J443" s="20" t="n"/>
    </row>
    <row r="444" ht="16.5" customFormat="1" customHeight="1" s="12">
      <c r="A444" s="17" t="n">
        <v>439</v>
      </c>
      <c r="B444" s="25" t="n"/>
      <c r="C444" s="41" t="n"/>
      <c r="D444" s="41" t="n"/>
      <c r="E444" s="41" t="n"/>
      <c r="F444" s="41" t="n"/>
      <c r="G444" s="42" t="n"/>
      <c r="H444" s="20" t="n"/>
      <c r="I444" s="20" t="n"/>
      <c r="J444" s="20" t="n"/>
    </row>
    <row r="445" ht="16.5" customFormat="1" customHeight="1" s="12">
      <c r="A445" s="17" t="n">
        <v>440</v>
      </c>
      <c r="B445" s="25" t="n"/>
      <c r="C445" s="41" t="n"/>
      <c r="D445" s="41" t="n"/>
      <c r="E445" s="41" t="n"/>
      <c r="F445" s="41" t="n"/>
      <c r="G445" s="42" t="n"/>
      <c r="H445" s="20" t="n"/>
      <c r="I445" s="20" t="n"/>
      <c r="J445" s="20" t="n"/>
    </row>
    <row r="446" ht="16.5" customFormat="1" customHeight="1" s="12">
      <c r="A446" s="17" t="n">
        <v>441</v>
      </c>
      <c r="B446" s="25" t="n"/>
      <c r="C446" s="41" t="n"/>
      <c r="D446" s="41" t="n"/>
      <c r="E446" s="41" t="n"/>
      <c r="F446" s="41" t="n"/>
      <c r="G446" s="42" t="n"/>
      <c r="H446" s="20" t="n"/>
      <c r="I446" s="20" t="n"/>
      <c r="J446" s="20" t="n"/>
    </row>
    <row r="447" ht="16.5" customFormat="1" customHeight="1" s="12">
      <c r="A447" s="17" t="n">
        <v>442</v>
      </c>
      <c r="B447" s="25" t="n"/>
      <c r="C447" s="41" t="n"/>
      <c r="D447" s="41" t="n"/>
      <c r="E447" s="41" t="n"/>
      <c r="F447" s="41" t="n"/>
      <c r="G447" s="42" t="n"/>
      <c r="H447" s="20" t="n"/>
      <c r="I447" s="20" t="n"/>
      <c r="J447" s="20" t="n"/>
    </row>
    <row r="448" ht="16.5" customFormat="1" customHeight="1" s="12">
      <c r="A448" s="17" t="n">
        <v>443</v>
      </c>
      <c r="B448" s="25" t="n"/>
      <c r="C448" s="41" t="n"/>
      <c r="D448" s="41" t="n"/>
      <c r="E448" s="41" t="n"/>
      <c r="F448" s="41" t="n"/>
      <c r="G448" s="42" t="n"/>
      <c r="H448" s="20" t="n"/>
      <c r="I448" s="20" t="n"/>
      <c r="J448" s="20" t="n"/>
    </row>
    <row r="449" ht="16.5" customFormat="1" customHeight="1" s="12">
      <c r="A449" s="17" t="n">
        <v>444</v>
      </c>
      <c r="B449" s="25" t="n"/>
      <c r="C449" s="41" t="n"/>
      <c r="D449" s="41" t="n"/>
      <c r="E449" s="41" t="n"/>
      <c r="F449" s="41" t="n"/>
      <c r="G449" s="42" t="n"/>
      <c r="H449" s="20" t="n"/>
      <c r="I449" s="20" t="n"/>
      <c r="J449" s="20" t="n"/>
    </row>
    <row r="450" ht="16.5" customFormat="1" customHeight="1" s="12">
      <c r="A450" s="17" t="n">
        <v>445</v>
      </c>
      <c r="B450" s="25" t="n"/>
      <c r="C450" s="41" t="n"/>
      <c r="D450" s="41" t="n"/>
      <c r="E450" s="41" t="n"/>
      <c r="F450" s="41" t="n"/>
      <c r="G450" s="42" t="n"/>
      <c r="H450" s="20" t="n"/>
      <c r="I450" s="20" t="n"/>
      <c r="J450" s="20" t="n"/>
    </row>
    <row r="451" ht="16.5" customFormat="1" customHeight="1" s="12">
      <c r="A451" s="17" t="n">
        <v>446</v>
      </c>
      <c r="B451" s="25" t="n"/>
      <c r="C451" s="41" t="n"/>
      <c r="D451" s="41" t="n"/>
      <c r="E451" s="41" t="n"/>
      <c r="F451" s="41" t="n"/>
      <c r="G451" s="42" t="n"/>
      <c r="H451" s="20" t="n"/>
      <c r="I451" s="20" t="n"/>
      <c r="J451" s="20" t="n"/>
    </row>
    <row r="452" ht="16.5" customFormat="1" customHeight="1" s="12">
      <c r="A452" s="17" t="n">
        <v>447</v>
      </c>
      <c r="B452" s="25" t="n"/>
      <c r="C452" s="41" t="n"/>
      <c r="D452" s="41" t="n"/>
      <c r="E452" s="41" t="n"/>
      <c r="F452" s="41" t="n"/>
      <c r="G452" s="42" t="n"/>
      <c r="H452" s="20" t="n"/>
      <c r="I452" s="20" t="n"/>
      <c r="J452" s="20" t="n"/>
    </row>
    <row r="453" ht="16.5" customFormat="1" customHeight="1" s="12">
      <c r="A453" s="17" t="n">
        <v>448</v>
      </c>
      <c r="B453" s="25" t="n"/>
      <c r="C453" s="41" t="n"/>
      <c r="D453" s="41" t="n"/>
      <c r="E453" s="41" t="n"/>
      <c r="F453" s="41" t="n"/>
      <c r="G453" s="42" t="n"/>
      <c r="H453" s="20" t="n"/>
      <c r="I453" s="20" t="n"/>
      <c r="J453" s="20" t="n"/>
    </row>
    <row r="454" ht="16.5" customFormat="1" customHeight="1" s="12">
      <c r="A454" s="17" t="n">
        <v>449</v>
      </c>
      <c r="B454" s="25" t="n"/>
      <c r="C454" s="41" t="n"/>
      <c r="D454" s="41" t="n"/>
      <c r="E454" s="41" t="n"/>
      <c r="F454" s="41" t="n"/>
      <c r="G454" s="42" t="n"/>
      <c r="H454" s="20" t="n"/>
      <c r="I454" s="20" t="n"/>
      <c r="J454" s="20" t="n"/>
    </row>
    <row r="455" ht="16.5" customFormat="1" customHeight="1" s="12">
      <c r="A455" s="17" t="n">
        <v>450</v>
      </c>
      <c r="B455" s="25" t="n"/>
      <c r="C455" s="41" t="n"/>
      <c r="D455" s="41" t="n"/>
      <c r="E455" s="41" t="n"/>
      <c r="F455" s="41" t="n"/>
      <c r="G455" s="42" t="n"/>
      <c r="H455" s="20" t="n"/>
      <c r="I455" s="20" t="n"/>
      <c r="J455" s="20" t="n"/>
    </row>
    <row r="456" ht="16.5" customFormat="1" customHeight="1" s="12">
      <c r="A456" s="17" t="n">
        <v>451</v>
      </c>
      <c r="B456" s="25" t="n"/>
      <c r="C456" s="41" t="n"/>
      <c r="D456" s="41" t="n"/>
      <c r="E456" s="41" t="n"/>
      <c r="F456" s="41" t="n"/>
      <c r="G456" s="42" t="n"/>
      <c r="H456" s="20" t="n"/>
      <c r="I456" s="20" t="n"/>
      <c r="J456" s="20" t="n"/>
    </row>
    <row r="457" ht="16.5" customFormat="1" customHeight="1" s="12">
      <c r="A457" s="17" t="n">
        <v>452</v>
      </c>
      <c r="B457" s="25" t="n"/>
      <c r="C457" s="41" t="n"/>
      <c r="D457" s="41" t="n"/>
      <c r="E457" s="41" t="n"/>
      <c r="F457" s="41" t="n"/>
      <c r="G457" s="42" t="n"/>
      <c r="H457" s="20" t="n"/>
      <c r="I457" s="20" t="n"/>
      <c r="J457" s="20" t="n"/>
    </row>
    <row r="458" ht="16.5" customFormat="1" customHeight="1" s="12">
      <c r="A458" s="17" t="n">
        <v>453</v>
      </c>
      <c r="B458" s="25" t="n"/>
      <c r="C458" s="41" t="n"/>
      <c r="D458" s="41" t="n"/>
      <c r="E458" s="41" t="n"/>
      <c r="F458" s="41" t="n"/>
      <c r="G458" s="42" t="n"/>
      <c r="H458" s="20" t="n"/>
      <c r="I458" s="20" t="n"/>
      <c r="J458" s="20" t="n"/>
    </row>
    <row r="459" ht="16.5" customFormat="1" customHeight="1" s="12">
      <c r="A459" s="17" t="n">
        <v>454</v>
      </c>
      <c r="B459" s="25" t="n"/>
      <c r="C459" s="41" t="n"/>
      <c r="D459" s="41" t="n"/>
      <c r="E459" s="41" t="n"/>
      <c r="F459" s="41" t="n"/>
      <c r="G459" s="42" t="n"/>
      <c r="H459" s="20" t="n"/>
      <c r="I459" s="20" t="n"/>
      <c r="J459" s="20" t="n"/>
    </row>
    <row r="460" ht="16.5" customFormat="1" customHeight="1" s="12">
      <c r="A460" s="17" t="n">
        <v>455</v>
      </c>
      <c r="B460" s="25" t="n"/>
      <c r="C460" s="41" t="n"/>
      <c r="D460" s="41" t="n"/>
      <c r="E460" s="41" t="n"/>
      <c r="F460" s="41" t="n"/>
      <c r="G460" s="42" t="n"/>
      <c r="H460" s="20" t="n"/>
      <c r="I460" s="20" t="n"/>
      <c r="J460" s="20" t="n"/>
    </row>
    <row r="461" ht="16.5" customFormat="1" customHeight="1" s="12">
      <c r="A461" s="17" t="n">
        <v>456</v>
      </c>
      <c r="B461" s="25" t="n"/>
      <c r="C461" s="41" t="n"/>
      <c r="D461" s="41" t="n"/>
      <c r="E461" s="41" t="n"/>
      <c r="F461" s="41" t="n"/>
      <c r="G461" s="42" t="n"/>
      <c r="H461" s="20" t="n"/>
      <c r="I461" s="20" t="n"/>
      <c r="J461" s="20" t="n"/>
    </row>
    <row r="462" ht="16.5" customFormat="1" customHeight="1" s="12">
      <c r="A462" s="17" t="n">
        <v>457</v>
      </c>
      <c r="B462" s="25" t="n"/>
      <c r="C462" s="41" t="n"/>
      <c r="D462" s="41" t="n"/>
      <c r="E462" s="41" t="n"/>
      <c r="F462" s="41" t="n"/>
      <c r="G462" s="42" t="n"/>
      <c r="H462" s="20" t="n"/>
      <c r="I462" s="20" t="n"/>
      <c r="J462" s="20" t="n"/>
    </row>
    <row r="463" ht="16.5" customFormat="1" customHeight="1" s="12">
      <c r="A463" s="17" t="n">
        <v>458</v>
      </c>
      <c r="B463" s="25" t="n"/>
      <c r="C463" s="41" t="n"/>
      <c r="D463" s="41" t="n"/>
      <c r="E463" s="41" t="n"/>
      <c r="F463" s="41" t="n"/>
      <c r="G463" s="42" t="n"/>
      <c r="H463" s="20" t="n"/>
      <c r="I463" s="20" t="n"/>
      <c r="J463" s="20" t="n"/>
    </row>
    <row r="464" ht="16.5" customFormat="1" customHeight="1" s="12">
      <c r="A464" s="17" t="n">
        <v>459</v>
      </c>
      <c r="B464" s="25" t="n"/>
      <c r="C464" s="41" t="n"/>
      <c r="D464" s="41" t="n"/>
      <c r="E464" s="41" t="n"/>
      <c r="F464" s="41" t="n"/>
      <c r="G464" s="42" t="n"/>
      <c r="H464" s="20" t="n"/>
      <c r="I464" s="20" t="n"/>
      <c r="J464" s="20" t="n"/>
    </row>
    <row r="465" ht="16.5" customFormat="1" customHeight="1" s="12">
      <c r="A465" s="17" t="n">
        <v>460</v>
      </c>
      <c r="B465" s="25" t="n"/>
      <c r="C465" s="41" t="n"/>
      <c r="D465" s="41" t="n"/>
      <c r="E465" s="41" t="n"/>
      <c r="F465" s="41" t="n"/>
      <c r="G465" s="42" t="n"/>
      <c r="H465" s="20" t="n"/>
      <c r="I465" s="20" t="n"/>
      <c r="J465" s="20" t="n"/>
    </row>
    <row r="466" ht="16.5" customFormat="1" customHeight="1" s="12">
      <c r="A466" s="17" t="n">
        <v>461</v>
      </c>
      <c r="B466" s="25" t="n"/>
      <c r="C466" s="41" t="n"/>
      <c r="D466" s="41" t="n"/>
      <c r="E466" s="41" t="n"/>
      <c r="F466" s="41" t="n"/>
      <c r="G466" s="42" t="n"/>
      <c r="H466" s="20" t="n"/>
      <c r="I466" s="20" t="n"/>
      <c r="J466" s="20" t="n"/>
    </row>
    <row r="467" ht="16.5" customFormat="1" customHeight="1" s="12">
      <c r="A467" s="17" t="n">
        <v>462</v>
      </c>
      <c r="B467" s="25" t="n"/>
      <c r="C467" s="41" t="n"/>
      <c r="D467" s="41" t="n"/>
      <c r="E467" s="41" t="n"/>
      <c r="F467" s="41" t="n"/>
      <c r="G467" s="42" t="n"/>
      <c r="H467" s="20" t="n"/>
      <c r="I467" s="20" t="n"/>
      <c r="J467" s="20" t="n"/>
    </row>
    <row r="468" ht="16.5" customFormat="1" customHeight="1" s="12">
      <c r="A468" s="17" t="n">
        <v>463</v>
      </c>
      <c r="B468" s="25" t="n"/>
      <c r="C468" s="41" t="n"/>
      <c r="D468" s="41" t="n"/>
      <c r="E468" s="41" t="n"/>
      <c r="F468" s="41" t="n"/>
      <c r="G468" s="42" t="n"/>
      <c r="H468" s="20" t="n"/>
      <c r="I468" s="20" t="n"/>
      <c r="J468" s="20" t="n"/>
    </row>
    <row r="469" ht="16.5" customFormat="1" customHeight="1" s="12">
      <c r="A469" s="17" t="n">
        <v>464</v>
      </c>
      <c r="B469" s="25" t="n"/>
      <c r="C469" s="41" t="n"/>
      <c r="D469" s="41" t="n"/>
      <c r="E469" s="41" t="n"/>
      <c r="F469" s="41" t="n"/>
      <c r="G469" s="42" t="n"/>
      <c r="H469" s="20" t="n"/>
      <c r="I469" s="20" t="n"/>
      <c r="J469" s="20" t="n"/>
    </row>
    <row r="470" ht="16.5" customFormat="1" customHeight="1" s="12">
      <c r="A470" s="17" t="n">
        <v>465</v>
      </c>
      <c r="B470" s="25" t="n"/>
      <c r="C470" s="41" t="n"/>
      <c r="D470" s="41" t="n"/>
      <c r="E470" s="41" t="n"/>
      <c r="F470" s="41" t="n"/>
      <c r="G470" s="42" t="n"/>
      <c r="H470" s="20" t="n"/>
      <c r="I470" s="20" t="n"/>
      <c r="J470" s="20" t="n"/>
    </row>
    <row r="471" ht="16.5" customFormat="1" customHeight="1" s="12">
      <c r="A471" s="17" t="n">
        <v>466</v>
      </c>
      <c r="B471" s="25" t="n"/>
      <c r="C471" s="41" t="n"/>
      <c r="D471" s="41" t="n"/>
      <c r="E471" s="41" t="n"/>
      <c r="F471" s="41" t="n"/>
      <c r="G471" s="42" t="n"/>
      <c r="H471" s="20" t="n"/>
      <c r="I471" s="20" t="n"/>
      <c r="J471" s="20" t="n"/>
    </row>
    <row r="472" ht="16.5" customFormat="1" customHeight="1" s="12">
      <c r="A472" s="17" t="n">
        <v>467</v>
      </c>
      <c r="B472" s="25" t="n"/>
      <c r="C472" s="41" t="n"/>
      <c r="D472" s="41" t="n"/>
      <c r="E472" s="41" t="n"/>
      <c r="F472" s="41" t="n"/>
      <c r="G472" s="42" t="n"/>
      <c r="H472" s="20" t="n"/>
      <c r="I472" s="20" t="n"/>
      <c r="J472" s="20" t="n"/>
    </row>
    <row r="473" ht="16.5" customFormat="1" customHeight="1" s="12">
      <c r="A473" s="17" t="n">
        <v>468</v>
      </c>
      <c r="B473" s="25" t="n"/>
      <c r="C473" s="41" t="n"/>
      <c r="D473" s="41" t="n"/>
      <c r="E473" s="41" t="n"/>
      <c r="F473" s="41" t="n"/>
      <c r="G473" s="42" t="n"/>
      <c r="H473" s="20" t="n"/>
      <c r="I473" s="20" t="n"/>
      <c r="J473" s="20" t="n"/>
    </row>
    <row r="474" ht="16.5" customFormat="1" customHeight="1" s="12">
      <c r="A474" s="17" t="n">
        <v>469</v>
      </c>
      <c r="B474" s="25" t="n"/>
      <c r="C474" s="41" t="n"/>
      <c r="D474" s="41" t="n"/>
      <c r="E474" s="41" t="n"/>
      <c r="F474" s="41" t="n"/>
      <c r="G474" s="42" t="n"/>
      <c r="H474" s="20" t="n"/>
      <c r="I474" s="20" t="n"/>
      <c r="J474" s="20" t="n"/>
    </row>
    <row r="475" ht="16.5" customFormat="1" customHeight="1" s="12">
      <c r="A475" s="17" t="n">
        <v>470</v>
      </c>
      <c r="B475" s="25" t="n"/>
      <c r="C475" s="41" t="n"/>
      <c r="D475" s="41" t="n"/>
      <c r="E475" s="41" t="n"/>
      <c r="F475" s="41" t="n"/>
      <c r="G475" s="42" t="n"/>
      <c r="H475" s="20" t="n"/>
      <c r="I475" s="20" t="n"/>
      <c r="J475" s="20" t="n"/>
    </row>
    <row r="476" ht="16.5" customFormat="1" customHeight="1" s="12">
      <c r="A476" s="17" t="n">
        <v>471</v>
      </c>
      <c r="B476" s="25" t="n"/>
      <c r="C476" s="41" t="n"/>
      <c r="D476" s="41" t="n"/>
      <c r="E476" s="41" t="n"/>
      <c r="F476" s="41" t="n"/>
      <c r="G476" s="42" t="n"/>
      <c r="H476" s="20" t="n"/>
      <c r="I476" s="20" t="n"/>
      <c r="J476" s="20" t="n"/>
    </row>
    <row r="477" ht="16.5" customFormat="1" customHeight="1" s="12">
      <c r="A477" s="17" t="n">
        <v>472</v>
      </c>
      <c r="B477" s="25" t="n"/>
      <c r="C477" s="41" t="n"/>
      <c r="D477" s="41" t="n"/>
      <c r="E477" s="41" t="n"/>
      <c r="F477" s="41" t="n"/>
      <c r="G477" s="42" t="n"/>
      <c r="H477" s="20" t="n"/>
      <c r="I477" s="20" t="n"/>
      <c r="J477" s="20" t="n"/>
    </row>
    <row r="478" ht="16.5" customFormat="1" customHeight="1" s="12">
      <c r="A478" s="17" t="n">
        <v>473</v>
      </c>
      <c r="B478" s="25" t="n"/>
      <c r="C478" s="41" t="n"/>
      <c r="D478" s="41" t="n"/>
      <c r="E478" s="41" t="n"/>
      <c r="F478" s="41" t="n"/>
      <c r="G478" s="42" t="n"/>
      <c r="H478" s="20" t="n"/>
      <c r="I478" s="20" t="n"/>
      <c r="J478" s="20" t="n"/>
    </row>
    <row r="479" ht="16.5" customFormat="1" customHeight="1" s="12">
      <c r="A479" s="17" t="n">
        <v>474</v>
      </c>
      <c r="B479" s="25" t="n"/>
      <c r="C479" s="41" t="n"/>
      <c r="D479" s="41" t="n"/>
      <c r="E479" s="41" t="n"/>
      <c r="F479" s="41" t="n"/>
      <c r="G479" s="42" t="n"/>
      <c r="H479" s="20" t="n"/>
      <c r="I479" s="20" t="n"/>
      <c r="J479" s="20" t="n"/>
    </row>
    <row r="480" ht="16.5" customFormat="1" customHeight="1" s="12">
      <c r="A480" s="17" t="n">
        <v>475</v>
      </c>
      <c r="B480" s="25" t="n"/>
      <c r="C480" s="41" t="n"/>
      <c r="D480" s="41" t="n"/>
      <c r="E480" s="41" t="n"/>
      <c r="F480" s="41" t="n"/>
      <c r="G480" s="42" t="n"/>
      <c r="H480" s="20" t="n"/>
      <c r="I480" s="20" t="n"/>
      <c r="J480" s="20" t="n"/>
    </row>
    <row r="481" ht="16.5" customFormat="1" customHeight="1" s="12">
      <c r="A481" s="17" t="n">
        <v>476</v>
      </c>
      <c r="B481" s="25" t="n"/>
      <c r="C481" s="41" t="n"/>
      <c r="D481" s="41" t="n"/>
      <c r="E481" s="41" t="n"/>
      <c r="F481" s="41" t="n"/>
      <c r="G481" s="42" t="n"/>
      <c r="H481" s="20" t="n"/>
      <c r="I481" s="20" t="n"/>
      <c r="J481" s="20" t="n"/>
    </row>
    <row r="482" ht="16.5" customFormat="1" customHeight="1" s="12">
      <c r="A482" s="17" t="n">
        <v>477</v>
      </c>
      <c r="B482" s="25" t="n"/>
      <c r="C482" s="41" t="n"/>
      <c r="D482" s="41" t="n"/>
      <c r="E482" s="41" t="n"/>
      <c r="F482" s="41" t="n"/>
      <c r="G482" s="42" t="n"/>
      <c r="H482" s="20" t="n"/>
      <c r="I482" s="20" t="n"/>
      <c r="J482" s="20" t="n"/>
    </row>
    <row r="483" ht="16.5" customFormat="1" customHeight="1" s="12">
      <c r="A483" s="17" t="n">
        <v>478</v>
      </c>
      <c r="B483" s="25" t="n"/>
      <c r="C483" s="41" t="n"/>
      <c r="D483" s="41" t="n"/>
      <c r="E483" s="41" t="n"/>
      <c r="F483" s="41" t="n"/>
      <c r="G483" s="42" t="n"/>
      <c r="H483" s="20" t="n"/>
      <c r="I483" s="20" t="n"/>
      <c r="J483" s="20" t="n"/>
    </row>
    <row r="484" ht="16.5" customFormat="1" customHeight="1" s="12">
      <c r="A484" s="17" t="n">
        <v>479</v>
      </c>
      <c r="B484" s="25" t="n"/>
      <c r="C484" s="41" t="n"/>
      <c r="D484" s="41" t="n"/>
      <c r="E484" s="41" t="n"/>
      <c r="F484" s="41" t="n"/>
      <c r="G484" s="42" t="n"/>
      <c r="H484" s="20" t="n"/>
      <c r="I484" s="20" t="n"/>
      <c r="J484" s="20" t="n"/>
    </row>
    <row r="485" ht="16.5" customFormat="1" customHeight="1" s="12">
      <c r="A485" s="17" t="n">
        <v>480</v>
      </c>
      <c r="B485" s="25" t="n"/>
      <c r="C485" s="41" t="n"/>
      <c r="D485" s="41" t="n"/>
      <c r="E485" s="41" t="n"/>
      <c r="F485" s="41" t="n"/>
      <c r="G485" s="42" t="n"/>
      <c r="H485" s="20" t="n"/>
      <c r="I485" s="20" t="n"/>
      <c r="J485" s="20" t="n"/>
    </row>
    <row r="486" ht="16.5" customFormat="1" customHeight="1" s="12">
      <c r="A486" s="17" t="n">
        <v>481</v>
      </c>
      <c r="B486" s="25" t="n"/>
      <c r="C486" s="41" t="n"/>
      <c r="D486" s="41" t="n"/>
      <c r="E486" s="41" t="n"/>
      <c r="F486" s="41" t="n"/>
      <c r="G486" s="42" t="n"/>
      <c r="H486" s="20" t="n"/>
      <c r="I486" s="20" t="n"/>
      <c r="J486" s="20" t="n"/>
    </row>
    <row r="487" ht="16.5" customFormat="1" customHeight="1" s="12">
      <c r="A487" s="17" t="n">
        <v>482</v>
      </c>
      <c r="B487" s="25" t="n"/>
      <c r="C487" s="41" t="n"/>
      <c r="D487" s="41" t="n"/>
      <c r="E487" s="41" t="n"/>
      <c r="F487" s="41" t="n"/>
      <c r="G487" s="42" t="n"/>
      <c r="H487" s="20" t="n"/>
      <c r="I487" s="20" t="n"/>
      <c r="J487" s="20" t="n"/>
    </row>
    <row r="488" ht="16.5" customFormat="1" customHeight="1" s="12">
      <c r="A488" s="17" t="n">
        <v>483</v>
      </c>
      <c r="B488" s="25" t="n"/>
      <c r="C488" s="41" t="n"/>
      <c r="D488" s="41" t="n"/>
      <c r="E488" s="41" t="n"/>
      <c r="F488" s="41" t="n"/>
      <c r="G488" s="42" t="n"/>
      <c r="H488" s="20" t="n"/>
      <c r="I488" s="20" t="n"/>
      <c r="J488" s="20" t="n"/>
    </row>
    <row r="489" ht="16.5" customFormat="1" customHeight="1" s="12">
      <c r="A489" s="17" t="n">
        <v>484</v>
      </c>
      <c r="B489" s="25" t="n"/>
      <c r="C489" s="41" t="n"/>
      <c r="D489" s="41" t="n"/>
      <c r="E489" s="41" t="n"/>
      <c r="F489" s="41" t="n"/>
      <c r="G489" s="42" t="n"/>
      <c r="H489" s="20" t="n"/>
      <c r="I489" s="20" t="n"/>
      <c r="J489" s="20" t="n"/>
    </row>
    <row r="490" ht="16.5" customFormat="1" customHeight="1" s="12">
      <c r="A490" s="17" t="n">
        <v>485</v>
      </c>
      <c r="B490" s="25" t="n"/>
      <c r="C490" s="41" t="n"/>
      <c r="D490" s="41" t="n"/>
      <c r="E490" s="41" t="n"/>
      <c r="F490" s="41" t="n"/>
      <c r="G490" s="42" t="n"/>
      <c r="H490" s="20" t="n"/>
      <c r="I490" s="20" t="n"/>
      <c r="J490" s="20" t="n"/>
    </row>
    <row r="491" ht="16.5" customFormat="1" customHeight="1" s="12">
      <c r="A491" s="17" t="n">
        <v>486</v>
      </c>
      <c r="B491" s="25" t="n"/>
      <c r="C491" s="41" t="n"/>
      <c r="D491" s="41" t="n"/>
      <c r="E491" s="41" t="n"/>
      <c r="F491" s="41" t="n"/>
      <c r="G491" s="42" t="n"/>
      <c r="H491" s="20" t="n"/>
      <c r="I491" s="20" t="n"/>
      <c r="J491" s="20" t="n"/>
    </row>
    <row r="492" ht="16.5" customFormat="1" customHeight="1" s="12">
      <c r="A492" s="17" t="n">
        <v>487</v>
      </c>
      <c r="B492" s="25" t="n"/>
      <c r="C492" s="41" t="n"/>
      <c r="D492" s="41" t="n"/>
      <c r="E492" s="41" t="n"/>
      <c r="F492" s="41" t="n"/>
      <c r="G492" s="42" t="n"/>
      <c r="H492" s="20" t="n"/>
      <c r="I492" s="20" t="n"/>
      <c r="J492" s="20" t="n"/>
    </row>
    <row r="493" ht="16.5" customFormat="1" customHeight="1" s="12">
      <c r="A493" s="17" t="n">
        <v>488</v>
      </c>
      <c r="B493" s="25" t="n"/>
      <c r="C493" s="41" t="n"/>
      <c r="D493" s="41" t="n"/>
      <c r="E493" s="41" t="n"/>
      <c r="F493" s="41" t="n"/>
      <c r="G493" s="42" t="n"/>
      <c r="H493" s="20" t="n"/>
      <c r="I493" s="20" t="n"/>
      <c r="J493" s="20" t="n"/>
    </row>
    <row r="494" ht="16.5" customFormat="1" customHeight="1" s="12">
      <c r="A494" s="17" t="n">
        <v>489</v>
      </c>
      <c r="B494" s="25" t="n"/>
      <c r="C494" s="41" t="n"/>
      <c r="D494" s="41" t="n"/>
      <c r="E494" s="41" t="n"/>
      <c r="F494" s="41" t="n"/>
      <c r="G494" s="42" t="n"/>
      <c r="H494" s="20" t="n"/>
      <c r="I494" s="20" t="n"/>
      <c r="J494" s="20" t="n"/>
    </row>
    <row r="495" ht="16.5" customFormat="1" customHeight="1" s="12">
      <c r="A495" s="17" t="n">
        <v>490</v>
      </c>
      <c r="B495" s="25" t="n"/>
      <c r="C495" s="41" t="n"/>
      <c r="D495" s="41" t="n"/>
      <c r="E495" s="41" t="n"/>
      <c r="F495" s="41" t="n"/>
      <c r="G495" s="42" t="n"/>
      <c r="H495" s="20" t="n"/>
      <c r="I495" s="20" t="n"/>
      <c r="J495" s="20" t="n"/>
    </row>
    <row r="496" ht="16.5" customFormat="1" customHeight="1" s="12">
      <c r="A496" s="17" t="n">
        <v>491</v>
      </c>
      <c r="B496" s="25" t="n"/>
      <c r="C496" s="41" t="n"/>
      <c r="D496" s="41" t="n"/>
      <c r="E496" s="41" t="n"/>
      <c r="F496" s="41" t="n"/>
      <c r="G496" s="42" t="n"/>
      <c r="H496" s="20" t="n"/>
      <c r="I496" s="20" t="n"/>
      <c r="J496" s="20" t="n"/>
    </row>
    <row r="497" ht="16.5" customFormat="1" customHeight="1" s="12">
      <c r="A497" s="17" t="n">
        <v>492</v>
      </c>
      <c r="B497" s="25" t="n"/>
      <c r="C497" s="41" t="n"/>
      <c r="D497" s="41" t="n"/>
      <c r="E497" s="41" t="n"/>
      <c r="F497" s="41" t="n"/>
      <c r="G497" s="42" t="n"/>
      <c r="H497" s="20" t="n"/>
      <c r="I497" s="20" t="n"/>
      <c r="J497" s="20" t="n"/>
    </row>
    <row r="498" ht="16.5" customFormat="1" customHeight="1" s="12">
      <c r="A498" s="17" t="n">
        <v>493</v>
      </c>
      <c r="B498" s="25" t="n"/>
      <c r="C498" s="41" t="n"/>
      <c r="D498" s="41" t="n"/>
      <c r="E498" s="41" t="n"/>
      <c r="F498" s="41" t="n"/>
      <c r="G498" s="42" t="n"/>
      <c r="H498" s="20" t="n"/>
      <c r="I498" s="20" t="n"/>
      <c r="J498" s="20" t="n"/>
    </row>
    <row r="499" ht="16.5" customFormat="1" customHeight="1" s="12">
      <c r="A499" s="17" t="n">
        <v>494</v>
      </c>
      <c r="B499" s="25" t="n"/>
      <c r="C499" s="41" t="n"/>
      <c r="D499" s="41" t="n"/>
      <c r="E499" s="41" t="n"/>
      <c r="F499" s="41" t="n"/>
      <c r="G499" s="42" t="n"/>
      <c r="H499" s="20" t="n"/>
      <c r="I499" s="20" t="n"/>
      <c r="J499" s="20" t="n"/>
    </row>
    <row r="500" ht="16.5" customFormat="1" customHeight="1" s="12">
      <c r="A500" s="17" t="n">
        <v>495</v>
      </c>
      <c r="B500" s="25" t="n"/>
      <c r="C500" s="41" t="n"/>
      <c r="D500" s="41" t="n"/>
      <c r="E500" s="41" t="n"/>
      <c r="F500" s="41" t="n"/>
      <c r="G500" s="42" t="n"/>
      <c r="H500" s="20" t="n"/>
      <c r="I500" s="20" t="n"/>
      <c r="J500" s="20" t="n"/>
    </row>
    <row r="501" ht="16.5" customFormat="1" customHeight="1" s="12">
      <c r="A501" s="17" t="n">
        <v>496</v>
      </c>
      <c r="B501" s="25" t="n"/>
      <c r="C501" s="41" t="n"/>
      <c r="D501" s="41" t="n"/>
      <c r="E501" s="41" t="n"/>
      <c r="F501" s="41" t="n"/>
      <c r="G501" s="42" t="n"/>
      <c r="H501" s="20" t="n"/>
      <c r="I501" s="20" t="n"/>
      <c r="J501" s="20" t="n"/>
    </row>
    <row r="502" ht="16.5" customFormat="1" customHeight="1" s="12">
      <c r="A502" s="17" t="n">
        <v>497</v>
      </c>
      <c r="B502" s="25" t="n"/>
      <c r="C502" s="41" t="n"/>
      <c r="D502" s="41" t="n"/>
      <c r="E502" s="41" t="n"/>
      <c r="F502" s="41" t="n"/>
      <c r="G502" s="42" t="n"/>
      <c r="H502" s="20" t="n"/>
      <c r="I502" s="20" t="n"/>
      <c r="J502" s="20" t="n"/>
    </row>
    <row r="503" ht="16.5" customFormat="1" customHeight="1" s="12">
      <c r="A503" s="17" t="n">
        <v>498</v>
      </c>
      <c r="B503" s="25" t="n"/>
      <c r="C503" s="41" t="n"/>
      <c r="D503" s="41" t="n"/>
      <c r="E503" s="41" t="n"/>
      <c r="F503" s="41" t="n"/>
      <c r="G503" s="42" t="n"/>
      <c r="H503" s="20" t="n"/>
      <c r="I503" s="20" t="n"/>
      <c r="J503" s="20" t="n"/>
    </row>
    <row r="504" ht="16.5" customFormat="1" customHeight="1" s="12">
      <c r="A504" s="17" t="n">
        <v>499</v>
      </c>
      <c r="B504" s="25" t="n"/>
      <c r="C504" s="41" t="n"/>
      <c r="D504" s="41" t="n"/>
      <c r="E504" s="41" t="n"/>
      <c r="F504" s="41" t="n"/>
      <c r="G504" s="42" t="n"/>
      <c r="H504" s="20" t="n"/>
      <c r="I504" s="20" t="n"/>
      <c r="J504" s="20" t="n"/>
    </row>
    <row r="505" ht="16.5" customFormat="1" customHeight="1" s="12">
      <c r="A505" s="17" t="n">
        <v>500</v>
      </c>
      <c r="B505" s="25" t="n"/>
      <c r="C505" s="41" t="n"/>
      <c r="D505" s="41" t="n"/>
      <c r="E505" s="41" t="n"/>
      <c r="F505" s="41" t="n"/>
      <c r="G505" s="42" t="n"/>
      <c r="H505" s="20" t="n"/>
      <c r="I505" s="20" t="n"/>
      <c r="J505" s="20" t="n"/>
    </row>
    <row r="506" ht="16.5" customFormat="1" customHeight="1" s="12">
      <c r="A506" s="11" t="n"/>
      <c r="B506" s="11" t="n"/>
      <c r="C506" s="23" t="n"/>
      <c r="D506" s="11" t="n"/>
      <c r="E506" s="11" t="n"/>
      <c r="F506" s="11" t="n"/>
      <c r="G506" s="1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517">
    <mergeCell ref="F408:G408"/>
    <mergeCell ref="F237:G237"/>
    <mergeCell ref="F473:G473"/>
    <mergeCell ref="F116:G116"/>
    <mergeCell ref="F16:G16"/>
    <mergeCell ref="F187:G187"/>
    <mergeCell ref="F485:G485"/>
    <mergeCell ref="F103:G103"/>
    <mergeCell ref="F423:G423"/>
    <mergeCell ref="F174:G174"/>
    <mergeCell ref="F108:G108"/>
    <mergeCell ref="F472:G472"/>
    <mergeCell ref="F339:G339"/>
    <mergeCell ref="F410:G410"/>
    <mergeCell ref="F466:G466"/>
    <mergeCell ref="F168:G168"/>
    <mergeCell ref="F143:G143"/>
    <mergeCell ref="F118:G118"/>
    <mergeCell ref="F403:G403"/>
    <mergeCell ref="F497:G497"/>
    <mergeCell ref="F326:G326"/>
    <mergeCell ref="F70:G70"/>
    <mergeCell ref="F263:G263"/>
    <mergeCell ref="F355:G355"/>
    <mergeCell ref="F134:G134"/>
    <mergeCell ref="F23:G23"/>
    <mergeCell ref="F121:G121"/>
    <mergeCell ref="F357:G357"/>
    <mergeCell ref="F96:G96"/>
    <mergeCell ref="F71:G71"/>
    <mergeCell ref="F332:G332"/>
    <mergeCell ref="F421:G421"/>
    <mergeCell ref="F98:G98"/>
    <mergeCell ref="F396:G396"/>
    <mergeCell ref="F175:G175"/>
    <mergeCell ref="F162:G162"/>
    <mergeCell ref="F398:G398"/>
    <mergeCell ref="F251:G251"/>
    <mergeCell ref="F322:G322"/>
    <mergeCell ref="F189:G189"/>
    <mergeCell ref="F18:G18"/>
    <mergeCell ref="F487:G487"/>
    <mergeCell ref="F238:G238"/>
    <mergeCell ref="F42:G42"/>
    <mergeCell ref="F45:G45"/>
    <mergeCell ref="F474:G474"/>
    <mergeCell ref="F66:G66"/>
    <mergeCell ref="F17:G17"/>
    <mergeCell ref="F126:G126"/>
    <mergeCell ref="F188:G188"/>
    <mergeCell ref="F253:G253"/>
    <mergeCell ref="F109:G109"/>
    <mergeCell ref="F351:G351"/>
    <mergeCell ref="F47:G47"/>
    <mergeCell ref="F411:G411"/>
    <mergeCell ref="F345:G345"/>
    <mergeCell ref="F240:G240"/>
    <mergeCell ref="F190:G190"/>
    <mergeCell ref="F46:G46"/>
    <mergeCell ref="F488:G488"/>
    <mergeCell ref="F317:G317"/>
    <mergeCell ref="F111:G111"/>
    <mergeCell ref="F409:G409"/>
    <mergeCell ref="F61:G61"/>
    <mergeCell ref="F48:G48"/>
    <mergeCell ref="F346:G346"/>
    <mergeCell ref="F477:G477"/>
    <mergeCell ref="F73:G73"/>
    <mergeCell ref="F266:G266"/>
    <mergeCell ref="F371:G371"/>
    <mergeCell ref="F442:G442"/>
    <mergeCell ref="F502:G502"/>
    <mergeCell ref="B6:E6"/>
    <mergeCell ref="F137:G137"/>
    <mergeCell ref="F379:G379"/>
    <mergeCell ref="F208:G208"/>
    <mergeCell ref="F124:G124"/>
    <mergeCell ref="F422:G422"/>
    <mergeCell ref="F493:G493"/>
    <mergeCell ref="F360:G360"/>
    <mergeCell ref="F201:G201"/>
    <mergeCell ref="F335:G335"/>
    <mergeCell ref="F164:G164"/>
    <mergeCell ref="F406:G406"/>
    <mergeCell ref="F139:G139"/>
    <mergeCell ref="F114:G114"/>
    <mergeCell ref="F424:G424"/>
    <mergeCell ref="F399:G399"/>
    <mergeCell ref="F228:G228"/>
    <mergeCell ref="F470:G470"/>
    <mergeCell ref="F203:G203"/>
    <mergeCell ref="F259:G259"/>
    <mergeCell ref="F495:G495"/>
    <mergeCell ref="F261:G261"/>
    <mergeCell ref="F117:G117"/>
    <mergeCell ref="F92:G92"/>
    <mergeCell ref="F353:G353"/>
    <mergeCell ref="F254:G254"/>
    <mergeCell ref="F496:G496"/>
    <mergeCell ref="F490:G490"/>
    <mergeCell ref="F290:G290"/>
    <mergeCell ref="F119:G119"/>
    <mergeCell ref="F417:G417"/>
    <mergeCell ref="F69:G69"/>
    <mergeCell ref="F367:G367"/>
    <mergeCell ref="F427:G427"/>
    <mergeCell ref="F256:G256"/>
    <mergeCell ref="F498:G498"/>
    <mergeCell ref="F112:G112"/>
    <mergeCell ref="F354:G354"/>
    <mergeCell ref="F183:G183"/>
    <mergeCell ref="F348:G348"/>
    <mergeCell ref="F419:G419"/>
    <mergeCell ref="F193:G193"/>
    <mergeCell ref="F127:G127"/>
    <mergeCell ref="F285:G285"/>
    <mergeCell ref="A3:A4"/>
    <mergeCell ref="F51:G51"/>
    <mergeCell ref="F145:G145"/>
    <mergeCell ref="F443:G443"/>
    <mergeCell ref="F272:G272"/>
    <mergeCell ref="I5:I6"/>
    <mergeCell ref="F380:G380"/>
    <mergeCell ref="F209:G209"/>
    <mergeCell ref="F38:G38"/>
    <mergeCell ref="F274:G274"/>
    <mergeCell ref="F445:G445"/>
    <mergeCell ref="F432:G432"/>
    <mergeCell ref="F140:G140"/>
    <mergeCell ref="F382:G382"/>
    <mergeCell ref="F211:G211"/>
    <mergeCell ref="F67:G67"/>
    <mergeCell ref="F338:G338"/>
    <mergeCell ref="F186:G186"/>
    <mergeCell ref="F82:G82"/>
    <mergeCell ref="F440:G440"/>
    <mergeCell ref="F269:G269"/>
    <mergeCell ref="F486:G486"/>
    <mergeCell ref="F206:G206"/>
    <mergeCell ref="F29:G29"/>
    <mergeCell ref="F300:G300"/>
    <mergeCell ref="F344:G344"/>
    <mergeCell ref="F329:G329"/>
    <mergeCell ref="F158:G158"/>
    <mergeCell ref="F133:G133"/>
    <mergeCell ref="F369:G369"/>
    <mergeCell ref="F418:G418"/>
    <mergeCell ref="F356:G356"/>
    <mergeCell ref="F160:G160"/>
    <mergeCell ref="F135:G135"/>
    <mergeCell ref="F433:G433"/>
    <mergeCell ref="F122:G122"/>
    <mergeCell ref="F153:G153"/>
    <mergeCell ref="F420:G420"/>
    <mergeCell ref="F224:G224"/>
    <mergeCell ref="F491:G491"/>
    <mergeCell ref="F72:G72"/>
    <mergeCell ref="F370:G370"/>
    <mergeCell ref="F199:G199"/>
    <mergeCell ref="F435:G435"/>
    <mergeCell ref="F484:G484"/>
    <mergeCell ref="F293:G293"/>
    <mergeCell ref="F88:G88"/>
    <mergeCell ref="F359:G359"/>
    <mergeCell ref="F148:G148"/>
    <mergeCell ref="F446:G446"/>
    <mergeCell ref="F275:G275"/>
    <mergeCell ref="F54:G54"/>
    <mergeCell ref="B3:B4"/>
    <mergeCell ref="F19:G19"/>
    <mergeCell ref="F212:G212"/>
    <mergeCell ref="F146:G146"/>
    <mergeCell ref="F388:G388"/>
    <mergeCell ref="F6:G6"/>
    <mergeCell ref="F448:G448"/>
    <mergeCell ref="F277:G277"/>
    <mergeCell ref="F304:G304"/>
    <mergeCell ref="F375:G375"/>
    <mergeCell ref="F83:G83"/>
    <mergeCell ref="F276:G276"/>
    <mergeCell ref="F214:G214"/>
    <mergeCell ref="F319:G319"/>
    <mergeCell ref="F368:G368"/>
    <mergeCell ref="F306:G306"/>
    <mergeCell ref="F20:G20"/>
    <mergeCell ref="F85:G85"/>
    <mergeCell ref="F383:G383"/>
    <mergeCell ref="F464:G464"/>
    <mergeCell ref="F303:G303"/>
    <mergeCell ref="F401:G401"/>
    <mergeCell ref="F230:G230"/>
    <mergeCell ref="F9:G9"/>
    <mergeCell ref="F167:G167"/>
    <mergeCell ref="F161:G161"/>
    <mergeCell ref="F288:G288"/>
    <mergeCell ref="F459:G459"/>
    <mergeCell ref="F136:G136"/>
    <mergeCell ref="F207:G207"/>
    <mergeCell ref="F225:G225"/>
    <mergeCell ref="F461:G461"/>
    <mergeCell ref="F271:G271"/>
    <mergeCell ref="F436:G436"/>
    <mergeCell ref="F227:G227"/>
    <mergeCell ref="F202:G202"/>
    <mergeCell ref="F283:G283"/>
    <mergeCell ref="F298:G298"/>
    <mergeCell ref="F154:G154"/>
    <mergeCell ref="F325:G325"/>
    <mergeCell ref="F390:G390"/>
    <mergeCell ref="F414:G414"/>
    <mergeCell ref="F291:G291"/>
    <mergeCell ref="F91:G91"/>
    <mergeCell ref="F389:G389"/>
    <mergeCell ref="F327:G327"/>
    <mergeCell ref="F156:G156"/>
    <mergeCell ref="F454:G454"/>
    <mergeCell ref="F180:G180"/>
    <mergeCell ref="H3:H4"/>
    <mergeCell ref="F416:G416"/>
    <mergeCell ref="J3:J4"/>
    <mergeCell ref="F22:G22"/>
    <mergeCell ref="F155:G155"/>
    <mergeCell ref="F264:G264"/>
    <mergeCell ref="F93:G93"/>
    <mergeCell ref="F149:G149"/>
    <mergeCell ref="F220:G220"/>
    <mergeCell ref="F391:G391"/>
    <mergeCell ref="F385:G385"/>
    <mergeCell ref="H5:H6"/>
    <mergeCell ref="J5:J6"/>
    <mergeCell ref="F151:G151"/>
    <mergeCell ref="F222:G222"/>
    <mergeCell ref="C1:E1"/>
    <mergeCell ref="F182:G182"/>
    <mergeCell ref="F11:G11"/>
    <mergeCell ref="F467:G467"/>
    <mergeCell ref="F296:G296"/>
    <mergeCell ref="F246:G246"/>
    <mergeCell ref="F40:G40"/>
    <mergeCell ref="F233:G233"/>
    <mergeCell ref="F469:G469"/>
    <mergeCell ref="F12:G12"/>
    <mergeCell ref="F177:G177"/>
    <mergeCell ref="F444:G444"/>
    <mergeCell ref="F248:G248"/>
    <mergeCell ref="F104:G104"/>
    <mergeCell ref="F297:G297"/>
    <mergeCell ref="F235:G235"/>
    <mergeCell ref="F462:G462"/>
    <mergeCell ref="F340:G340"/>
    <mergeCell ref="F41:G41"/>
    <mergeCell ref="F35:G35"/>
    <mergeCell ref="F302:G302"/>
    <mergeCell ref="F106:G106"/>
    <mergeCell ref="F404:G404"/>
    <mergeCell ref="F243:G243"/>
    <mergeCell ref="F366:G366"/>
    <mergeCell ref="F130:G130"/>
    <mergeCell ref="F480:G480"/>
    <mergeCell ref="F157:G157"/>
    <mergeCell ref="F132:G132"/>
    <mergeCell ref="F328:G328"/>
    <mergeCell ref="F455:G455"/>
    <mergeCell ref="F430:G430"/>
    <mergeCell ref="F234:G234"/>
    <mergeCell ref="F172:G172"/>
    <mergeCell ref="F221:G221"/>
    <mergeCell ref="F196:G196"/>
    <mergeCell ref="F463:G463"/>
    <mergeCell ref="F392:G392"/>
    <mergeCell ref="F25:G25"/>
    <mergeCell ref="F457:G457"/>
    <mergeCell ref="F236:G236"/>
    <mergeCell ref="F394:G394"/>
    <mergeCell ref="F223:G223"/>
    <mergeCell ref="F173:G173"/>
    <mergeCell ref="I3:I4"/>
    <mergeCell ref="F458:G458"/>
    <mergeCell ref="F287:G287"/>
    <mergeCell ref="F247:G247"/>
    <mergeCell ref="F125:G125"/>
    <mergeCell ref="F318:G318"/>
    <mergeCell ref="F185:G185"/>
    <mergeCell ref="F483:G483"/>
    <mergeCell ref="F312:G312"/>
    <mergeCell ref="F13:G13"/>
    <mergeCell ref="F56:G56"/>
    <mergeCell ref="F249:G249"/>
    <mergeCell ref="F105:G105"/>
    <mergeCell ref="F347:G347"/>
    <mergeCell ref="F176:G176"/>
    <mergeCell ref="F43:G43"/>
    <mergeCell ref="F341:G341"/>
    <mergeCell ref="F170:G170"/>
    <mergeCell ref="F412:G412"/>
    <mergeCell ref="F468:G468"/>
    <mergeCell ref="F120:G120"/>
    <mergeCell ref="F313:G313"/>
    <mergeCell ref="F278:G278"/>
    <mergeCell ref="F107:G107"/>
    <mergeCell ref="F349:G349"/>
    <mergeCell ref="F405:G405"/>
    <mergeCell ref="F57:G57"/>
    <mergeCell ref="F171:G171"/>
    <mergeCell ref="F407:G407"/>
    <mergeCell ref="F438:G438"/>
    <mergeCell ref="F267:G267"/>
    <mergeCell ref="F204:G204"/>
    <mergeCell ref="F33:G33"/>
    <mergeCell ref="D3:D4"/>
    <mergeCell ref="F198:G198"/>
    <mergeCell ref="F465:G465"/>
    <mergeCell ref="F489:G489"/>
    <mergeCell ref="F75:G75"/>
    <mergeCell ref="F231:G231"/>
    <mergeCell ref="F262:G262"/>
    <mergeCell ref="F62:G62"/>
    <mergeCell ref="F31:G31"/>
    <mergeCell ref="F273:G273"/>
    <mergeCell ref="F28:G28"/>
    <mergeCell ref="F239:G239"/>
    <mergeCell ref="F39:G39"/>
    <mergeCell ref="F337:G337"/>
    <mergeCell ref="F64:G64"/>
    <mergeCell ref="F257:G257"/>
    <mergeCell ref="F178:G178"/>
    <mergeCell ref="F476:G476"/>
    <mergeCell ref="F128:G128"/>
    <mergeCell ref="F426:G426"/>
    <mergeCell ref="F364:G364"/>
    <mergeCell ref="F413:G413"/>
    <mergeCell ref="F217:G217"/>
    <mergeCell ref="F478:G478"/>
    <mergeCell ref="F192:G192"/>
    <mergeCell ref="F21:G21"/>
    <mergeCell ref="F252:G252"/>
    <mergeCell ref="F428:G428"/>
    <mergeCell ref="F415:G415"/>
    <mergeCell ref="F194:G194"/>
    <mergeCell ref="F50:G50"/>
    <mergeCell ref="F492:G492"/>
    <mergeCell ref="F110:G110"/>
    <mergeCell ref="F181:G181"/>
    <mergeCell ref="F479:G479"/>
    <mergeCell ref="F141:G141"/>
    <mergeCell ref="F439:G439"/>
    <mergeCell ref="F504:G504"/>
    <mergeCell ref="F333:G333"/>
    <mergeCell ref="H1:J1"/>
    <mergeCell ref="F441:G441"/>
    <mergeCell ref="F270:G270"/>
    <mergeCell ref="F362:G362"/>
    <mergeCell ref="F245:G245"/>
    <mergeCell ref="F49:G49"/>
    <mergeCell ref="F14:G14"/>
    <mergeCell ref="F505:G505"/>
    <mergeCell ref="F1:G1"/>
    <mergeCell ref="F499:G499"/>
    <mergeCell ref="F299:G299"/>
    <mergeCell ref="F78:G78"/>
    <mergeCell ref="F205:G205"/>
    <mergeCell ref="F376:G376"/>
    <mergeCell ref="F314:G314"/>
    <mergeCell ref="F265:G265"/>
    <mergeCell ref="F65:G65"/>
    <mergeCell ref="F363:G363"/>
    <mergeCell ref="F55:G55"/>
    <mergeCell ref="F365:G365"/>
    <mergeCell ref="F169:G169"/>
    <mergeCell ref="F129:G129"/>
    <mergeCell ref="F200:G200"/>
    <mergeCell ref="F131:G131"/>
    <mergeCell ref="F429:G429"/>
    <mergeCell ref="F258:G258"/>
    <mergeCell ref="F500:G500"/>
    <mergeCell ref="F58:G58"/>
    <mergeCell ref="F52:G52"/>
    <mergeCell ref="F494:G494"/>
    <mergeCell ref="F294:G294"/>
    <mergeCell ref="F350:G350"/>
    <mergeCell ref="F37:G37"/>
    <mergeCell ref="F481:G481"/>
    <mergeCell ref="F195:G195"/>
    <mergeCell ref="F431:G431"/>
    <mergeCell ref="F260:G260"/>
    <mergeCell ref="F60:G60"/>
    <mergeCell ref="F358:G358"/>
    <mergeCell ref="F352:G352"/>
    <mergeCell ref="F197:G197"/>
    <mergeCell ref="F53:G53"/>
    <mergeCell ref="F289:G289"/>
    <mergeCell ref="F482:G482"/>
    <mergeCell ref="F68:G68"/>
    <mergeCell ref="F3:F4"/>
    <mergeCell ref="F84:G84"/>
    <mergeCell ref="F320:G320"/>
    <mergeCell ref="F447:G447"/>
    <mergeCell ref="F434:G434"/>
    <mergeCell ref="F15:G15"/>
    <mergeCell ref="F86:G86"/>
    <mergeCell ref="F142:G142"/>
    <mergeCell ref="F384:G384"/>
    <mergeCell ref="F213:G213"/>
    <mergeCell ref="F80:G80"/>
    <mergeCell ref="F378:G378"/>
    <mergeCell ref="F449:G449"/>
    <mergeCell ref="F79:G79"/>
    <mergeCell ref="F321:G321"/>
    <mergeCell ref="F315:G315"/>
    <mergeCell ref="F144:G144"/>
    <mergeCell ref="F215:G215"/>
    <mergeCell ref="F386:G386"/>
    <mergeCell ref="F373:G373"/>
    <mergeCell ref="F81:G81"/>
    <mergeCell ref="F460:G460"/>
    <mergeCell ref="F210:G210"/>
    <mergeCell ref="F381:G381"/>
    <mergeCell ref="F226:G226"/>
    <mergeCell ref="F437:G437"/>
    <mergeCell ref="F241:G241"/>
    <mergeCell ref="F284:G284"/>
    <mergeCell ref="F10:G10"/>
    <mergeCell ref="F63:G63"/>
    <mergeCell ref="F501:G501"/>
    <mergeCell ref="F34:G34"/>
    <mergeCell ref="F99:G99"/>
    <mergeCell ref="F292:G292"/>
    <mergeCell ref="F397:G397"/>
    <mergeCell ref="F286:G286"/>
    <mergeCell ref="F74:G74"/>
    <mergeCell ref="F372:G372"/>
    <mergeCell ref="F310:G310"/>
    <mergeCell ref="F503:G503"/>
    <mergeCell ref="F30:G30"/>
    <mergeCell ref="F138:G138"/>
    <mergeCell ref="F5:G5"/>
    <mergeCell ref="F76:G76"/>
    <mergeCell ref="F374:G374"/>
    <mergeCell ref="F94:G94"/>
    <mergeCell ref="F361:G361"/>
    <mergeCell ref="F150:G150"/>
    <mergeCell ref="F475:G475"/>
    <mergeCell ref="F323:G323"/>
    <mergeCell ref="F152:G152"/>
    <mergeCell ref="F450:G450"/>
    <mergeCell ref="F279:G279"/>
    <mergeCell ref="C3:C4"/>
    <mergeCell ref="E3:E4"/>
    <mergeCell ref="F387:G387"/>
    <mergeCell ref="F216:G216"/>
    <mergeCell ref="F343:G343"/>
    <mergeCell ref="F452:G452"/>
    <mergeCell ref="F281:G281"/>
    <mergeCell ref="F87:G87"/>
    <mergeCell ref="F280:G280"/>
    <mergeCell ref="F147:G147"/>
    <mergeCell ref="F218:G218"/>
    <mergeCell ref="F451:G451"/>
    <mergeCell ref="F89:G89"/>
    <mergeCell ref="F309:G309"/>
    <mergeCell ref="F7:G7"/>
    <mergeCell ref="F305:G305"/>
    <mergeCell ref="F242:G242"/>
    <mergeCell ref="F36:G36"/>
    <mergeCell ref="F307:G307"/>
    <mergeCell ref="F334:G334"/>
    <mergeCell ref="F163:G163"/>
    <mergeCell ref="F101:G101"/>
    <mergeCell ref="F8:G8"/>
    <mergeCell ref="F244:G244"/>
    <mergeCell ref="F100:G100"/>
    <mergeCell ref="F342:G342"/>
    <mergeCell ref="F336:G336"/>
    <mergeCell ref="F165:G165"/>
    <mergeCell ref="F311:G311"/>
    <mergeCell ref="F115:G115"/>
    <mergeCell ref="F308:G308"/>
    <mergeCell ref="F102:G102"/>
    <mergeCell ref="F425:G425"/>
    <mergeCell ref="F229:G229"/>
    <mergeCell ref="F400:G400"/>
    <mergeCell ref="F77:G77"/>
    <mergeCell ref="F166:G166"/>
    <mergeCell ref="F402:G402"/>
    <mergeCell ref="F377:G377"/>
    <mergeCell ref="F191:G191"/>
    <mergeCell ref="F255:G255"/>
    <mergeCell ref="F316:G316"/>
    <mergeCell ref="F59:G59"/>
    <mergeCell ref="F301:G301"/>
    <mergeCell ref="F24:G24"/>
    <mergeCell ref="F295:G295"/>
    <mergeCell ref="F95:G95"/>
    <mergeCell ref="F393:G393"/>
    <mergeCell ref="F331:G331"/>
    <mergeCell ref="F282:G282"/>
    <mergeCell ref="F453:G453"/>
    <mergeCell ref="F113:G113"/>
    <mergeCell ref="F232:G232"/>
    <mergeCell ref="F32:G32"/>
    <mergeCell ref="F26:G26"/>
    <mergeCell ref="F330:G330"/>
    <mergeCell ref="F219:G219"/>
    <mergeCell ref="F97:G97"/>
    <mergeCell ref="F268:G268"/>
    <mergeCell ref="F395:G395"/>
    <mergeCell ref="F159:G159"/>
    <mergeCell ref="F324:G324"/>
    <mergeCell ref="F90:G90"/>
    <mergeCell ref="F184:G184"/>
    <mergeCell ref="F27:G27"/>
    <mergeCell ref="F456:G456"/>
    <mergeCell ref="F471:G471"/>
    <mergeCell ref="F123:G123"/>
    <mergeCell ref="F179:G179"/>
    <mergeCell ref="F250:G250"/>
    <mergeCell ref="F44:G44"/>
  </mergeCells>
  <conditionalFormatting sqref="G3:G4">
    <cfRule type="cellIs" priority="1" operator="lessThan" dxfId="1">
      <formula>0</formula>
    </cfRule>
    <cfRule type="cellIs" priority="2" operator="greaterThanOrEqual" dxfId="0">
      <formula>0</formula>
    </cfRule>
  </conditionalFormatting>
  <pageMargins left="0.25" right="0.25" top="0.75" bottom="0.75" header="0.3" footer="0.3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6"/>
  <sheetViews>
    <sheetView zoomScaleNormal="100" workbookViewId="0">
      <selection activeCell="C3" sqref="C3:C4"/>
    </sheetView>
  </sheetViews>
  <sheetFormatPr baseColWidth="8" defaultColWidth="8.875" defaultRowHeight="17.25"/>
  <cols>
    <col width="15.125" customWidth="1" style="11" min="1" max="2"/>
    <col width="15" customWidth="1" style="23" min="3" max="3"/>
    <col width="12.875" customWidth="1" style="11" min="4" max="4"/>
    <col width="17" customWidth="1" style="11" min="5" max="5"/>
    <col width="12.75" customWidth="1" style="11" min="6" max="6"/>
    <col width="12.875" customWidth="1" style="11" min="7" max="7"/>
    <col width="8.875" customWidth="1" style="12" min="8" max="8"/>
    <col width="12.625" customWidth="1" style="12" min="9" max="9"/>
    <col width="8.875" customWidth="1" style="12" min="10" max="10"/>
    <col width="8.875" customWidth="1" style="13" min="11" max="1024"/>
  </cols>
  <sheetData>
    <row r="1" ht="30" customHeight="1">
      <c r="A1" s="14" t="n"/>
      <c r="B1" s="15" t="n"/>
      <c r="C1" s="53" t="inlineStr">
        <is>
          <t>存股統計專用表格</t>
        </is>
      </c>
      <c r="D1" s="54" t="n"/>
      <c r="E1" s="54" t="n"/>
      <c r="F1" s="58" t="inlineStr">
        <is>
          <t>BND</t>
        </is>
      </c>
      <c r="G1" s="42" t="n"/>
      <c r="H1" s="57" t="inlineStr">
        <is>
          <t>USD</t>
        </is>
      </c>
      <c r="I1" s="44" t="n"/>
      <c r="J1" s="42" t="n"/>
    </row>
    <row r="2" ht="21.75" customHeight="1">
      <c r="A2" s="4" t="inlineStr">
        <is>
          <t>實際成本</t>
        </is>
      </c>
      <c r="B2" s="4" t="inlineStr">
        <is>
          <t>帳面成本</t>
        </is>
      </c>
      <c r="C2" s="4" t="inlineStr">
        <is>
          <t>目前市價</t>
        </is>
      </c>
      <c r="D2" s="4" t="inlineStr">
        <is>
          <t>總股數</t>
        </is>
      </c>
      <c r="E2" s="4" t="inlineStr">
        <is>
          <t>總成本</t>
        </is>
      </c>
      <c r="F2" s="4" t="inlineStr">
        <is>
          <t>股利+借券</t>
        </is>
      </c>
      <c r="G2" s="4" t="inlineStr">
        <is>
          <t>報酬率(含息)</t>
        </is>
      </c>
      <c r="H2" s="47" t="inlineStr">
        <is>
          <t>目前市價</t>
        </is>
      </c>
      <c r="I2" s="47" t="inlineStr">
        <is>
          <t>目前匯率</t>
        </is>
      </c>
      <c r="J2" s="47" t="inlineStr">
        <is>
          <t>總成本</t>
        </is>
      </c>
    </row>
    <row r="3" ht="18.75" customHeight="1">
      <c r="A3" s="45">
        <f>(E3-F3)/D3</f>
        <v/>
      </c>
      <c r="B3" s="49">
        <f>E3/D3</f>
        <v/>
      </c>
      <c r="C3" s="128">
        <f>H3*I3</f>
        <v/>
      </c>
      <c r="D3" s="56">
        <f>SUM(D7:D505)</f>
        <v/>
      </c>
      <c r="E3" s="59">
        <f>SUM(E7:E505)</f>
        <v/>
      </c>
      <c r="F3" s="59">
        <f>SUM(F6:G505)</f>
        <v/>
      </c>
      <c r="G3" s="7">
        <f>G4/E3</f>
        <v/>
      </c>
      <c r="H3" s="51" t="inlineStr">
        <is>
          <t>74.18</t>
        </is>
      </c>
      <c r="I3" s="135">
        <f>投資!G2</f>
        <v/>
      </c>
      <c r="J3" s="52">
        <f>SUM(J7:J505)</f>
        <v/>
      </c>
    </row>
    <row r="4" ht="18.75" customHeight="1">
      <c r="A4" s="46" t="n"/>
      <c r="B4" s="46" t="n"/>
      <c r="C4" s="129" t="n"/>
      <c r="D4" s="46" t="n"/>
      <c r="E4" s="46" t="n"/>
      <c r="F4" s="46" t="n"/>
      <c r="G4" s="136">
        <f>D3*C3-E3+F3</f>
        <v/>
      </c>
      <c r="H4" s="48" t="n"/>
      <c r="I4" s="48" t="n"/>
      <c r="J4" s="48" t="n"/>
    </row>
    <row r="5">
      <c r="A5" s="16" t="inlineStr">
        <is>
          <t>交易筆數</t>
        </is>
      </c>
      <c r="B5" s="24" t="inlineStr">
        <is>
          <t>購買日期</t>
        </is>
      </c>
      <c r="C5" s="16" t="inlineStr">
        <is>
          <t>購入價格</t>
        </is>
      </c>
      <c r="D5" s="16" t="inlineStr">
        <is>
          <t>股數</t>
        </is>
      </c>
      <c r="E5" s="16" t="inlineStr">
        <is>
          <t>持有成本</t>
        </is>
      </c>
      <c r="F5" s="60" t="inlineStr">
        <is>
          <t>股利</t>
        </is>
      </c>
      <c r="G5" s="42" t="n"/>
      <c r="H5" s="47" t="inlineStr">
        <is>
          <t>購入價格</t>
        </is>
      </c>
      <c r="I5" s="47" t="inlineStr">
        <is>
          <t>購入匯率</t>
        </is>
      </c>
      <c r="J5" s="47" t="inlineStr">
        <is>
          <t>購入金額</t>
        </is>
      </c>
    </row>
    <row r="6">
      <c r="A6" s="17" t="n">
        <v>1</v>
      </c>
      <c r="B6" s="43" t="inlineStr">
        <is>
          <t>借券收入</t>
        </is>
      </c>
      <c r="C6" s="44" t="n"/>
      <c r="D6" s="44" t="n"/>
      <c r="E6" s="42" t="n"/>
      <c r="F6" s="50" t="n"/>
      <c r="G6" s="42" t="n"/>
      <c r="H6" s="48" t="n"/>
      <c r="I6" s="48" t="n"/>
      <c r="J6" s="48" t="n"/>
    </row>
    <row r="7">
      <c r="A7" s="17" t="n">
        <v>2</v>
      </c>
      <c r="B7" s="25" t="inlineStr">
        <is>
          <t>2023.07.17</t>
        </is>
      </c>
      <c r="C7" s="141">
        <f>H7*I7</f>
        <v/>
      </c>
      <c r="D7" s="41" t="n">
        <v>0.443373</v>
      </c>
      <c r="E7" s="41" t="n">
        <v>1000</v>
      </c>
      <c r="F7" s="41" t="n"/>
      <c r="G7" s="42" t="n"/>
      <c r="H7" s="20" t="n">
        <v>72.58</v>
      </c>
      <c r="I7" s="20" t="n">
        <v>31.075</v>
      </c>
      <c r="J7" s="20" t="n">
        <v>32.18</v>
      </c>
    </row>
    <row r="8">
      <c r="A8" s="17" t="n">
        <v>3</v>
      </c>
      <c r="B8" s="25" t="inlineStr">
        <is>
          <t>2023.08.10</t>
        </is>
      </c>
      <c r="C8" s="141">
        <f>H8*I8</f>
        <v/>
      </c>
      <c r="D8" s="41" t="n"/>
      <c r="E8" s="41" t="n"/>
      <c r="F8" s="41" t="n">
        <v>2</v>
      </c>
      <c r="G8" s="42" t="n"/>
      <c r="H8" s="20" t="n"/>
      <c r="I8" s="20" t="n"/>
      <c r="J8" s="20" t="n"/>
    </row>
    <row r="9">
      <c r="A9" s="17" t="n">
        <v>4</v>
      </c>
      <c r="B9" s="25" t="inlineStr">
        <is>
          <t>2023.08.16</t>
        </is>
      </c>
      <c r="C9" s="141">
        <f>H9*I9</f>
        <v/>
      </c>
      <c r="D9" s="41" t="n">
        <v>0.441048</v>
      </c>
      <c r="E9" s="41" t="n">
        <v>1000</v>
      </c>
      <c r="F9" s="41" t="n"/>
      <c r="G9" s="42" t="n"/>
      <c r="H9" s="20" t="n">
        <v>70.98999999999999</v>
      </c>
      <c r="I9" s="20" t="n">
        <v>31.935</v>
      </c>
      <c r="J9" s="20" t="n">
        <v>31.31</v>
      </c>
    </row>
    <row r="10">
      <c r="A10" s="17" t="n">
        <v>5</v>
      </c>
      <c r="B10" s="25" t="inlineStr">
        <is>
          <t>2023.09.06</t>
        </is>
      </c>
      <c r="C10" s="141">
        <f>H10*I10</f>
        <v/>
      </c>
      <c r="D10" s="41" t="n">
        <v>0.440621</v>
      </c>
      <c r="E10" s="18" t="n">
        <v>1000</v>
      </c>
      <c r="F10" s="41" t="n"/>
      <c r="G10" s="42" t="n"/>
      <c r="H10" s="20" t="n">
        <v>70.90000000000001</v>
      </c>
      <c r="I10" s="20" t="n">
        <v>32.013</v>
      </c>
      <c r="J10" s="20" t="n">
        <v>31.24</v>
      </c>
    </row>
    <row r="11">
      <c r="A11" s="17" t="n">
        <v>6</v>
      </c>
      <c r="B11" s="25" t="inlineStr">
        <is>
          <t>2023.09.06</t>
        </is>
      </c>
      <c r="C11" s="141">
        <f>H11*I11</f>
        <v/>
      </c>
      <c r="D11" s="41" t="n">
        <v>4.405785</v>
      </c>
      <c r="E11" s="41" t="n">
        <v>10001</v>
      </c>
      <c r="F11" s="41" t="n"/>
      <c r="G11" s="42" t="n"/>
      <c r="H11" s="20" t="n">
        <v>70.90000000000001</v>
      </c>
      <c r="I11" s="20" t="n">
        <v>32.013</v>
      </c>
      <c r="J11" s="20" t="n">
        <v>312.37</v>
      </c>
    </row>
    <row r="12">
      <c r="A12" s="17" t="n">
        <v>7</v>
      </c>
      <c r="B12" s="25" t="inlineStr">
        <is>
          <t>2023.09.13</t>
        </is>
      </c>
      <c r="C12" s="141">
        <f>H12*I12</f>
        <v/>
      </c>
      <c r="D12" s="41" t="n"/>
      <c r="E12" s="41" t="n"/>
      <c r="F12" s="41" t="n">
        <v>4</v>
      </c>
      <c r="G12" s="42" t="n"/>
      <c r="H12" s="20" t="n"/>
      <c r="I12" s="20" t="n"/>
      <c r="J12" s="20" t="n"/>
    </row>
    <row r="13">
      <c r="A13" s="17" t="n">
        <v>8</v>
      </c>
      <c r="B13" s="25" t="inlineStr">
        <is>
          <t>2023.10.06</t>
        </is>
      </c>
      <c r="C13" s="141">
        <f>H13*I13</f>
        <v/>
      </c>
      <c r="D13" s="41" t="n">
        <v>0.451706</v>
      </c>
      <c r="E13" s="41" t="n">
        <v>1000</v>
      </c>
      <c r="F13" s="41" t="n"/>
      <c r="G13" s="42" t="n"/>
      <c r="H13" s="20" t="n">
        <v>68.54000000000001</v>
      </c>
      <c r="I13" s="20" t="n">
        <v>32.3</v>
      </c>
      <c r="J13" s="20" t="n">
        <v>30.96</v>
      </c>
    </row>
    <row r="14">
      <c r="A14" s="17" t="n">
        <v>9</v>
      </c>
      <c r="B14" s="25" t="inlineStr">
        <is>
          <t>2023.10.12</t>
        </is>
      </c>
      <c r="C14" s="141">
        <f>H14*I14</f>
        <v/>
      </c>
      <c r="D14" s="41" t="n"/>
      <c r="E14" s="41" t="n"/>
      <c r="F14" s="41" t="n">
        <v>25</v>
      </c>
      <c r="G14" s="42" t="n"/>
      <c r="H14" s="20" t="n"/>
      <c r="I14" s="20" t="n"/>
      <c r="J14" s="20" t="n"/>
    </row>
    <row r="15">
      <c r="A15" s="17" t="n">
        <v>10</v>
      </c>
      <c r="B15" s="25" t="inlineStr">
        <is>
          <t>2023.11.06</t>
        </is>
      </c>
      <c r="C15" s="141">
        <f>H15*I15</f>
        <v/>
      </c>
      <c r="D15" s="41" t="n">
        <v>0.446087</v>
      </c>
      <c r="E15" s="41" t="n">
        <v>1000</v>
      </c>
      <c r="F15" s="41" t="n"/>
      <c r="G15" s="42" t="n"/>
      <c r="H15" s="20" t="n">
        <v>69.65000000000001</v>
      </c>
      <c r="I15" s="20" t="n">
        <v>32.185</v>
      </c>
      <c r="J15" s="20" t="n">
        <v>31.07</v>
      </c>
    </row>
    <row r="16">
      <c r="A16" s="17" t="n">
        <v>11</v>
      </c>
      <c r="B16" s="25" t="inlineStr">
        <is>
          <t>2023.11.10</t>
        </is>
      </c>
      <c r="C16" s="141">
        <f>H16*I16</f>
        <v/>
      </c>
      <c r="D16" s="41" t="n"/>
      <c r="E16" s="41" t="n"/>
      <c r="F16" s="41" t="n">
        <v>28</v>
      </c>
      <c r="G16" s="42" t="n"/>
      <c r="H16" s="20" t="n"/>
      <c r="I16" s="20" t="n"/>
      <c r="J16" s="20" t="n"/>
    </row>
    <row r="17" ht="16.5" customFormat="1" customHeight="1" s="12">
      <c r="A17" s="17" t="n">
        <v>12</v>
      </c>
      <c r="B17" s="25" t="inlineStr">
        <is>
          <t>2023.12.06</t>
        </is>
      </c>
      <c r="C17" s="141">
        <f>H17*I17</f>
        <v/>
      </c>
      <c r="D17" s="41" t="n">
        <v>0.439224</v>
      </c>
      <c r="E17" s="41" t="n">
        <v>1000</v>
      </c>
      <c r="F17" s="41" t="n"/>
      <c r="G17" s="42" t="n"/>
      <c r="H17" s="20" t="n">
        <v>72.15000000000001</v>
      </c>
      <c r="I17" s="20" t="n">
        <v>31.552</v>
      </c>
      <c r="J17" s="20" t="n">
        <v>31.69</v>
      </c>
    </row>
    <row r="18" ht="16.5" customFormat="1" customHeight="1" s="12">
      <c r="A18" s="17" t="n">
        <v>13</v>
      </c>
      <c r="B18" s="25" t="inlineStr">
        <is>
          <t>2023.12.12</t>
        </is>
      </c>
      <c r="C18" s="141">
        <f>H18*I18</f>
        <v/>
      </c>
      <c r="D18" s="41" t="n"/>
      <c r="E18" s="41" t="n"/>
      <c r="F18" s="41" t="n">
        <v>29</v>
      </c>
      <c r="G18" s="42" t="n"/>
      <c r="H18" s="20" t="n"/>
      <c r="I18" s="20" t="n"/>
      <c r="J18" s="20" t="n"/>
    </row>
    <row r="19" ht="16.5" customFormat="1" customHeight="1" s="12">
      <c r="A19" s="17" t="n">
        <v>14</v>
      </c>
      <c r="B19" s="25" t="inlineStr">
        <is>
          <t>2024.01.03</t>
        </is>
      </c>
      <c r="C19" s="141">
        <f>H19*I19</f>
        <v/>
      </c>
      <c r="D19" s="41" t="n"/>
      <c r="E19" s="41" t="n"/>
      <c r="F19" s="41" t="n">
        <v>32</v>
      </c>
      <c r="G19" s="42" t="n"/>
      <c r="H19" s="20" t="n"/>
      <c r="I19" s="20" t="n"/>
      <c r="J19" s="20" t="n"/>
    </row>
    <row r="20" ht="16.5" customFormat="1" customHeight="1" s="12">
      <c r="A20" s="17" t="n">
        <v>15</v>
      </c>
      <c r="B20" s="25" t="inlineStr">
        <is>
          <t>2024.01.08</t>
        </is>
      </c>
      <c r="C20" s="141">
        <f>H20*I20</f>
        <v/>
      </c>
      <c r="D20" s="41" t="n">
        <v>0.442402</v>
      </c>
      <c r="E20" s="41" t="n">
        <v>1003</v>
      </c>
      <c r="F20" s="41" t="n"/>
      <c r="G20" s="42" t="n"/>
      <c r="H20" s="20" t="n">
        <v>72.83</v>
      </c>
      <c r="I20" s="20" t="n">
        <v>31.042</v>
      </c>
      <c r="J20" s="20" t="n">
        <v>32.22</v>
      </c>
    </row>
    <row r="21" ht="16.5" customFormat="1" customHeight="1" s="12">
      <c r="A21" s="17" t="n">
        <v>16</v>
      </c>
      <c r="B21" s="25" t="inlineStr">
        <is>
          <t>2024.02.06</t>
        </is>
      </c>
      <c r="C21" s="141">
        <f>H21*I21</f>
        <v/>
      </c>
      <c r="D21" s="41" t="n">
        <v>0.438853</v>
      </c>
      <c r="E21" s="41" t="n">
        <v>1000</v>
      </c>
      <c r="F21" s="41" t="n"/>
      <c r="G21" s="42" t="n"/>
      <c r="H21" s="20" t="n">
        <v>72.53</v>
      </c>
      <c r="I21" s="20" t="n">
        <v>31.419</v>
      </c>
      <c r="J21" s="20" t="n">
        <v>31.83</v>
      </c>
    </row>
    <row r="22" ht="16.5" customFormat="1" customHeight="1" s="12">
      <c r="A22" s="17" t="n">
        <v>17</v>
      </c>
      <c r="B22" s="25" t="inlineStr">
        <is>
          <t>2024.02.16</t>
        </is>
      </c>
      <c r="C22" s="141">
        <f>H22*I22</f>
        <v/>
      </c>
      <c r="D22" s="41" t="n"/>
      <c r="E22" s="41" t="n"/>
      <c r="F22" s="41" t="n">
        <v>35</v>
      </c>
      <c r="G22" s="42" t="n"/>
      <c r="H22" s="20" t="n"/>
      <c r="I22" s="20" t="n"/>
      <c r="J22" s="20" t="n"/>
    </row>
    <row r="23" ht="16.5" customFormat="1" customHeight="1" s="12">
      <c r="A23" s="17" t="n">
        <v>18</v>
      </c>
      <c r="B23" s="25" t="inlineStr">
        <is>
          <t>2024.03.06</t>
        </is>
      </c>
      <c r="C23" s="141">
        <f>H23*I23</f>
        <v/>
      </c>
      <c r="D23" s="41" t="n">
        <v>0.434866</v>
      </c>
      <c r="E23" s="41" t="n">
        <v>1000</v>
      </c>
      <c r="F23" s="41" t="n"/>
      <c r="G23" s="42" t="n"/>
      <c r="H23" s="20" t="n">
        <v>72.62</v>
      </c>
      <c r="I23" s="20" t="n">
        <v>31.664</v>
      </c>
      <c r="J23" s="20" t="n">
        <v>31.58</v>
      </c>
    </row>
    <row r="24" ht="16.5" customFormat="1" customHeight="1" s="12">
      <c r="A24" s="17" t="n">
        <v>19</v>
      </c>
      <c r="B24" s="25" t="inlineStr">
        <is>
          <t>2024.03.12</t>
        </is>
      </c>
      <c r="C24" s="141">
        <f>H24*I24</f>
        <v/>
      </c>
      <c r="D24" s="41" t="n"/>
      <c r="E24" s="41" t="n"/>
      <c r="F24" s="41" t="n">
        <v>35</v>
      </c>
      <c r="G24" s="42" t="n"/>
      <c r="H24" s="20" t="n"/>
      <c r="I24" s="20" t="n"/>
      <c r="J24" s="20" t="n"/>
    </row>
    <row r="25" ht="16.5" customFormat="1" customHeight="1" s="12">
      <c r="A25" s="17" t="n">
        <v>20</v>
      </c>
      <c r="B25" s="25" t="inlineStr">
        <is>
          <t>2024.04.08</t>
        </is>
      </c>
      <c r="C25" s="141">
        <f>H25*I25</f>
        <v/>
      </c>
      <c r="D25" s="41" t="n">
        <v>0.434236</v>
      </c>
      <c r="E25" s="41" t="n">
        <v>1000</v>
      </c>
      <c r="F25" s="41" t="n"/>
      <c r="G25" s="42" t="n"/>
      <c r="H25" s="20" t="n">
        <v>71.62</v>
      </c>
      <c r="I25" s="20" t="n">
        <v>32.151</v>
      </c>
      <c r="J25" s="20" t="n">
        <v>31.1</v>
      </c>
    </row>
    <row r="26" ht="16.5" customFormat="1" customHeight="1" s="12">
      <c r="A26" s="17" t="n">
        <v>21</v>
      </c>
      <c r="B26" s="25" t="inlineStr">
        <is>
          <t>2024.04.10</t>
        </is>
      </c>
      <c r="C26" s="141">
        <f>H26*I26</f>
        <v/>
      </c>
      <c r="D26" s="41" t="n"/>
      <c r="E26" s="41" t="n"/>
      <c r="F26" s="41" t="n">
        <v>41</v>
      </c>
      <c r="G26" s="42" t="n"/>
      <c r="H26" s="20" t="n"/>
      <c r="I26" s="20" t="n"/>
      <c r="J26" s="20" t="n"/>
    </row>
    <row r="27" ht="16.5" customFormat="1" customHeight="1" s="12">
      <c r="A27" s="17" t="n">
        <v>22</v>
      </c>
      <c r="B27" s="25" t="inlineStr">
        <is>
          <t>2024.05.06</t>
        </is>
      </c>
      <c r="C27" s="141">
        <f>H27*I27</f>
        <v/>
      </c>
      <c r="D27" s="41" t="n">
        <v>0.432494</v>
      </c>
      <c r="E27" s="41" t="n">
        <v>1000</v>
      </c>
      <c r="F27" s="41" t="n"/>
      <c r="G27" s="42" t="n"/>
      <c r="H27" s="20" t="n">
        <v>71.40000000000001</v>
      </c>
      <c r="I27" s="20" t="n">
        <v>32.389</v>
      </c>
      <c r="J27" s="20" t="n">
        <v>30.88</v>
      </c>
    </row>
    <row r="28" ht="16.5" customFormat="1" customHeight="1" s="12">
      <c r="A28" s="17" t="n">
        <v>23</v>
      </c>
      <c r="B28" s="25" t="inlineStr">
        <is>
          <t>2024.05.10</t>
        </is>
      </c>
      <c r="C28" s="141">
        <f>H28*I28</f>
        <v/>
      </c>
      <c r="D28" s="41" t="n"/>
      <c r="E28" s="41" t="n"/>
      <c r="F28" s="41" t="n">
        <v>43</v>
      </c>
      <c r="G28" s="42" t="n"/>
      <c r="H28" s="20" t="n"/>
      <c r="I28" s="20" t="n"/>
      <c r="J28" s="20" t="n"/>
    </row>
    <row r="29" ht="16.5" customFormat="1" customHeight="1" s="12">
      <c r="A29" s="17" t="n">
        <v>24</v>
      </c>
      <c r="B29" s="25" t="inlineStr">
        <is>
          <t>2024.06.06</t>
        </is>
      </c>
      <c r="C29" s="141">
        <f>H29*I29</f>
        <v/>
      </c>
      <c r="D29" s="41" t="n">
        <v>0.42778</v>
      </c>
      <c r="E29" s="41" t="n">
        <v>1000</v>
      </c>
      <c r="F29" s="41" t="n"/>
      <c r="G29" s="42" t="n"/>
      <c r="H29" s="20" t="n">
        <v>72.20999999999999</v>
      </c>
      <c r="I29" s="20" t="n">
        <v>32.37</v>
      </c>
      <c r="J29" s="20" t="n">
        <v>30.89</v>
      </c>
    </row>
    <row r="30" ht="16.5" customFormat="1" customHeight="1" s="12">
      <c r="A30" s="17" t="n">
        <v>25</v>
      </c>
      <c r="B30" s="25" t="inlineStr">
        <is>
          <t>2024.06.11</t>
        </is>
      </c>
      <c r="C30" s="141">
        <f>H30*I30</f>
        <v/>
      </c>
      <c r="D30" s="41" t="n"/>
      <c r="E30" s="41" t="n"/>
      <c r="F30" s="41" t="n">
        <v>46</v>
      </c>
      <c r="G30" s="42" t="n"/>
      <c r="H30" s="20" t="n"/>
      <c r="I30" s="20" t="n"/>
      <c r="J30" s="20" t="n"/>
    </row>
    <row r="31" ht="16.5" customFormat="1" customHeight="1" s="12">
      <c r="A31" s="17" t="n">
        <v>26</v>
      </c>
      <c r="B31" s="12" t="inlineStr">
        <is>
          <t>2024.07.08</t>
        </is>
      </c>
      <c r="C31" s="141">
        <f>H31*I31</f>
        <v/>
      </c>
      <c r="D31" s="41" t="n">
        <v>0.42549</v>
      </c>
      <c r="E31" s="41" t="n">
        <v>1000</v>
      </c>
      <c r="F31" s="41" t="n"/>
      <c r="G31" s="42" t="n"/>
      <c r="H31" s="20" t="n">
        <v>72.39</v>
      </c>
      <c r="I31" s="20" t="n">
        <v>32.465</v>
      </c>
      <c r="J31" s="20" t="n">
        <v>30.8</v>
      </c>
    </row>
    <row r="32" ht="16.5" customFormat="1" customHeight="1" s="12">
      <c r="A32" s="17" t="n">
        <v>27</v>
      </c>
      <c r="B32" s="25" t="inlineStr">
        <is>
          <t>2024.07.09</t>
        </is>
      </c>
      <c r="C32" s="141">
        <f>H32*I32</f>
        <v/>
      </c>
      <c r="D32" s="41" t="n"/>
      <c r="E32" s="41" t="n"/>
      <c r="F32" s="41" t="n">
        <v>48</v>
      </c>
      <c r="G32" s="42" t="n"/>
      <c r="H32" s="20" t="n"/>
      <c r="I32" s="20" t="n"/>
      <c r="J32" s="20" t="n"/>
    </row>
    <row r="33" ht="16.5" customFormat="1" customHeight="1" s="12">
      <c r="A33" s="17" t="n">
        <v>28</v>
      </c>
      <c r="B33" s="25" t="inlineStr">
        <is>
          <t>2024.08.06</t>
        </is>
      </c>
      <c r="C33" s="141">
        <f>H33*I33</f>
        <v/>
      </c>
      <c r="D33" s="41" t="n">
        <v>0.41078</v>
      </c>
      <c r="E33" s="41" t="n">
        <v>1000</v>
      </c>
      <c r="F33" s="41" t="n"/>
      <c r="G33" s="42" t="n"/>
      <c r="H33" s="20" t="n">
        <v>74.25</v>
      </c>
      <c r="I33" s="20" t="n">
        <v>32.79</v>
      </c>
      <c r="J33" s="20" t="n">
        <v>30.5</v>
      </c>
    </row>
    <row r="34" ht="16.5" customFormat="1" customHeight="1" s="12">
      <c r="A34" s="17" t="n">
        <v>29</v>
      </c>
      <c r="B34" s="25" t="inlineStr">
        <is>
          <t>2024.08.08</t>
        </is>
      </c>
      <c r="C34" s="141">
        <f>H34*I34</f>
        <v/>
      </c>
      <c r="D34" s="41" t="n"/>
      <c r="E34" s="41" t="n"/>
      <c r="F34" s="41" t="n">
        <v>51</v>
      </c>
      <c r="G34" s="42" t="n"/>
      <c r="H34" s="20" t="n"/>
      <c r="I34" s="20" t="n"/>
      <c r="J34" s="20" t="n"/>
    </row>
    <row r="35" ht="16.5" customFormat="1" customHeight="1" s="12">
      <c r="A35" s="17" t="n">
        <v>30</v>
      </c>
      <c r="B35" s="25" t="inlineStr">
        <is>
          <t>2024.09.06</t>
        </is>
      </c>
      <c r="C35" s="141">
        <f>H35*I35</f>
        <v/>
      </c>
      <c r="D35" s="41" t="n">
        <v>0.41619</v>
      </c>
      <c r="E35" s="41" t="n">
        <v>1000</v>
      </c>
      <c r="F35" s="41" t="n"/>
      <c r="G35" s="42" t="n"/>
      <c r="H35" s="20" t="n">
        <v>74.98999999999999</v>
      </c>
      <c r="I35" s="20" t="n">
        <v>32.047</v>
      </c>
      <c r="J35" s="20" t="n">
        <v>31.21</v>
      </c>
    </row>
    <row r="36" ht="16.5" customFormat="1" customHeight="1" s="12">
      <c r="A36" s="17" t="n">
        <v>31</v>
      </c>
      <c r="B36" s="25" t="inlineStr">
        <is>
          <t>2024.09.09</t>
        </is>
      </c>
      <c r="C36" s="141">
        <f>H36*I36</f>
        <v/>
      </c>
      <c r="D36" s="41" t="n"/>
      <c r="E36" s="41" t="n"/>
      <c r="F36" s="41" t="n">
        <v>53</v>
      </c>
      <c r="G36" s="42" t="n"/>
      <c r="H36" s="20" t="n"/>
      <c r="I36" s="20" t="n"/>
      <c r="J36" s="20" t="n"/>
    </row>
    <row r="37" ht="16.5" customFormat="1" customHeight="1" s="12">
      <c r="A37" s="17" t="n">
        <v>32</v>
      </c>
      <c r="B37" s="25" t="inlineStr">
        <is>
          <t>2024.10.07</t>
        </is>
      </c>
      <c r="C37" s="141">
        <f>H37*I37</f>
        <v/>
      </c>
      <c r="D37" s="41" t="n">
        <v>0.41966</v>
      </c>
      <c r="E37" s="41" t="n">
        <v>1000</v>
      </c>
      <c r="F37" s="41" t="n"/>
      <c r="G37" s="42" t="n"/>
      <c r="H37" s="20" t="n">
        <v>73.92</v>
      </c>
      <c r="I37" s="20" t="n">
        <v>32.234</v>
      </c>
      <c r="J37" s="20" t="n">
        <v>31.02</v>
      </c>
    </row>
    <row r="38" ht="16.5" customFormat="1" customHeight="1" s="12">
      <c r="A38" s="17" t="n">
        <v>33</v>
      </c>
      <c r="B38" s="25" t="inlineStr">
        <is>
          <t>2024.10.08</t>
        </is>
      </c>
      <c r="C38" s="141">
        <f>H38*I38</f>
        <v/>
      </c>
      <c r="D38" s="41" t="n"/>
      <c r="E38" s="41" t="n"/>
      <c r="F38" s="41" t="n">
        <v>54</v>
      </c>
      <c r="G38" s="42" t="n"/>
      <c r="H38" s="20" t="n"/>
      <c r="I38" s="20" t="n"/>
      <c r="J38" s="20" t="n"/>
    </row>
    <row r="39" ht="16.5" customFormat="1" customHeight="1" s="12">
      <c r="A39" s="17" t="n">
        <v>34</v>
      </c>
      <c r="B39" s="25" t="inlineStr">
        <is>
          <t>2024.11.06</t>
        </is>
      </c>
      <c r="C39" s="141">
        <f>H39*I39</f>
        <v/>
      </c>
      <c r="D39" s="41" t="n">
        <v>0.42988</v>
      </c>
      <c r="E39" s="41" t="n">
        <v>1000</v>
      </c>
      <c r="F39" s="41" t="n"/>
      <c r="G39" s="42" t="n"/>
      <c r="H39" s="20" t="n">
        <v>72.3</v>
      </c>
      <c r="I39" s="20" t="n">
        <v>32.173</v>
      </c>
      <c r="J39" s="20" t="n">
        <v>31.08</v>
      </c>
    </row>
    <row r="40" ht="16.5" customFormat="1" customHeight="1" s="12">
      <c r="A40" s="17" t="n">
        <v>35</v>
      </c>
      <c r="B40" s="25" t="inlineStr">
        <is>
          <t>2024.11.08</t>
        </is>
      </c>
      <c r="C40" s="141">
        <f>H40*I40</f>
        <v/>
      </c>
      <c r="D40" s="41" t="n"/>
      <c r="E40" s="41" t="n"/>
      <c r="F40" s="41" t="n">
        <v>58</v>
      </c>
      <c r="G40" s="42" t="n"/>
      <c r="H40" s="20" t="n"/>
      <c r="I40" s="20" t="n"/>
      <c r="J40" s="20" t="n"/>
    </row>
    <row r="41" ht="16.5" customFormat="1" customHeight="1" s="12">
      <c r="A41" s="17" t="n">
        <v>36</v>
      </c>
      <c r="B41" s="25" t="inlineStr">
        <is>
          <t>2024.12.06</t>
        </is>
      </c>
      <c r="C41" s="141">
        <f>H41*I41</f>
        <v/>
      </c>
      <c r="D41" s="41" t="n">
        <v>0.41779</v>
      </c>
      <c r="E41" s="41" t="n">
        <v>1000</v>
      </c>
      <c r="F41" s="41" t="n"/>
      <c r="G41" s="42" t="n"/>
      <c r="H41" s="20" t="n">
        <v>73.77</v>
      </c>
      <c r="I41" s="20" t="n">
        <v>32.45</v>
      </c>
      <c r="J41" s="20" t="n">
        <v>30.82</v>
      </c>
    </row>
    <row r="42" ht="16.5" customFormat="1" customHeight="1" s="12">
      <c r="A42" s="17" t="n">
        <v>37</v>
      </c>
      <c r="B42" s="25" t="inlineStr">
        <is>
          <t>2024.12.09</t>
        </is>
      </c>
      <c r="C42" s="141">
        <f>H42*I42</f>
        <v/>
      </c>
      <c r="D42" s="41" t="n"/>
      <c r="E42" s="41" t="n"/>
      <c r="F42" s="41" t="n">
        <v>60</v>
      </c>
      <c r="G42" s="42" t="n"/>
      <c r="H42" s="20" t="n"/>
      <c r="I42" s="20" t="n"/>
      <c r="J42" s="20" t="n"/>
    </row>
    <row r="43" ht="16.5" customFormat="1" customHeight="1" s="12">
      <c r="A43" s="17" t="n">
        <v>38</v>
      </c>
      <c r="B43" s="25" t="inlineStr">
        <is>
          <t>2025.01.02</t>
        </is>
      </c>
      <c r="C43" s="141">
        <f>H43*I43</f>
        <v/>
      </c>
      <c r="D43" s="41" t="n"/>
      <c r="E43" s="41" t="n"/>
      <c r="F43" s="41" t="n">
        <v>65</v>
      </c>
      <c r="G43" s="42" t="n"/>
      <c r="H43" s="20" t="n"/>
      <c r="I43" s="20" t="n"/>
      <c r="J43" s="20" t="n"/>
    </row>
    <row r="44" ht="16.5" customFormat="1" customHeight="1" s="12">
      <c r="A44" s="17" t="n">
        <v>39</v>
      </c>
      <c r="B44" s="25" t="inlineStr">
        <is>
          <t>2025.01.06</t>
        </is>
      </c>
      <c r="C44" s="141">
        <f>H44*I44</f>
        <v/>
      </c>
      <c r="D44" s="41" t="n">
        <v>0.42245</v>
      </c>
      <c r="E44" s="41" t="n">
        <v>1000</v>
      </c>
      <c r="F44" s="41" t="n"/>
      <c r="G44" s="42" t="n"/>
      <c r="H44" s="20" t="n">
        <v>71.81999999999999</v>
      </c>
      <c r="I44" s="20" t="n">
        <v>32.96</v>
      </c>
      <c r="J44" s="20" t="n">
        <v>30.34</v>
      </c>
    </row>
    <row r="45" ht="16.5" customFormat="1" customHeight="1" s="12">
      <c r="A45" s="17" t="n">
        <v>40</v>
      </c>
      <c r="B45" s="25" t="inlineStr">
        <is>
          <t>2025.02.06</t>
        </is>
      </c>
      <c r="C45" s="141">
        <f>H45*I45</f>
        <v/>
      </c>
      <c r="D45" s="41" t="n">
        <v>0.41891</v>
      </c>
      <c r="E45" s="41" t="n">
        <v>1000</v>
      </c>
      <c r="F45" s="41" t="n"/>
      <c r="G45" s="42" t="n"/>
      <c r="H45" s="20" t="n">
        <v>72.56999999999999</v>
      </c>
      <c r="I45" s="20" t="n">
        <v>32.895</v>
      </c>
      <c r="J45" s="20" t="n">
        <v>30.4</v>
      </c>
    </row>
    <row r="46" ht="16.5" customFormat="1" customHeight="1" s="12">
      <c r="A46" s="17" t="n">
        <v>41</v>
      </c>
      <c r="B46" s="25" t="inlineStr">
        <is>
          <t>2025.02.10</t>
        </is>
      </c>
      <c r="C46" s="141">
        <f>H46*I46</f>
        <v/>
      </c>
      <c r="D46" s="41" t="n"/>
      <c r="E46" s="41" t="n"/>
      <c r="F46" s="41" t="n">
        <v>68</v>
      </c>
      <c r="G46" s="42" t="n"/>
      <c r="H46" s="20" t="n"/>
      <c r="I46" s="20" t="n"/>
      <c r="J46" s="20" t="n"/>
    </row>
    <row r="47" ht="16.5" customFormat="1" customHeight="1" s="12">
      <c r="A47" s="17" t="n">
        <v>42</v>
      </c>
      <c r="B47" s="25" t="inlineStr">
        <is>
          <t>2025.03.06</t>
        </is>
      </c>
      <c r="C47" s="141">
        <f>H47*I47</f>
        <v/>
      </c>
      <c r="D47" s="41" t="n">
        <v>0.41562</v>
      </c>
      <c r="E47" s="41" t="n">
        <v>1000</v>
      </c>
      <c r="F47" s="41" t="n"/>
      <c r="G47" s="42" t="n"/>
      <c r="H47" s="20" t="n">
        <v>73.12</v>
      </c>
      <c r="I47" s="20" t="n">
        <v>32.912</v>
      </c>
      <c r="J47" s="20" t="n">
        <v>30.39</v>
      </c>
    </row>
    <row r="48" ht="16.5" customFormat="1" customHeight="1" s="12">
      <c r="A48" s="17" t="n">
        <v>43</v>
      </c>
      <c r="B48" s="25" t="inlineStr">
        <is>
          <t>2025.03.10</t>
        </is>
      </c>
      <c r="C48" s="141">
        <f>H48*I48</f>
        <v/>
      </c>
      <c r="D48" s="41" t="n"/>
      <c r="E48" s="41" t="n"/>
      <c r="F48" s="41" t="n">
        <v>66</v>
      </c>
      <c r="G48" s="42" t="n"/>
      <c r="H48" s="20" t="n"/>
      <c r="I48" s="20" t="n"/>
      <c r="J48" s="20" t="n"/>
    </row>
    <row r="49" ht="16.5" customFormat="1" customHeight="1" s="12">
      <c r="A49" s="17" t="n">
        <v>44</v>
      </c>
      <c r="B49" s="25" t="inlineStr">
        <is>
          <t>2025.04.07</t>
        </is>
      </c>
      <c r="C49" s="141">
        <f>H49*I49</f>
        <v/>
      </c>
      <c r="D49" s="41" t="n">
        <v>0.40957</v>
      </c>
      <c r="E49" s="41" t="n">
        <v>1000</v>
      </c>
      <c r="F49" s="41" t="n"/>
      <c r="G49" s="42" t="n"/>
      <c r="H49" s="20" t="n">
        <v>73.59</v>
      </c>
      <c r="I49" s="20" t="n">
        <v>33.185</v>
      </c>
      <c r="J49" s="20" t="n">
        <v>30.14</v>
      </c>
    </row>
    <row r="50" ht="16.5" customFormat="1" customHeight="1" s="12">
      <c r="A50" s="17" t="n">
        <v>45</v>
      </c>
      <c r="B50" s="25" t="inlineStr">
        <is>
          <t>2025.04.10</t>
        </is>
      </c>
      <c r="C50" s="141">
        <f>H50*I50</f>
        <v/>
      </c>
      <c r="D50" s="41" t="n"/>
      <c r="E50" s="41" t="n"/>
      <c r="F50" s="41" t="n">
        <v>246</v>
      </c>
      <c r="G50" s="42" t="n"/>
      <c r="H50" s="20" t="n"/>
      <c r="I50" s="20" t="n"/>
      <c r="J50" s="20" t="n"/>
    </row>
    <row r="51" ht="16.5" customFormat="1" customHeight="1" s="12">
      <c r="A51" s="17" t="n">
        <v>46</v>
      </c>
      <c r="B51" s="25" t="inlineStr">
        <is>
          <t>2025.05.06</t>
        </is>
      </c>
      <c r="C51" s="141">
        <f>H51*I51</f>
        <v/>
      </c>
      <c r="D51" s="41" t="n">
        <v>0.45549</v>
      </c>
      <c r="E51" s="41" t="n">
        <v>1000</v>
      </c>
      <c r="F51" s="41" t="n"/>
      <c r="G51" s="42" t="n"/>
      <c r="H51" s="20" t="n">
        <v>72.56</v>
      </c>
      <c r="I51" s="20" t="n">
        <v>30.255</v>
      </c>
      <c r="J51" s="20" t="n">
        <v>33.05</v>
      </c>
    </row>
    <row r="52" ht="16.5" customFormat="1" customHeight="1" s="12">
      <c r="A52" s="17" t="n">
        <v>47</v>
      </c>
      <c r="B52" s="25" t="inlineStr">
        <is>
          <t>2025.05.08</t>
        </is>
      </c>
      <c r="C52" s="141">
        <f>H52*I52</f>
        <v/>
      </c>
      <c r="D52" s="41" t="n"/>
      <c r="E52" s="41" t="n"/>
      <c r="F52" s="41" t="n">
        <v>69</v>
      </c>
      <c r="G52" s="42" t="n"/>
      <c r="H52" s="20" t="n"/>
      <c r="I52" s="20" t="n"/>
      <c r="J52" s="20" t="n"/>
    </row>
    <row r="53" ht="16.5" customFormat="1" customHeight="1" s="12">
      <c r="A53" s="17" t="n">
        <v>48</v>
      </c>
      <c r="B53" s="25" t="inlineStr">
        <is>
          <t>2025.06.06</t>
        </is>
      </c>
      <c r="C53" s="141">
        <f>H53*I53</f>
        <v/>
      </c>
      <c r="D53" s="41" t="n">
        <v>0.46129</v>
      </c>
      <c r="E53" s="41" t="n">
        <v>1000</v>
      </c>
      <c r="F53" s="41" t="n"/>
      <c r="G53" s="42" t="n"/>
      <c r="H53" s="20" t="n">
        <v>72.34</v>
      </c>
      <c r="I53" s="20" t="n">
        <v>29.964</v>
      </c>
      <c r="J53" s="20" t="n">
        <v>33.37</v>
      </c>
    </row>
    <row r="54" ht="16.5" customFormat="1" customHeight="1" s="12">
      <c r="A54" s="17" t="n">
        <v>49</v>
      </c>
      <c r="B54" s="25" t="inlineStr">
        <is>
          <t>2025.06.09</t>
        </is>
      </c>
      <c r="C54" s="141">
        <f>H54*I54</f>
        <v/>
      </c>
      <c r="D54" s="41" t="n"/>
      <c r="E54" s="41" t="n"/>
      <c r="F54" s="41" t="n">
        <v>72</v>
      </c>
      <c r="G54" s="42" t="n"/>
      <c r="H54" s="20" t="n"/>
      <c r="I54" s="20" t="n"/>
      <c r="J54" s="20" t="n"/>
    </row>
    <row r="55" ht="16.5" customFormat="1" customHeight="1" s="12">
      <c r="A55" s="17" t="n">
        <v>50</v>
      </c>
      <c r="B55" s="25" t="inlineStr">
        <is>
          <t>2025.07.08</t>
        </is>
      </c>
      <c r="C55" s="141">
        <f>H55*I55</f>
        <v/>
      </c>
      <c r="D55" s="41" t="n"/>
      <c r="E55" s="41" t="n"/>
      <c r="F55" s="41" t="n">
        <v>71</v>
      </c>
      <c r="G55" s="42" t="n"/>
      <c r="H55" s="20" t="n"/>
      <c r="I55" s="20" t="n"/>
      <c r="J55" s="20" t="n"/>
    </row>
    <row r="56" ht="16.5" customFormat="1" customHeight="1" s="12">
      <c r="A56" s="17" t="n">
        <v>51</v>
      </c>
      <c r="B56" s="25" t="inlineStr">
        <is>
          <t>2025.08.08</t>
        </is>
      </c>
      <c r="C56" s="141">
        <f>H56*I56</f>
        <v/>
      </c>
      <c r="D56" s="41" t="n"/>
      <c r="E56" s="41" t="n"/>
      <c r="F56" s="41" t="n">
        <v>74</v>
      </c>
      <c r="G56" s="42" t="n"/>
      <c r="H56" s="20" t="n"/>
      <c r="I56" s="20" t="n"/>
      <c r="J56" s="20" t="n"/>
    </row>
    <row r="57" ht="16.5" customFormat="1" customHeight="1" s="12">
      <c r="A57" s="17" t="n">
        <v>52</v>
      </c>
      <c r="B57" s="25" t="inlineStr">
        <is>
          <t>2025.09.09</t>
        </is>
      </c>
      <c r="C57" s="141">
        <f>H57*I57</f>
        <v/>
      </c>
      <c r="D57" s="41" t="n"/>
      <c r="E57" s="41" t="n"/>
      <c r="F57" s="41" t="n">
        <v>76</v>
      </c>
      <c r="G57" s="42" t="n"/>
      <c r="H57" s="20" t="n"/>
      <c r="I57" s="20" t="n"/>
      <c r="J57" s="20" t="n"/>
    </row>
    <row r="58" ht="16.5" customFormat="1" customHeight="1" s="12">
      <c r="A58" s="17" t="n">
        <v>53</v>
      </c>
      <c r="B58" s="25" t="inlineStr">
        <is>
          <t>2025.09.17</t>
        </is>
      </c>
      <c r="C58" s="141">
        <f>H58*I58</f>
        <v/>
      </c>
      <c r="D58" s="41" t="n">
        <v>-14.781595</v>
      </c>
      <c r="E58" s="41" t="n">
        <v>-32996</v>
      </c>
      <c r="F58" s="41" t="n"/>
      <c r="G58" s="42" t="n"/>
      <c r="H58" s="20" t="n">
        <v>74.66</v>
      </c>
      <c r="I58" s="20" t="n">
        <v>29.99</v>
      </c>
      <c r="J58" s="20" t="n">
        <v>-1103.59</v>
      </c>
    </row>
    <row r="59" ht="16.5" customFormat="1" customHeight="1" s="12">
      <c r="A59" s="17" t="n">
        <v>54</v>
      </c>
      <c r="B59" s="25" t="n"/>
      <c r="C59" s="141">
        <f>H59*I59</f>
        <v/>
      </c>
      <c r="D59" s="41" t="n"/>
      <c r="E59" s="41" t="n"/>
      <c r="F59" s="41" t="n"/>
      <c r="G59" s="42" t="n"/>
      <c r="H59" s="20" t="n"/>
      <c r="I59" s="20" t="n"/>
      <c r="J59" s="20" t="n"/>
    </row>
    <row r="60" ht="16.5" customFormat="1" customHeight="1" s="12">
      <c r="A60" s="17" t="n">
        <v>55</v>
      </c>
      <c r="B60" s="25" t="n"/>
      <c r="C60" s="141">
        <f>H60*I60</f>
        <v/>
      </c>
      <c r="D60" s="41" t="n"/>
      <c r="E60" s="41" t="n"/>
      <c r="F60" s="41" t="n"/>
      <c r="G60" s="42" t="n"/>
      <c r="H60" s="20" t="n"/>
      <c r="I60" s="20" t="n"/>
      <c r="J60" s="20" t="n"/>
    </row>
    <row r="61" ht="16.5" customFormat="1" customHeight="1" s="12">
      <c r="A61" s="17" t="n">
        <v>56</v>
      </c>
      <c r="B61" s="25" t="n"/>
      <c r="C61" s="141">
        <f>H61*I61</f>
        <v/>
      </c>
      <c r="D61" s="41" t="n"/>
      <c r="E61" s="41" t="n"/>
      <c r="F61" s="41" t="n"/>
      <c r="G61" s="42" t="n"/>
      <c r="H61" s="20" t="n"/>
      <c r="I61" s="20" t="n"/>
      <c r="J61" s="20" t="n"/>
    </row>
    <row r="62" ht="16.5" customFormat="1" customHeight="1" s="12">
      <c r="A62" s="17" t="n">
        <v>57</v>
      </c>
      <c r="B62" s="25" t="n"/>
      <c r="C62" s="141">
        <f>H62*I62</f>
        <v/>
      </c>
      <c r="D62" s="41" t="n"/>
      <c r="E62" s="41" t="n"/>
      <c r="F62" s="41" t="n"/>
      <c r="G62" s="42" t="n"/>
      <c r="H62" s="20" t="n"/>
      <c r="I62" s="20" t="n"/>
      <c r="J62" s="20" t="n"/>
    </row>
    <row r="63" ht="16.5" customFormat="1" customHeight="1" s="12">
      <c r="A63" s="17" t="n">
        <v>58</v>
      </c>
      <c r="B63" s="25" t="n"/>
      <c r="C63" s="141">
        <f>H63*I63</f>
        <v/>
      </c>
      <c r="D63" s="41" t="n"/>
      <c r="E63" s="41" t="n"/>
      <c r="F63" s="41" t="n"/>
      <c r="G63" s="42" t="n"/>
      <c r="H63" s="20" t="n"/>
      <c r="I63" s="20" t="n"/>
      <c r="J63" s="20" t="n"/>
    </row>
    <row r="64" ht="16.5" customFormat="1" customHeight="1" s="12">
      <c r="A64" s="17" t="n">
        <v>59</v>
      </c>
      <c r="B64" s="25" t="n"/>
      <c r="C64" s="141">
        <f>H64*I64</f>
        <v/>
      </c>
      <c r="D64" s="41" t="n"/>
      <c r="E64" s="41" t="n"/>
      <c r="F64" s="41" t="n"/>
      <c r="G64" s="42" t="n"/>
      <c r="H64" s="20" t="n"/>
      <c r="I64" s="20" t="n"/>
      <c r="J64" s="20" t="n"/>
    </row>
    <row r="65" ht="16.5" customFormat="1" customHeight="1" s="12">
      <c r="A65" s="17" t="n">
        <v>60</v>
      </c>
      <c r="B65" s="25" t="n"/>
      <c r="C65" s="141">
        <f>H65*I65</f>
        <v/>
      </c>
      <c r="D65" s="41" t="n"/>
      <c r="E65" s="41" t="n"/>
      <c r="F65" s="41" t="n"/>
      <c r="G65" s="42" t="n"/>
      <c r="H65" s="20" t="n"/>
      <c r="I65" s="20" t="n"/>
      <c r="J65" s="20" t="n"/>
    </row>
    <row r="66" ht="16.5" customFormat="1" customHeight="1" s="12">
      <c r="A66" s="17" t="n">
        <v>61</v>
      </c>
      <c r="B66" s="25" t="n"/>
      <c r="C66" s="141">
        <f>H66*I66</f>
        <v/>
      </c>
      <c r="D66" s="41" t="n"/>
      <c r="E66" s="41" t="n"/>
      <c r="F66" s="41" t="n"/>
      <c r="G66" s="42" t="n"/>
      <c r="H66" s="20" t="n"/>
      <c r="I66" s="20" t="n"/>
      <c r="J66" s="20" t="n"/>
    </row>
    <row r="67" ht="16.5" customFormat="1" customHeight="1" s="12">
      <c r="A67" s="17" t="n">
        <v>62</v>
      </c>
      <c r="B67" s="25" t="n"/>
      <c r="C67" s="141">
        <f>H67*I67</f>
        <v/>
      </c>
      <c r="D67" s="41" t="n"/>
      <c r="E67" s="41" t="n"/>
      <c r="F67" s="41" t="n"/>
      <c r="G67" s="42" t="n"/>
      <c r="H67" s="20" t="n"/>
      <c r="I67" s="20" t="n"/>
      <c r="J67" s="20" t="n"/>
    </row>
    <row r="68" ht="16.5" customFormat="1" customHeight="1" s="12">
      <c r="A68" s="17" t="n">
        <v>63</v>
      </c>
      <c r="B68" s="25" t="n"/>
      <c r="C68" s="141">
        <f>H68*I68</f>
        <v/>
      </c>
      <c r="D68" s="41" t="n"/>
      <c r="E68" s="41" t="n"/>
      <c r="F68" s="41" t="n"/>
      <c r="G68" s="42" t="n"/>
      <c r="H68" s="20" t="n"/>
      <c r="I68" s="20" t="n"/>
      <c r="J68" s="20" t="n"/>
    </row>
    <row r="69" ht="16.5" customFormat="1" customHeight="1" s="12">
      <c r="A69" s="17" t="n">
        <v>64</v>
      </c>
      <c r="B69" s="25" t="n"/>
      <c r="C69" s="141">
        <f>H69*I69</f>
        <v/>
      </c>
      <c r="D69" s="41" t="n"/>
      <c r="E69" s="41" t="n"/>
      <c r="F69" s="41" t="n"/>
      <c r="G69" s="42" t="n"/>
      <c r="H69" s="20" t="n"/>
      <c r="I69" s="20" t="n"/>
      <c r="J69" s="20" t="n"/>
    </row>
    <row r="70" ht="16.5" customFormat="1" customHeight="1" s="12">
      <c r="A70" s="17" t="n">
        <v>65</v>
      </c>
      <c r="B70" s="25" t="n"/>
      <c r="C70" s="141">
        <f>H70*I70</f>
        <v/>
      </c>
      <c r="D70" s="41" t="n"/>
      <c r="E70" s="41" t="n"/>
      <c r="F70" s="41" t="n"/>
      <c r="G70" s="42" t="n"/>
      <c r="H70" s="20" t="n"/>
      <c r="I70" s="20" t="n"/>
      <c r="J70" s="20" t="n"/>
    </row>
    <row r="71" ht="16.5" customFormat="1" customHeight="1" s="12">
      <c r="A71" s="17" t="n">
        <v>66</v>
      </c>
      <c r="B71" s="25" t="n"/>
      <c r="C71" s="141">
        <f>H71*I71</f>
        <v/>
      </c>
      <c r="D71" s="41" t="n"/>
      <c r="E71" s="41" t="n"/>
      <c r="F71" s="41" t="n"/>
      <c r="G71" s="42" t="n"/>
      <c r="H71" s="20" t="n"/>
      <c r="I71" s="20" t="n"/>
      <c r="J71" s="20" t="n"/>
    </row>
    <row r="72" ht="16.5" customFormat="1" customHeight="1" s="12">
      <c r="A72" s="17" t="n">
        <v>67</v>
      </c>
      <c r="B72" s="25" t="n"/>
      <c r="C72" s="141">
        <f>H72*I72</f>
        <v/>
      </c>
      <c r="D72" s="41" t="n"/>
      <c r="E72" s="41" t="n"/>
      <c r="F72" s="41" t="n"/>
      <c r="G72" s="42" t="n"/>
      <c r="H72" s="20" t="n"/>
      <c r="I72" s="20" t="n"/>
      <c r="J72" s="20" t="n"/>
    </row>
    <row r="73" ht="16.5" customFormat="1" customHeight="1" s="12">
      <c r="A73" s="17" t="n">
        <v>68</v>
      </c>
      <c r="B73" s="25" t="n"/>
      <c r="C73" s="141">
        <f>H73*I73</f>
        <v/>
      </c>
      <c r="D73" s="41" t="n"/>
      <c r="E73" s="41" t="n"/>
      <c r="F73" s="41" t="n"/>
      <c r="G73" s="42" t="n"/>
      <c r="H73" s="20" t="n"/>
      <c r="I73" s="20" t="n"/>
      <c r="J73" s="20" t="n"/>
    </row>
    <row r="74" ht="16.5" customFormat="1" customHeight="1" s="12">
      <c r="A74" s="17" t="n">
        <v>69</v>
      </c>
      <c r="B74" s="25" t="n"/>
      <c r="C74" s="141">
        <f>H74*I74</f>
        <v/>
      </c>
      <c r="D74" s="41" t="n"/>
      <c r="E74" s="41" t="n"/>
      <c r="F74" s="41" t="n"/>
      <c r="G74" s="42" t="n"/>
      <c r="H74" s="20" t="n"/>
      <c r="I74" s="20" t="n"/>
      <c r="J74" s="20" t="n"/>
    </row>
    <row r="75" ht="16.5" customFormat="1" customHeight="1" s="12">
      <c r="A75" s="17" t="n">
        <v>70</v>
      </c>
      <c r="B75" s="25" t="n"/>
      <c r="C75" s="141">
        <f>H75*I75</f>
        <v/>
      </c>
      <c r="D75" s="41" t="n"/>
      <c r="E75" s="41" t="n"/>
      <c r="F75" s="41" t="n"/>
      <c r="G75" s="42" t="n"/>
      <c r="H75" s="20" t="n"/>
      <c r="I75" s="20" t="n"/>
      <c r="J75" s="20" t="n"/>
    </row>
    <row r="76" ht="16.5" customFormat="1" customHeight="1" s="12">
      <c r="A76" s="17" t="n">
        <v>71</v>
      </c>
      <c r="B76" s="25" t="n"/>
      <c r="C76" s="141">
        <f>H76*I76</f>
        <v/>
      </c>
      <c r="D76" s="41" t="n"/>
      <c r="E76" s="41" t="n"/>
      <c r="F76" s="41" t="n"/>
      <c r="G76" s="42" t="n"/>
      <c r="H76" s="20" t="n"/>
      <c r="I76" s="20" t="n"/>
      <c r="J76" s="20" t="n"/>
    </row>
    <row r="77" ht="16.5" customFormat="1" customHeight="1" s="12">
      <c r="A77" s="17" t="n">
        <v>72</v>
      </c>
      <c r="B77" s="25" t="n"/>
      <c r="C77" s="141">
        <f>H77*I77</f>
        <v/>
      </c>
      <c r="D77" s="41" t="n"/>
      <c r="E77" s="41" t="n"/>
      <c r="F77" s="41" t="n"/>
      <c r="G77" s="42" t="n"/>
      <c r="H77" s="20" t="n"/>
      <c r="I77" s="20" t="n"/>
      <c r="J77" s="20" t="n"/>
    </row>
    <row r="78" ht="16.5" customFormat="1" customHeight="1" s="12">
      <c r="A78" s="17" t="n">
        <v>73</v>
      </c>
      <c r="B78" s="25" t="n"/>
      <c r="C78" s="141">
        <f>H78*I78</f>
        <v/>
      </c>
      <c r="D78" s="41" t="n"/>
      <c r="E78" s="41" t="n"/>
      <c r="F78" s="41" t="n"/>
      <c r="G78" s="42" t="n"/>
      <c r="H78" s="20" t="n"/>
      <c r="I78" s="20" t="n"/>
      <c r="J78" s="20" t="n"/>
    </row>
    <row r="79" ht="16.5" customFormat="1" customHeight="1" s="12">
      <c r="A79" s="17" t="n">
        <v>74</v>
      </c>
      <c r="B79" s="25" t="n"/>
      <c r="C79" s="141">
        <f>H79*I79</f>
        <v/>
      </c>
      <c r="D79" s="41" t="n"/>
      <c r="E79" s="41" t="n"/>
      <c r="F79" s="41" t="n"/>
      <c r="G79" s="42" t="n"/>
      <c r="H79" s="20" t="n"/>
      <c r="I79" s="20" t="n"/>
      <c r="J79" s="20" t="n"/>
    </row>
    <row r="80" ht="16.5" customFormat="1" customHeight="1" s="12">
      <c r="A80" s="17" t="n">
        <v>75</v>
      </c>
      <c r="B80" s="25" t="n"/>
      <c r="C80" s="141">
        <f>H80*I80</f>
        <v/>
      </c>
      <c r="D80" s="41" t="n"/>
      <c r="E80" s="41" t="n"/>
      <c r="F80" s="41" t="n"/>
      <c r="G80" s="42" t="n"/>
      <c r="H80" s="20" t="n"/>
      <c r="I80" s="20" t="n"/>
      <c r="J80" s="20" t="n"/>
    </row>
    <row r="81" ht="16.5" customFormat="1" customHeight="1" s="12">
      <c r="A81" s="17" t="n">
        <v>76</v>
      </c>
      <c r="B81" s="25" t="n"/>
      <c r="C81" s="141">
        <f>H81*I81</f>
        <v/>
      </c>
      <c r="D81" s="41" t="n"/>
      <c r="E81" s="41" t="n"/>
      <c r="F81" s="41" t="n"/>
      <c r="G81" s="42" t="n"/>
      <c r="H81" s="20" t="n"/>
      <c r="I81" s="20" t="n"/>
      <c r="J81" s="20" t="n"/>
    </row>
    <row r="82" ht="16.5" customFormat="1" customHeight="1" s="12">
      <c r="A82" s="17" t="n">
        <v>77</v>
      </c>
      <c r="B82" s="25" t="n"/>
      <c r="C82" s="141">
        <f>H82*I82</f>
        <v/>
      </c>
      <c r="D82" s="41" t="n"/>
      <c r="E82" s="41" t="n"/>
      <c r="F82" s="41" t="n"/>
      <c r="G82" s="42" t="n"/>
      <c r="H82" s="20" t="n"/>
      <c r="I82" s="20" t="n"/>
      <c r="J82" s="20" t="n"/>
    </row>
    <row r="83" ht="16.5" customFormat="1" customHeight="1" s="12">
      <c r="A83" s="17" t="n">
        <v>78</v>
      </c>
      <c r="B83" s="25" t="n"/>
      <c r="C83" s="141">
        <f>H83*I83</f>
        <v/>
      </c>
      <c r="D83" s="41" t="n"/>
      <c r="E83" s="41" t="n"/>
      <c r="F83" s="41" t="n"/>
      <c r="G83" s="42" t="n"/>
      <c r="H83" s="20" t="n"/>
      <c r="I83" s="20" t="n"/>
      <c r="J83" s="20" t="n"/>
    </row>
    <row r="84" ht="16.5" customFormat="1" customHeight="1" s="12">
      <c r="A84" s="17" t="n">
        <v>79</v>
      </c>
      <c r="B84" s="25" t="n"/>
      <c r="C84" s="141">
        <f>H84*I84</f>
        <v/>
      </c>
      <c r="D84" s="41" t="n"/>
      <c r="E84" s="41" t="n"/>
      <c r="F84" s="41" t="n"/>
      <c r="G84" s="42" t="n"/>
      <c r="H84" s="20" t="n"/>
      <c r="I84" s="20" t="n"/>
      <c r="J84" s="20" t="n"/>
    </row>
    <row r="85" ht="16.5" customFormat="1" customHeight="1" s="12">
      <c r="A85" s="17" t="n">
        <v>80</v>
      </c>
      <c r="B85" s="25" t="n"/>
      <c r="C85" s="141">
        <f>H85*I85</f>
        <v/>
      </c>
      <c r="D85" s="41" t="n"/>
      <c r="E85" s="41" t="n"/>
      <c r="F85" s="41" t="n"/>
      <c r="G85" s="42" t="n"/>
      <c r="H85" s="20" t="n"/>
      <c r="I85" s="20" t="n"/>
      <c r="J85" s="20" t="n"/>
    </row>
    <row r="86" ht="16.5" customFormat="1" customHeight="1" s="12">
      <c r="A86" s="17" t="n">
        <v>81</v>
      </c>
      <c r="B86" s="25" t="n"/>
      <c r="C86" s="141">
        <f>H86*I86</f>
        <v/>
      </c>
      <c r="D86" s="41" t="n"/>
      <c r="E86" s="41" t="n"/>
      <c r="F86" s="41" t="n"/>
      <c r="G86" s="42" t="n"/>
      <c r="H86" s="20" t="n"/>
      <c r="I86" s="20" t="n"/>
      <c r="J86" s="20" t="n"/>
    </row>
    <row r="87" ht="16.5" customFormat="1" customHeight="1" s="12">
      <c r="A87" s="17" t="n">
        <v>82</v>
      </c>
      <c r="B87" s="25" t="n"/>
      <c r="C87" s="141">
        <f>H87*I87</f>
        <v/>
      </c>
      <c r="D87" s="41" t="n"/>
      <c r="E87" s="41" t="n"/>
      <c r="F87" s="41" t="n"/>
      <c r="G87" s="42" t="n"/>
      <c r="H87" s="20" t="n"/>
      <c r="I87" s="20" t="n"/>
      <c r="J87" s="20" t="n"/>
    </row>
    <row r="88" ht="16.5" customFormat="1" customHeight="1" s="12">
      <c r="A88" s="17" t="n">
        <v>83</v>
      </c>
      <c r="B88" s="25" t="n"/>
      <c r="C88" s="141">
        <f>H88*I88</f>
        <v/>
      </c>
      <c r="D88" s="41" t="n"/>
      <c r="E88" s="41" t="n"/>
      <c r="F88" s="41" t="n"/>
      <c r="G88" s="42" t="n"/>
      <c r="H88" s="20" t="n"/>
      <c r="I88" s="20" t="n"/>
      <c r="J88" s="20" t="n"/>
    </row>
    <row r="89" ht="16.5" customFormat="1" customHeight="1" s="12">
      <c r="A89" s="17" t="n">
        <v>84</v>
      </c>
      <c r="B89" s="25" t="n"/>
      <c r="C89" s="141">
        <f>H89*I89</f>
        <v/>
      </c>
      <c r="D89" s="41" t="n"/>
      <c r="E89" s="41" t="n"/>
      <c r="F89" s="41" t="n"/>
      <c r="G89" s="42" t="n"/>
      <c r="H89" s="20" t="n"/>
      <c r="I89" s="20" t="n"/>
      <c r="J89" s="20" t="n"/>
    </row>
    <row r="90" ht="16.5" customFormat="1" customHeight="1" s="12">
      <c r="A90" s="17" t="n">
        <v>85</v>
      </c>
      <c r="B90" s="25" t="n"/>
      <c r="C90" s="141">
        <f>H90*I90</f>
        <v/>
      </c>
      <c r="D90" s="41" t="n"/>
      <c r="E90" s="41" t="n"/>
      <c r="F90" s="41" t="n"/>
      <c r="G90" s="42" t="n"/>
      <c r="H90" s="20" t="n"/>
      <c r="I90" s="20" t="n"/>
      <c r="J90" s="20" t="n"/>
    </row>
    <row r="91" ht="16.5" customFormat="1" customHeight="1" s="12">
      <c r="A91" s="17" t="n">
        <v>86</v>
      </c>
      <c r="B91" s="25" t="n"/>
      <c r="C91" s="141">
        <f>H91*I91</f>
        <v/>
      </c>
      <c r="D91" s="41" t="n"/>
      <c r="E91" s="41" t="n"/>
      <c r="F91" s="41" t="n"/>
      <c r="G91" s="42" t="n"/>
      <c r="H91" s="20" t="n"/>
      <c r="I91" s="20" t="n"/>
      <c r="J91" s="20" t="n"/>
    </row>
    <row r="92" ht="16.5" customFormat="1" customHeight="1" s="12">
      <c r="A92" s="17" t="n">
        <v>87</v>
      </c>
      <c r="B92" s="25" t="n"/>
      <c r="C92" s="141">
        <f>H92*I92</f>
        <v/>
      </c>
      <c r="D92" s="41" t="n"/>
      <c r="E92" s="41" t="n"/>
      <c r="F92" s="41" t="n"/>
      <c r="G92" s="42" t="n"/>
      <c r="H92" s="20" t="n"/>
      <c r="I92" s="20" t="n"/>
      <c r="J92" s="20" t="n"/>
    </row>
    <row r="93" ht="16.5" customFormat="1" customHeight="1" s="12">
      <c r="A93" s="17" t="n">
        <v>88</v>
      </c>
      <c r="B93" s="25" t="n"/>
      <c r="C93" s="141">
        <f>H93*I93</f>
        <v/>
      </c>
      <c r="D93" s="41" t="n"/>
      <c r="E93" s="41" t="n"/>
      <c r="F93" s="41" t="n"/>
      <c r="G93" s="42" t="n"/>
      <c r="H93" s="20" t="n"/>
      <c r="I93" s="20" t="n"/>
      <c r="J93" s="20" t="n"/>
    </row>
    <row r="94" ht="16.5" customFormat="1" customHeight="1" s="12">
      <c r="A94" s="17" t="n">
        <v>89</v>
      </c>
      <c r="B94" s="25" t="n"/>
      <c r="C94" s="141">
        <f>H94*I94</f>
        <v/>
      </c>
      <c r="D94" s="41" t="n"/>
      <c r="E94" s="41" t="n"/>
      <c r="F94" s="41" t="n"/>
      <c r="G94" s="42" t="n"/>
      <c r="H94" s="20" t="n"/>
      <c r="I94" s="20" t="n"/>
      <c r="J94" s="20" t="n"/>
    </row>
    <row r="95" ht="16.5" customFormat="1" customHeight="1" s="12">
      <c r="A95" s="17" t="n">
        <v>90</v>
      </c>
      <c r="B95" s="25" t="n"/>
      <c r="C95" s="141">
        <f>H95*I95</f>
        <v/>
      </c>
      <c r="D95" s="41" t="n"/>
      <c r="E95" s="41" t="n"/>
      <c r="F95" s="41" t="n"/>
      <c r="G95" s="42" t="n"/>
      <c r="H95" s="20" t="n"/>
      <c r="I95" s="20" t="n"/>
      <c r="J95" s="20" t="n"/>
    </row>
    <row r="96" ht="16.5" customFormat="1" customHeight="1" s="12">
      <c r="A96" s="17" t="n">
        <v>91</v>
      </c>
      <c r="B96" s="25" t="n"/>
      <c r="C96" s="141">
        <f>H96*I96</f>
        <v/>
      </c>
      <c r="D96" s="41" t="n"/>
      <c r="E96" s="41" t="n"/>
      <c r="F96" s="41" t="n"/>
      <c r="G96" s="42" t="n"/>
      <c r="H96" s="20" t="n"/>
      <c r="I96" s="20" t="n"/>
      <c r="J96" s="20" t="n"/>
    </row>
    <row r="97" ht="16.5" customFormat="1" customHeight="1" s="12">
      <c r="A97" s="17" t="n">
        <v>92</v>
      </c>
      <c r="B97" s="25" t="n"/>
      <c r="C97" s="141">
        <f>H97*I97</f>
        <v/>
      </c>
      <c r="D97" s="41" t="n"/>
      <c r="E97" s="41" t="n"/>
      <c r="F97" s="41" t="n"/>
      <c r="G97" s="42" t="n"/>
      <c r="H97" s="20" t="n"/>
      <c r="I97" s="20" t="n"/>
      <c r="J97" s="20" t="n"/>
    </row>
    <row r="98" ht="16.5" customFormat="1" customHeight="1" s="12">
      <c r="A98" s="17" t="n">
        <v>93</v>
      </c>
      <c r="B98" s="25" t="n"/>
      <c r="C98" s="141">
        <f>H98*I98</f>
        <v/>
      </c>
      <c r="D98" s="41" t="n"/>
      <c r="E98" s="41" t="n"/>
      <c r="F98" s="41" t="n"/>
      <c r="G98" s="42" t="n"/>
      <c r="H98" s="20" t="n"/>
      <c r="I98" s="20" t="n"/>
      <c r="J98" s="20" t="n"/>
    </row>
    <row r="99" ht="16.5" customFormat="1" customHeight="1" s="12">
      <c r="A99" s="17" t="n">
        <v>94</v>
      </c>
      <c r="B99" s="25" t="n"/>
      <c r="C99" s="141">
        <f>H99*I99</f>
        <v/>
      </c>
      <c r="D99" s="41" t="n"/>
      <c r="E99" s="41" t="n"/>
      <c r="F99" s="41" t="n"/>
      <c r="G99" s="42" t="n"/>
      <c r="H99" s="20" t="n"/>
      <c r="I99" s="20" t="n"/>
      <c r="J99" s="20" t="n"/>
    </row>
    <row r="100" ht="16.5" customFormat="1" customHeight="1" s="12">
      <c r="A100" s="17" t="n">
        <v>95</v>
      </c>
      <c r="B100" s="25" t="n"/>
      <c r="C100" s="141">
        <f>H100*I100</f>
        <v/>
      </c>
      <c r="D100" s="41" t="n"/>
      <c r="E100" s="41" t="n"/>
      <c r="F100" s="41" t="n"/>
      <c r="G100" s="42" t="n"/>
      <c r="H100" s="20" t="n"/>
      <c r="I100" s="20" t="n"/>
      <c r="J100" s="20" t="n"/>
    </row>
    <row r="101" ht="16.5" customFormat="1" customHeight="1" s="12">
      <c r="A101" s="17" t="n">
        <v>96</v>
      </c>
      <c r="B101" s="25" t="n"/>
      <c r="C101" s="141">
        <f>H101*I101</f>
        <v/>
      </c>
      <c r="D101" s="41" t="n"/>
      <c r="E101" s="41" t="n"/>
      <c r="F101" s="41" t="n"/>
      <c r="G101" s="42" t="n"/>
      <c r="H101" s="20" t="n"/>
      <c r="I101" s="20" t="n"/>
      <c r="J101" s="20" t="n"/>
    </row>
    <row r="102" ht="16.5" customFormat="1" customHeight="1" s="12">
      <c r="A102" s="17" t="n">
        <v>97</v>
      </c>
      <c r="B102" s="25" t="n"/>
      <c r="C102" s="141">
        <f>H102*I102</f>
        <v/>
      </c>
      <c r="D102" s="41" t="n"/>
      <c r="E102" s="41" t="n"/>
      <c r="F102" s="41" t="n"/>
      <c r="G102" s="42" t="n"/>
      <c r="H102" s="20" t="n"/>
      <c r="I102" s="20" t="n"/>
      <c r="J102" s="20" t="n"/>
    </row>
    <row r="103" ht="16.5" customFormat="1" customHeight="1" s="12">
      <c r="A103" s="17" t="n">
        <v>98</v>
      </c>
      <c r="B103" s="25" t="n"/>
      <c r="C103" s="141">
        <f>H103*I103</f>
        <v/>
      </c>
      <c r="D103" s="41" t="n"/>
      <c r="E103" s="41" t="n"/>
      <c r="F103" s="41" t="n"/>
      <c r="G103" s="42" t="n"/>
      <c r="H103" s="20" t="n"/>
      <c r="I103" s="20" t="n"/>
      <c r="J103" s="20" t="n"/>
    </row>
    <row r="104" ht="16.5" customFormat="1" customHeight="1" s="12">
      <c r="A104" s="17" t="n">
        <v>99</v>
      </c>
      <c r="B104" s="25" t="n"/>
      <c r="C104" s="141">
        <f>H104*I104</f>
        <v/>
      </c>
      <c r="D104" s="41" t="n"/>
      <c r="E104" s="41" t="n"/>
      <c r="F104" s="41" t="n"/>
      <c r="G104" s="42" t="n"/>
      <c r="H104" s="20" t="n"/>
      <c r="I104" s="20" t="n"/>
      <c r="J104" s="20" t="n"/>
    </row>
    <row r="105" ht="16.5" customFormat="1" customHeight="1" s="12">
      <c r="A105" s="17" t="n">
        <v>100</v>
      </c>
      <c r="B105" s="25" t="n"/>
      <c r="C105" s="141">
        <f>H105*I105</f>
        <v/>
      </c>
      <c r="D105" s="41" t="n"/>
      <c r="E105" s="41" t="n"/>
      <c r="F105" s="41" t="n"/>
      <c r="G105" s="42" t="n"/>
      <c r="H105" s="20" t="n"/>
      <c r="I105" s="20" t="n"/>
      <c r="J105" s="20" t="n"/>
    </row>
    <row r="106" ht="16.5" customFormat="1" customHeight="1" s="12">
      <c r="A106" s="17" t="n">
        <v>101</v>
      </c>
      <c r="B106" s="25" t="n"/>
      <c r="C106" s="141">
        <f>H106*I106</f>
        <v/>
      </c>
      <c r="D106" s="41" t="n"/>
      <c r="E106" s="41" t="n"/>
      <c r="F106" s="41" t="n"/>
      <c r="G106" s="42" t="n"/>
      <c r="H106" s="20" t="n"/>
      <c r="I106" s="20" t="n"/>
      <c r="J106" s="20" t="n"/>
    </row>
    <row r="107" ht="16.5" customFormat="1" customHeight="1" s="12">
      <c r="A107" s="17" t="n">
        <v>102</v>
      </c>
      <c r="B107" s="25" t="n"/>
      <c r="C107" s="141">
        <f>H107*I107</f>
        <v/>
      </c>
      <c r="D107" s="41" t="n"/>
      <c r="E107" s="41" t="n"/>
      <c r="F107" s="41" t="n"/>
      <c r="G107" s="42" t="n"/>
      <c r="H107" s="20" t="n"/>
      <c r="I107" s="20" t="n"/>
      <c r="J107" s="20" t="n"/>
    </row>
    <row r="108" ht="16.5" customFormat="1" customHeight="1" s="12">
      <c r="A108" s="17" t="n">
        <v>103</v>
      </c>
      <c r="B108" s="25" t="n"/>
      <c r="C108" s="141">
        <f>H108*I108</f>
        <v/>
      </c>
      <c r="D108" s="41" t="n"/>
      <c r="E108" s="41" t="n"/>
      <c r="F108" s="41" t="n"/>
      <c r="G108" s="42" t="n"/>
      <c r="H108" s="20" t="n"/>
      <c r="I108" s="20" t="n"/>
      <c r="J108" s="20" t="n"/>
    </row>
    <row r="109" ht="16.5" customFormat="1" customHeight="1" s="12">
      <c r="A109" s="17" t="n">
        <v>104</v>
      </c>
      <c r="B109" s="25" t="n"/>
      <c r="C109" s="141">
        <f>H109*I109</f>
        <v/>
      </c>
      <c r="D109" s="41" t="n"/>
      <c r="E109" s="41" t="n"/>
      <c r="F109" s="41" t="n"/>
      <c r="G109" s="42" t="n"/>
      <c r="H109" s="20" t="n"/>
      <c r="I109" s="20" t="n"/>
      <c r="J109" s="20" t="n"/>
    </row>
    <row r="110" ht="16.5" customFormat="1" customHeight="1" s="12">
      <c r="A110" s="17" t="n">
        <v>105</v>
      </c>
      <c r="B110" s="25" t="n"/>
      <c r="C110" s="141">
        <f>H110*I110</f>
        <v/>
      </c>
      <c r="D110" s="41" t="n"/>
      <c r="E110" s="41" t="n"/>
      <c r="F110" s="41" t="n"/>
      <c r="G110" s="42" t="n"/>
      <c r="H110" s="20" t="n"/>
      <c r="I110" s="20" t="n"/>
      <c r="J110" s="20" t="n"/>
    </row>
    <row r="111" ht="16.5" customFormat="1" customHeight="1" s="12">
      <c r="A111" s="17" t="n">
        <v>106</v>
      </c>
      <c r="B111" s="25" t="n"/>
      <c r="C111" s="141">
        <f>H111*I111</f>
        <v/>
      </c>
      <c r="D111" s="41" t="n"/>
      <c r="E111" s="41" t="n"/>
      <c r="F111" s="41" t="n"/>
      <c r="G111" s="42" t="n"/>
      <c r="H111" s="20" t="n"/>
      <c r="I111" s="20" t="n"/>
      <c r="J111" s="20" t="n"/>
    </row>
    <row r="112" ht="16.5" customFormat="1" customHeight="1" s="12">
      <c r="A112" s="17" t="n">
        <v>107</v>
      </c>
      <c r="B112" s="25" t="n"/>
      <c r="C112" s="141">
        <f>H112*I112</f>
        <v/>
      </c>
      <c r="D112" s="41" t="n"/>
      <c r="E112" s="41" t="n"/>
      <c r="F112" s="41" t="n"/>
      <c r="G112" s="42" t="n"/>
      <c r="H112" s="20" t="n"/>
      <c r="I112" s="20" t="n"/>
      <c r="J112" s="20" t="n"/>
    </row>
    <row r="113" ht="16.5" customFormat="1" customHeight="1" s="12">
      <c r="A113" s="17" t="n">
        <v>108</v>
      </c>
      <c r="B113" s="25" t="n"/>
      <c r="C113" s="141">
        <f>H113*I113</f>
        <v/>
      </c>
      <c r="D113" s="41" t="n"/>
      <c r="E113" s="41" t="n"/>
      <c r="F113" s="41" t="n"/>
      <c r="G113" s="42" t="n"/>
      <c r="H113" s="20" t="n"/>
      <c r="I113" s="20" t="n"/>
      <c r="J113" s="20" t="n"/>
    </row>
    <row r="114" ht="16.5" customFormat="1" customHeight="1" s="12">
      <c r="A114" s="17" t="n">
        <v>109</v>
      </c>
      <c r="B114" s="25" t="n"/>
      <c r="C114" s="141">
        <f>H114*I114</f>
        <v/>
      </c>
      <c r="D114" s="41" t="n"/>
      <c r="E114" s="41" t="n"/>
      <c r="F114" s="41" t="n"/>
      <c r="G114" s="42" t="n"/>
      <c r="H114" s="20" t="n"/>
      <c r="I114" s="20" t="n"/>
      <c r="J114" s="20" t="n"/>
    </row>
    <row r="115" ht="16.5" customFormat="1" customHeight="1" s="12">
      <c r="A115" s="17" t="n">
        <v>110</v>
      </c>
      <c r="B115" s="25" t="n"/>
      <c r="C115" s="141">
        <f>H115*I115</f>
        <v/>
      </c>
      <c r="D115" s="41" t="n"/>
      <c r="E115" s="41" t="n"/>
      <c r="F115" s="41" t="n"/>
      <c r="G115" s="42" t="n"/>
      <c r="H115" s="20" t="n"/>
      <c r="I115" s="20" t="n"/>
      <c r="J115" s="20" t="n"/>
    </row>
    <row r="116" ht="16.5" customFormat="1" customHeight="1" s="12">
      <c r="A116" s="17" t="n">
        <v>111</v>
      </c>
      <c r="B116" s="25" t="n"/>
      <c r="C116" s="141">
        <f>H116*I116</f>
        <v/>
      </c>
      <c r="D116" s="41" t="n"/>
      <c r="E116" s="41" t="n"/>
      <c r="F116" s="41" t="n"/>
      <c r="G116" s="42" t="n"/>
      <c r="H116" s="20" t="n"/>
      <c r="I116" s="20" t="n"/>
      <c r="J116" s="20" t="n"/>
    </row>
    <row r="117" ht="16.5" customFormat="1" customHeight="1" s="12">
      <c r="A117" s="17" t="n">
        <v>112</v>
      </c>
      <c r="B117" s="25" t="n"/>
      <c r="C117" s="141">
        <f>H117*I117</f>
        <v/>
      </c>
      <c r="D117" s="41" t="n"/>
      <c r="E117" s="41" t="n"/>
      <c r="F117" s="41" t="n"/>
      <c r="G117" s="42" t="n"/>
      <c r="H117" s="20" t="n"/>
      <c r="I117" s="20" t="n"/>
      <c r="J117" s="20" t="n"/>
    </row>
    <row r="118" ht="16.5" customFormat="1" customHeight="1" s="12">
      <c r="A118" s="17" t="n">
        <v>113</v>
      </c>
      <c r="B118" s="25" t="n"/>
      <c r="C118" s="141">
        <f>H118*I118</f>
        <v/>
      </c>
      <c r="D118" s="41" t="n"/>
      <c r="E118" s="41" t="n"/>
      <c r="F118" s="41" t="n"/>
      <c r="G118" s="42" t="n"/>
      <c r="H118" s="20" t="n"/>
      <c r="I118" s="20" t="n"/>
      <c r="J118" s="20" t="n"/>
    </row>
    <row r="119" ht="16.5" customFormat="1" customHeight="1" s="12">
      <c r="A119" s="17" t="n">
        <v>114</v>
      </c>
      <c r="B119" s="25" t="n"/>
      <c r="C119" s="141">
        <f>H119*I119</f>
        <v/>
      </c>
      <c r="D119" s="41" t="n"/>
      <c r="E119" s="41" t="n"/>
      <c r="F119" s="41" t="n"/>
      <c r="G119" s="42" t="n"/>
      <c r="H119" s="20" t="n"/>
      <c r="I119" s="20" t="n"/>
      <c r="J119" s="20" t="n"/>
    </row>
    <row r="120" ht="16.5" customFormat="1" customHeight="1" s="12">
      <c r="A120" s="17" t="n">
        <v>115</v>
      </c>
      <c r="B120" s="25" t="n"/>
      <c r="C120" s="141">
        <f>H120*I120</f>
        <v/>
      </c>
      <c r="D120" s="41" t="n"/>
      <c r="E120" s="41" t="n"/>
      <c r="F120" s="41" t="n"/>
      <c r="G120" s="42" t="n"/>
      <c r="H120" s="20" t="n"/>
      <c r="I120" s="20" t="n"/>
      <c r="J120" s="20" t="n"/>
    </row>
    <row r="121" ht="16.5" customFormat="1" customHeight="1" s="12">
      <c r="A121" s="17" t="n">
        <v>116</v>
      </c>
      <c r="B121" s="25" t="n"/>
      <c r="C121" s="141">
        <f>H121*I121</f>
        <v/>
      </c>
      <c r="D121" s="41" t="n"/>
      <c r="E121" s="41" t="n"/>
      <c r="F121" s="41" t="n"/>
      <c r="G121" s="42" t="n"/>
      <c r="H121" s="20" t="n"/>
      <c r="I121" s="20" t="n"/>
      <c r="J121" s="20" t="n"/>
    </row>
    <row r="122" ht="16.5" customFormat="1" customHeight="1" s="12">
      <c r="A122" s="17" t="n">
        <v>117</v>
      </c>
      <c r="B122" s="25" t="n"/>
      <c r="C122" s="141">
        <f>H122*I122</f>
        <v/>
      </c>
      <c r="D122" s="41" t="n"/>
      <c r="E122" s="41" t="n"/>
      <c r="F122" s="41" t="n"/>
      <c r="G122" s="42" t="n"/>
      <c r="H122" s="20" t="n"/>
      <c r="I122" s="20" t="n"/>
      <c r="J122" s="20" t="n"/>
    </row>
    <row r="123" ht="16.5" customFormat="1" customHeight="1" s="12">
      <c r="A123" s="17" t="n">
        <v>118</v>
      </c>
      <c r="B123" s="25" t="n"/>
      <c r="C123" s="141">
        <f>H123*I123</f>
        <v/>
      </c>
      <c r="D123" s="41" t="n"/>
      <c r="E123" s="41" t="n"/>
      <c r="F123" s="41" t="n"/>
      <c r="G123" s="42" t="n"/>
      <c r="H123" s="20" t="n"/>
      <c r="I123" s="20" t="n"/>
      <c r="J123" s="20" t="n"/>
    </row>
    <row r="124" ht="16.5" customFormat="1" customHeight="1" s="12">
      <c r="A124" s="17" t="n">
        <v>119</v>
      </c>
      <c r="B124" s="25" t="n"/>
      <c r="C124" s="141">
        <f>H124*I124</f>
        <v/>
      </c>
      <c r="D124" s="41" t="n"/>
      <c r="E124" s="41" t="n"/>
      <c r="F124" s="41" t="n"/>
      <c r="G124" s="42" t="n"/>
      <c r="H124" s="20" t="n"/>
      <c r="I124" s="20" t="n"/>
      <c r="J124" s="20" t="n"/>
    </row>
    <row r="125" ht="16.5" customFormat="1" customHeight="1" s="12">
      <c r="A125" s="17" t="n">
        <v>120</v>
      </c>
      <c r="B125" s="25" t="n"/>
      <c r="C125" s="141">
        <f>H125*I125</f>
        <v/>
      </c>
      <c r="D125" s="41" t="n"/>
      <c r="E125" s="41" t="n"/>
      <c r="F125" s="41" t="n"/>
      <c r="G125" s="42" t="n"/>
      <c r="H125" s="20" t="n"/>
      <c r="I125" s="20" t="n"/>
      <c r="J125" s="20" t="n"/>
    </row>
    <row r="126" ht="16.5" customFormat="1" customHeight="1" s="12">
      <c r="A126" s="17" t="n">
        <v>121</v>
      </c>
      <c r="B126" s="25" t="n"/>
      <c r="C126" s="141">
        <f>H126*I126</f>
        <v/>
      </c>
      <c r="D126" s="41" t="n"/>
      <c r="E126" s="41" t="n"/>
      <c r="F126" s="41" t="n"/>
      <c r="G126" s="42" t="n"/>
      <c r="H126" s="20" t="n"/>
      <c r="I126" s="20" t="n"/>
      <c r="J126" s="20" t="n"/>
    </row>
    <row r="127" ht="16.5" customFormat="1" customHeight="1" s="12">
      <c r="A127" s="17" t="n">
        <v>122</v>
      </c>
      <c r="B127" s="25" t="n"/>
      <c r="C127" s="141">
        <f>H127*I127</f>
        <v/>
      </c>
      <c r="D127" s="41" t="n"/>
      <c r="E127" s="41" t="n"/>
      <c r="F127" s="41" t="n"/>
      <c r="G127" s="42" t="n"/>
      <c r="H127" s="20" t="n"/>
      <c r="I127" s="20" t="n"/>
      <c r="J127" s="20" t="n"/>
    </row>
    <row r="128" ht="16.5" customFormat="1" customHeight="1" s="12">
      <c r="A128" s="17" t="n">
        <v>123</v>
      </c>
      <c r="B128" s="25" t="n"/>
      <c r="C128" s="141">
        <f>H128*I128</f>
        <v/>
      </c>
      <c r="D128" s="41" t="n"/>
      <c r="E128" s="41" t="n"/>
      <c r="F128" s="41" t="n"/>
      <c r="G128" s="42" t="n"/>
      <c r="H128" s="20" t="n"/>
      <c r="I128" s="20" t="n"/>
      <c r="J128" s="20" t="n"/>
    </row>
    <row r="129" ht="16.5" customFormat="1" customHeight="1" s="12">
      <c r="A129" s="17" t="n">
        <v>124</v>
      </c>
      <c r="B129" s="25" t="n"/>
      <c r="C129" s="141">
        <f>H129*I129</f>
        <v/>
      </c>
      <c r="D129" s="41" t="n"/>
      <c r="E129" s="41" t="n"/>
      <c r="F129" s="41" t="n"/>
      <c r="G129" s="42" t="n"/>
      <c r="H129" s="20" t="n"/>
      <c r="I129" s="20" t="n"/>
      <c r="J129" s="20" t="n"/>
    </row>
    <row r="130" ht="16.5" customFormat="1" customHeight="1" s="12">
      <c r="A130" s="17" t="n">
        <v>125</v>
      </c>
      <c r="B130" s="25" t="n"/>
      <c r="C130" s="141">
        <f>H130*I130</f>
        <v/>
      </c>
      <c r="D130" s="41" t="n"/>
      <c r="E130" s="41" t="n"/>
      <c r="F130" s="41" t="n"/>
      <c r="G130" s="42" t="n"/>
      <c r="H130" s="20" t="n"/>
      <c r="I130" s="20" t="n"/>
      <c r="J130" s="20" t="n"/>
    </row>
    <row r="131" ht="16.5" customFormat="1" customHeight="1" s="12">
      <c r="A131" s="17" t="n">
        <v>126</v>
      </c>
      <c r="B131" s="25" t="n"/>
      <c r="C131" s="141">
        <f>H131*I131</f>
        <v/>
      </c>
      <c r="D131" s="41" t="n"/>
      <c r="E131" s="41" t="n"/>
      <c r="F131" s="41" t="n"/>
      <c r="G131" s="42" t="n"/>
      <c r="H131" s="20" t="n"/>
      <c r="I131" s="20" t="n"/>
      <c r="J131" s="20" t="n"/>
    </row>
    <row r="132" ht="16.5" customFormat="1" customHeight="1" s="12">
      <c r="A132" s="17" t="n">
        <v>127</v>
      </c>
      <c r="B132" s="25" t="n"/>
      <c r="C132" s="141">
        <f>H132*I132</f>
        <v/>
      </c>
      <c r="D132" s="41" t="n"/>
      <c r="E132" s="41" t="n"/>
      <c r="F132" s="41" t="n"/>
      <c r="G132" s="42" t="n"/>
      <c r="H132" s="20" t="n"/>
      <c r="I132" s="20" t="n"/>
      <c r="J132" s="20" t="n"/>
    </row>
    <row r="133" ht="16.5" customFormat="1" customHeight="1" s="12">
      <c r="A133" s="17" t="n">
        <v>128</v>
      </c>
      <c r="B133" s="25" t="n"/>
      <c r="C133" s="141">
        <f>H133*I133</f>
        <v/>
      </c>
      <c r="D133" s="41" t="n"/>
      <c r="E133" s="41" t="n"/>
      <c r="F133" s="41" t="n"/>
      <c r="G133" s="42" t="n"/>
      <c r="H133" s="20" t="n"/>
      <c r="I133" s="20" t="n"/>
      <c r="J133" s="20" t="n"/>
    </row>
    <row r="134" ht="16.5" customFormat="1" customHeight="1" s="12">
      <c r="A134" s="17" t="n">
        <v>129</v>
      </c>
      <c r="B134" s="25" t="n"/>
      <c r="C134" s="141">
        <f>H134*I134</f>
        <v/>
      </c>
      <c r="D134" s="41" t="n"/>
      <c r="E134" s="41" t="n"/>
      <c r="F134" s="41" t="n"/>
      <c r="G134" s="42" t="n"/>
      <c r="H134" s="20" t="n"/>
      <c r="I134" s="20" t="n"/>
      <c r="J134" s="20" t="n"/>
    </row>
    <row r="135" ht="16.5" customFormat="1" customHeight="1" s="12">
      <c r="A135" s="17" t="n">
        <v>130</v>
      </c>
      <c r="B135" s="25" t="n"/>
      <c r="C135" s="141">
        <f>H135*I135</f>
        <v/>
      </c>
      <c r="D135" s="41" t="n"/>
      <c r="E135" s="41" t="n"/>
      <c r="F135" s="41" t="n"/>
      <c r="G135" s="42" t="n"/>
      <c r="H135" s="20" t="n"/>
      <c r="I135" s="20" t="n"/>
      <c r="J135" s="20" t="n"/>
    </row>
    <row r="136" ht="16.5" customFormat="1" customHeight="1" s="12">
      <c r="A136" s="17" t="n">
        <v>131</v>
      </c>
      <c r="B136" s="25" t="n"/>
      <c r="C136" s="141">
        <f>H136*I136</f>
        <v/>
      </c>
      <c r="D136" s="41" t="n"/>
      <c r="E136" s="41" t="n"/>
      <c r="F136" s="41" t="n"/>
      <c r="G136" s="42" t="n"/>
      <c r="H136" s="20" t="n"/>
      <c r="I136" s="20" t="n"/>
      <c r="J136" s="20" t="n"/>
    </row>
    <row r="137" ht="16.5" customFormat="1" customHeight="1" s="12">
      <c r="A137" s="17" t="n">
        <v>132</v>
      </c>
      <c r="B137" s="25" t="n"/>
      <c r="C137" s="141">
        <f>H137*I137</f>
        <v/>
      </c>
      <c r="D137" s="41" t="n"/>
      <c r="E137" s="41" t="n"/>
      <c r="F137" s="41" t="n"/>
      <c r="G137" s="42" t="n"/>
      <c r="H137" s="20" t="n"/>
      <c r="I137" s="20" t="n"/>
      <c r="J137" s="20" t="n"/>
    </row>
    <row r="138" ht="16.5" customFormat="1" customHeight="1" s="12">
      <c r="A138" s="17" t="n">
        <v>133</v>
      </c>
      <c r="B138" s="25" t="n"/>
      <c r="C138" s="141">
        <f>H138*I138</f>
        <v/>
      </c>
      <c r="D138" s="41" t="n"/>
      <c r="E138" s="41" t="n"/>
      <c r="F138" s="41" t="n"/>
      <c r="G138" s="42" t="n"/>
      <c r="H138" s="20" t="n"/>
      <c r="I138" s="20" t="n"/>
      <c r="J138" s="20" t="n"/>
    </row>
    <row r="139" ht="16.5" customFormat="1" customHeight="1" s="12">
      <c r="A139" s="17" t="n">
        <v>134</v>
      </c>
      <c r="B139" s="25" t="n"/>
      <c r="C139" s="141">
        <f>H139*I139</f>
        <v/>
      </c>
      <c r="D139" s="41" t="n"/>
      <c r="E139" s="41" t="n"/>
      <c r="F139" s="41" t="n"/>
      <c r="G139" s="42" t="n"/>
      <c r="H139" s="20" t="n"/>
      <c r="I139" s="20" t="n"/>
      <c r="J139" s="20" t="n"/>
    </row>
    <row r="140" ht="16.5" customFormat="1" customHeight="1" s="12">
      <c r="A140" s="17" t="n">
        <v>135</v>
      </c>
      <c r="B140" s="25" t="n"/>
      <c r="C140" s="141">
        <f>H140*I140</f>
        <v/>
      </c>
      <c r="D140" s="41" t="n"/>
      <c r="E140" s="41" t="n"/>
      <c r="F140" s="41" t="n"/>
      <c r="G140" s="42" t="n"/>
      <c r="H140" s="20" t="n"/>
      <c r="I140" s="20" t="n"/>
      <c r="J140" s="20" t="n"/>
    </row>
    <row r="141" ht="16.5" customFormat="1" customHeight="1" s="12">
      <c r="A141" s="17" t="n">
        <v>136</v>
      </c>
      <c r="B141" s="25" t="n"/>
      <c r="C141" s="141">
        <f>H141*I141</f>
        <v/>
      </c>
      <c r="D141" s="41" t="n"/>
      <c r="E141" s="41" t="n"/>
      <c r="F141" s="41" t="n"/>
      <c r="G141" s="42" t="n"/>
      <c r="H141" s="20" t="n"/>
      <c r="I141" s="20" t="n"/>
      <c r="J141" s="20" t="n"/>
    </row>
    <row r="142" ht="16.5" customFormat="1" customHeight="1" s="12">
      <c r="A142" s="17" t="n">
        <v>137</v>
      </c>
      <c r="B142" s="25" t="n"/>
      <c r="C142" s="141">
        <f>H142*I142</f>
        <v/>
      </c>
      <c r="D142" s="41" t="n"/>
      <c r="E142" s="41" t="n"/>
      <c r="F142" s="41" t="n"/>
      <c r="G142" s="42" t="n"/>
      <c r="H142" s="20" t="n"/>
      <c r="I142" s="20" t="n"/>
      <c r="J142" s="20" t="n"/>
    </row>
    <row r="143" ht="16.5" customFormat="1" customHeight="1" s="12">
      <c r="A143" s="17" t="n">
        <v>138</v>
      </c>
      <c r="B143" s="25" t="n"/>
      <c r="C143" s="141">
        <f>H143*I143</f>
        <v/>
      </c>
      <c r="D143" s="41" t="n"/>
      <c r="E143" s="41" t="n"/>
      <c r="F143" s="41" t="n"/>
      <c r="G143" s="42" t="n"/>
      <c r="H143" s="20" t="n"/>
      <c r="I143" s="20" t="n"/>
      <c r="J143" s="20" t="n"/>
    </row>
    <row r="144" ht="16.5" customFormat="1" customHeight="1" s="12">
      <c r="A144" s="17" t="n">
        <v>139</v>
      </c>
      <c r="B144" s="25" t="n"/>
      <c r="C144" s="141">
        <f>H144*I144</f>
        <v/>
      </c>
      <c r="D144" s="41" t="n"/>
      <c r="E144" s="41" t="n"/>
      <c r="F144" s="41" t="n"/>
      <c r="G144" s="42" t="n"/>
      <c r="H144" s="20" t="n"/>
      <c r="I144" s="20" t="n"/>
      <c r="J144" s="20" t="n"/>
    </row>
    <row r="145" ht="16.5" customFormat="1" customHeight="1" s="12">
      <c r="A145" s="17" t="n">
        <v>140</v>
      </c>
      <c r="B145" s="25" t="n"/>
      <c r="C145" s="141">
        <f>H145*I145</f>
        <v/>
      </c>
      <c r="D145" s="41" t="n"/>
      <c r="E145" s="41" t="n"/>
      <c r="F145" s="41" t="n"/>
      <c r="G145" s="42" t="n"/>
      <c r="H145" s="20" t="n"/>
      <c r="I145" s="20" t="n"/>
      <c r="J145" s="20" t="n"/>
    </row>
    <row r="146" ht="16.5" customFormat="1" customHeight="1" s="12">
      <c r="A146" s="17" t="n">
        <v>141</v>
      </c>
      <c r="B146" s="25" t="n"/>
      <c r="C146" s="141">
        <f>H146*I146</f>
        <v/>
      </c>
      <c r="D146" s="41" t="n"/>
      <c r="E146" s="41" t="n"/>
      <c r="F146" s="41" t="n"/>
      <c r="G146" s="42" t="n"/>
      <c r="H146" s="20" t="n"/>
      <c r="I146" s="20" t="n"/>
      <c r="J146" s="20" t="n"/>
    </row>
    <row r="147" ht="16.5" customFormat="1" customHeight="1" s="12">
      <c r="A147" s="17" t="n">
        <v>142</v>
      </c>
      <c r="B147" s="25" t="n"/>
      <c r="C147" s="141">
        <f>H147*I147</f>
        <v/>
      </c>
      <c r="D147" s="41" t="n"/>
      <c r="E147" s="41" t="n"/>
      <c r="F147" s="41" t="n"/>
      <c r="G147" s="42" t="n"/>
      <c r="H147" s="20" t="n"/>
      <c r="I147" s="20" t="n"/>
      <c r="J147" s="20" t="n"/>
    </row>
    <row r="148" ht="16.5" customFormat="1" customHeight="1" s="12">
      <c r="A148" s="17" t="n">
        <v>143</v>
      </c>
      <c r="B148" s="25" t="n"/>
      <c r="C148" s="141">
        <f>H148*I148</f>
        <v/>
      </c>
      <c r="D148" s="41" t="n"/>
      <c r="E148" s="41" t="n"/>
      <c r="F148" s="41" t="n"/>
      <c r="G148" s="42" t="n"/>
      <c r="H148" s="20" t="n"/>
      <c r="I148" s="20" t="n"/>
      <c r="J148" s="20" t="n"/>
    </row>
    <row r="149" ht="16.5" customFormat="1" customHeight="1" s="12">
      <c r="A149" s="17" t="n">
        <v>144</v>
      </c>
      <c r="B149" s="25" t="n"/>
      <c r="C149" s="141">
        <f>H149*I149</f>
        <v/>
      </c>
      <c r="D149" s="41" t="n"/>
      <c r="E149" s="41" t="n"/>
      <c r="F149" s="41" t="n"/>
      <c r="G149" s="42" t="n"/>
      <c r="H149" s="20" t="n"/>
      <c r="I149" s="20" t="n"/>
      <c r="J149" s="20" t="n"/>
    </row>
    <row r="150" ht="16.5" customFormat="1" customHeight="1" s="12">
      <c r="A150" s="17" t="n">
        <v>145</v>
      </c>
      <c r="B150" s="25" t="n"/>
      <c r="C150" s="141">
        <f>H150*I150</f>
        <v/>
      </c>
      <c r="D150" s="41" t="n"/>
      <c r="E150" s="41" t="n"/>
      <c r="F150" s="41" t="n"/>
      <c r="G150" s="42" t="n"/>
      <c r="H150" s="20" t="n"/>
      <c r="I150" s="20" t="n"/>
      <c r="J150" s="20" t="n"/>
    </row>
    <row r="151" ht="16.5" customFormat="1" customHeight="1" s="12">
      <c r="A151" s="17" t="n">
        <v>146</v>
      </c>
      <c r="B151" s="25" t="n"/>
      <c r="C151" s="141">
        <f>H151*I151</f>
        <v/>
      </c>
      <c r="D151" s="41" t="n"/>
      <c r="E151" s="41" t="n"/>
      <c r="F151" s="41" t="n"/>
      <c r="G151" s="42" t="n"/>
      <c r="H151" s="20" t="n"/>
      <c r="I151" s="20" t="n"/>
      <c r="J151" s="20" t="n"/>
    </row>
    <row r="152" ht="16.5" customFormat="1" customHeight="1" s="12">
      <c r="A152" s="17" t="n">
        <v>147</v>
      </c>
      <c r="B152" s="25" t="n"/>
      <c r="C152" s="141">
        <f>H152*I152</f>
        <v/>
      </c>
      <c r="D152" s="41" t="n"/>
      <c r="E152" s="41" t="n"/>
      <c r="F152" s="41" t="n"/>
      <c r="G152" s="42" t="n"/>
      <c r="H152" s="20" t="n"/>
      <c r="I152" s="20" t="n"/>
      <c r="J152" s="20" t="n"/>
    </row>
    <row r="153" ht="16.5" customFormat="1" customHeight="1" s="12">
      <c r="A153" s="17" t="n">
        <v>148</v>
      </c>
      <c r="B153" s="25" t="n"/>
      <c r="C153" s="141">
        <f>H153*I153</f>
        <v/>
      </c>
      <c r="D153" s="41" t="n"/>
      <c r="E153" s="41" t="n"/>
      <c r="F153" s="41" t="n"/>
      <c r="G153" s="42" t="n"/>
      <c r="H153" s="20" t="n"/>
      <c r="I153" s="20" t="n"/>
      <c r="J153" s="20" t="n"/>
    </row>
    <row r="154" ht="16.5" customFormat="1" customHeight="1" s="12">
      <c r="A154" s="17" t="n">
        <v>149</v>
      </c>
      <c r="B154" s="25" t="n"/>
      <c r="C154" s="141">
        <f>H154*I154</f>
        <v/>
      </c>
      <c r="D154" s="41" t="n"/>
      <c r="E154" s="41" t="n"/>
      <c r="F154" s="41" t="n"/>
      <c r="G154" s="42" t="n"/>
      <c r="H154" s="20" t="n"/>
      <c r="I154" s="20" t="n"/>
      <c r="J154" s="20" t="n"/>
    </row>
    <row r="155" ht="16.5" customFormat="1" customHeight="1" s="12">
      <c r="A155" s="17" t="n">
        <v>150</v>
      </c>
      <c r="B155" s="25" t="n"/>
      <c r="C155" s="141">
        <f>H155*I155</f>
        <v/>
      </c>
      <c r="D155" s="41" t="n"/>
      <c r="E155" s="41" t="n"/>
      <c r="F155" s="41" t="n"/>
      <c r="G155" s="42" t="n"/>
      <c r="H155" s="20" t="n"/>
      <c r="I155" s="20" t="n"/>
      <c r="J155" s="20" t="n"/>
    </row>
    <row r="156" ht="16.5" customFormat="1" customHeight="1" s="12">
      <c r="A156" s="17" t="n">
        <v>151</v>
      </c>
      <c r="B156" s="25" t="n"/>
      <c r="C156" s="141">
        <f>H156*I156</f>
        <v/>
      </c>
      <c r="D156" s="41" t="n"/>
      <c r="E156" s="41" t="n"/>
      <c r="F156" s="41" t="n"/>
      <c r="G156" s="42" t="n"/>
      <c r="H156" s="20" t="n"/>
      <c r="I156" s="20" t="n"/>
      <c r="J156" s="20" t="n"/>
    </row>
    <row r="157" ht="16.5" customFormat="1" customHeight="1" s="12">
      <c r="A157" s="17" t="n">
        <v>152</v>
      </c>
      <c r="B157" s="25" t="n"/>
      <c r="C157" s="141">
        <f>H157*I157</f>
        <v/>
      </c>
      <c r="D157" s="41" t="n"/>
      <c r="E157" s="41" t="n"/>
      <c r="F157" s="41" t="n"/>
      <c r="G157" s="42" t="n"/>
      <c r="H157" s="20" t="n"/>
      <c r="I157" s="20" t="n"/>
      <c r="J157" s="20" t="n"/>
    </row>
    <row r="158" ht="16.5" customFormat="1" customHeight="1" s="12">
      <c r="A158" s="17" t="n">
        <v>153</v>
      </c>
      <c r="B158" s="25" t="n"/>
      <c r="C158" s="141">
        <f>H158*I158</f>
        <v/>
      </c>
      <c r="D158" s="41" t="n"/>
      <c r="E158" s="41" t="n"/>
      <c r="F158" s="41" t="n"/>
      <c r="G158" s="42" t="n"/>
      <c r="H158" s="20" t="n"/>
      <c r="I158" s="20" t="n"/>
      <c r="J158" s="20" t="n"/>
    </row>
    <row r="159" ht="16.5" customFormat="1" customHeight="1" s="12">
      <c r="A159" s="17" t="n">
        <v>154</v>
      </c>
      <c r="B159" s="25" t="n"/>
      <c r="C159" s="141">
        <f>H159*I159</f>
        <v/>
      </c>
      <c r="D159" s="41" t="n"/>
      <c r="E159" s="41" t="n"/>
      <c r="F159" s="41" t="n"/>
      <c r="G159" s="42" t="n"/>
      <c r="H159" s="20" t="n"/>
      <c r="I159" s="20" t="n"/>
      <c r="J159" s="20" t="n"/>
    </row>
    <row r="160" ht="16.5" customFormat="1" customHeight="1" s="12">
      <c r="A160" s="17" t="n">
        <v>155</v>
      </c>
      <c r="B160" s="25" t="n"/>
      <c r="C160" s="141">
        <f>H160*I160</f>
        <v/>
      </c>
      <c r="D160" s="41" t="n"/>
      <c r="E160" s="41" t="n"/>
      <c r="F160" s="41" t="n"/>
      <c r="G160" s="42" t="n"/>
      <c r="H160" s="20" t="n"/>
      <c r="I160" s="20" t="n"/>
      <c r="J160" s="20" t="n"/>
    </row>
    <row r="161" ht="16.5" customFormat="1" customHeight="1" s="12">
      <c r="A161" s="17" t="n">
        <v>156</v>
      </c>
      <c r="B161" s="25" t="n"/>
      <c r="C161" s="141">
        <f>H161*I161</f>
        <v/>
      </c>
      <c r="D161" s="41" t="n"/>
      <c r="E161" s="41" t="n"/>
      <c r="F161" s="41" t="n"/>
      <c r="G161" s="42" t="n"/>
      <c r="H161" s="20" t="n"/>
      <c r="I161" s="20" t="n"/>
      <c r="J161" s="20" t="n"/>
    </row>
    <row r="162" ht="16.5" customFormat="1" customHeight="1" s="12">
      <c r="A162" s="17" t="n">
        <v>157</v>
      </c>
      <c r="B162" s="25" t="n"/>
      <c r="C162" s="141">
        <f>H162*I162</f>
        <v/>
      </c>
      <c r="D162" s="41" t="n"/>
      <c r="E162" s="41" t="n"/>
      <c r="F162" s="41" t="n"/>
      <c r="G162" s="42" t="n"/>
      <c r="H162" s="20" t="n"/>
      <c r="I162" s="20" t="n"/>
      <c r="J162" s="20" t="n"/>
    </row>
    <row r="163" ht="16.5" customFormat="1" customHeight="1" s="12">
      <c r="A163" s="17" t="n">
        <v>158</v>
      </c>
      <c r="B163" s="25" t="n"/>
      <c r="C163" s="141">
        <f>H163*I163</f>
        <v/>
      </c>
      <c r="D163" s="41" t="n"/>
      <c r="E163" s="41" t="n"/>
      <c r="F163" s="41" t="n"/>
      <c r="G163" s="42" t="n"/>
      <c r="H163" s="20" t="n"/>
      <c r="I163" s="20" t="n"/>
      <c r="J163" s="20" t="n"/>
    </row>
    <row r="164" ht="16.5" customFormat="1" customHeight="1" s="12">
      <c r="A164" s="17" t="n">
        <v>159</v>
      </c>
      <c r="B164" s="25" t="n"/>
      <c r="C164" s="141">
        <f>H164*I164</f>
        <v/>
      </c>
      <c r="D164" s="41" t="n"/>
      <c r="E164" s="41" t="n"/>
      <c r="F164" s="41" t="n"/>
      <c r="G164" s="42" t="n"/>
      <c r="H164" s="20" t="n"/>
      <c r="I164" s="20" t="n"/>
      <c r="J164" s="20" t="n"/>
    </row>
    <row r="165" ht="16.5" customFormat="1" customHeight="1" s="12">
      <c r="A165" s="17" t="n">
        <v>160</v>
      </c>
      <c r="B165" s="25" t="n"/>
      <c r="C165" s="141">
        <f>H165*I165</f>
        <v/>
      </c>
      <c r="D165" s="41" t="n"/>
      <c r="E165" s="41" t="n"/>
      <c r="F165" s="41" t="n"/>
      <c r="G165" s="42" t="n"/>
      <c r="H165" s="20" t="n"/>
      <c r="I165" s="20" t="n"/>
      <c r="J165" s="20" t="n"/>
    </row>
    <row r="166" ht="16.5" customFormat="1" customHeight="1" s="12">
      <c r="A166" s="17" t="n">
        <v>161</v>
      </c>
      <c r="B166" s="25" t="n"/>
      <c r="C166" s="141">
        <f>H166*I166</f>
        <v/>
      </c>
      <c r="D166" s="41" t="n"/>
      <c r="E166" s="41" t="n"/>
      <c r="F166" s="41" t="n"/>
      <c r="G166" s="42" t="n"/>
      <c r="H166" s="20" t="n"/>
      <c r="I166" s="20" t="n"/>
      <c r="J166" s="20" t="n"/>
    </row>
    <row r="167" ht="16.5" customFormat="1" customHeight="1" s="12">
      <c r="A167" s="17" t="n">
        <v>162</v>
      </c>
      <c r="B167" s="25" t="n"/>
      <c r="C167" s="141">
        <f>H167*I167</f>
        <v/>
      </c>
      <c r="D167" s="41" t="n"/>
      <c r="E167" s="41" t="n"/>
      <c r="F167" s="41" t="n"/>
      <c r="G167" s="42" t="n"/>
      <c r="H167" s="20" t="n"/>
      <c r="I167" s="20" t="n"/>
      <c r="J167" s="20" t="n"/>
    </row>
    <row r="168" ht="16.5" customFormat="1" customHeight="1" s="12">
      <c r="A168" s="17" t="n">
        <v>163</v>
      </c>
      <c r="B168" s="25" t="n"/>
      <c r="C168" s="141">
        <f>H168*I168</f>
        <v/>
      </c>
      <c r="D168" s="41" t="n"/>
      <c r="E168" s="41" t="n"/>
      <c r="F168" s="41" t="n"/>
      <c r="G168" s="42" t="n"/>
      <c r="H168" s="20" t="n"/>
      <c r="I168" s="20" t="n"/>
      <c r="J168" s="20" t="n"/>
    </row>
    <row r="169" ht="16.5" customFormat="1" customHeight="1" s="12">
      <c r="A169" s="17" t="n">
        <v>164</v>
      </c>
      <c r="B169" s="25" t="n"/>
      <c r="C169" s="141">
        <f>H169*I169</f>
        <v/>
      </c>
      <c r="D169" s="41" t="n"/>
      <c r="E169" s="41" t="n"/>
      <c r="F169" s="41" t="n"/>
      <c r="G169" s="42" t="n"/>
      <c r="H169" s="20" t="n"/>
      <c r="I169" s="20" t="n"/>
      <c r="J169" s="20" t="n"/>
    </row>
    <row r="170" ht="16.5" customFormat="1" customHeight="1" s="12">
      <c r="A170" s="17" t="n">
        <v>165</v>
      </c>
      <c r="B170" s="25" t="n"/>
      <c r="C170" s="141">
        <f>H170*I170</f>
        <v/>
      </c>
      <c r="D170" s="41" t="n"/>
      <c r="E170" s="41" t="n"/>
      <c r="F170" s="41" t="n"/>
      <c r="G170" s="42" t="n"/>
      <c r="H170" s="20" t="n"/>
      <c r="I170" s="20" t="n"/>
      <c r="J170" s="20" t="n"/>
    </row>
    <row r="171" ht="16.5" customFormat="1" customHeight="1" s="12">
      <c r="A171" s="17" t="n">
        <v>166</v>
      </c>
      <c r="B171" s="25" t="n"/>
      <c r="C171" s="141">
        <f>H171*I171</f>
        <v/>
      </c>
      <c r="D171" s="41" t="n"/>
      <c r="E171" s="41" t="n"/>
      <c r="F171" s="41" t="n"/>
      <c r="G171" s="42" t="n"/>
      <c r="H171" s="20" t="n"/>
      <c r="I171" s="20" t="n"/>
      <c r="J171" s="20" t="n"/>
    </row>
    <row r="172" ht="16.5" customFormat="1" customHeight="1" s="12">
      <c r="A172" s="17" t="n">
        <v>167</v>
      </c>
      <c r="B172" s="25" t="n"/>
      <c r="C172" s="141">
        <f>H172*I172</f>
        <v/>
      </c>
      <c r="D172" s="41" t="n"/>
      <c r="E172" s="41" t="n"/>
      <c r="F172" s="41" t="n"/>
      <c r="G172" s="42" t="n"/>
      <c r="H172" s="20" t="n"/>
      <c r="I172" s="20" t="n"/>
      <c r="J172" s="20" t="n"/>
    </row>
    <row r="173" ht="16.5" customFormat="1" customHeight="1" s="12">
      <c r="A173" s="17" t="n">
        <v>168</v>
      </c>
      <c r="B173" s="25" t="n"/>
      <c r="C173" s="141">
        <f>H173*I173</f>
        <v/>
      </c>
      <c r="D173" s="41" t="n"/>
      <c r="E173" s="41" t="n"/>
      <c r="F173" s="41" t="n"/>
      <c r="G173" s="42" t="n"/>
      <c r="H173" s="20" t="n"/>
      <c r="I173" s="20" t="n"/>
      <c r="J173" s="20" t="n"/>
    </row>
    <row r="174" ht="16.5" customFormat="1" customHeight="1" s="12">
      <c r="A174" s="17" t="n">
        <v>169</v>
      </c>
      <c r="B174" s="25" t="n"/>
      <c r="C174" s="141">
        <f>H174*I174</f>
        <v/>
      </c>
      <c r="D174" s="41" t="n"/>
      <c r="E174" s="41" t="n"/>
      <c r="F174" s="41" t="n"/>
      <c r="G174" s="42" t="n"/>
      <c r="H174" s="20" t="n"/>
      <c r="I174" s="20" t="n"/>
      <c r="J174" s="20" t="n"/>
    </row>
    <row r="175" ht="16.5" customFormat="1" customHeight="1" s="12">
      <c r="A175" s="17" t="n">
        <v>170</v>
      </c>
      <c r="B175" s="25" t="n"/>
      <c r="C175" s="141">
        <f>H175*I175</f>
        <v/>
      </c>
      <c r="D175" s="41" t="n"/>
      <c r="E175" s="41" t="n"/>
      <c r="F175" s="41" t="n"/>
      <c r="G175" s="42" t="n"/>
      <c r="H175" s="20" t="n"/>
      <c r="I175" s="20" t="n"/>
      <c r="J175" s="20" t="n"/>
    </row>
    <row r="176" ht="16.5" customFormat="1" customHeight="1" s="12">
      <c r="A176" s="17" t="n">
        <v>171</v>
      </c>
      <c r="B176" s="25" t="n"/>
      <c r="C176" s="141">
        <f>H176*I176</f>
        <v/>
      </c>
      <c r="D176" s="41" t="n"/>
      <c r="E176" s="41" t="n"/>
      <c r="F176" s="41" t="n"/>
      <c r="G176" s="42" t="n"/>
      <c r="H176" s="20" t="n"/>
      <c r="I176" s="20" t="n"/>
      <c r="J176" s="20" t="n"/>
    </row>
    <row r="177" ht="16.5" customFormat="1" customHeight="1" s="12">
      <c r="A177" s="17" t="n">
        <v>172</v>
      </c>
      <c r="B177" s="25" t="n"/>
      <c r="C177" s="141">
        <f>H177*I177</f>
        <v/>
      </c>
      <c r="D177" s="41" t="n"/>
      <c r="E177" s="41" t="n"/>
      <c r="F177" s="41" t="n"/>
      <c r="G177" s="42" t="n"/>
      <c r="H177" s="20" t="n"/>
      <c r="I177" s="20" t="n"/>
      <c r="J177" s="20" t="n"/>
    </row>
    <row r="178" ht="16.5" customFormat="1" customHeight="1" s="12">
      <c r="A178" s="17" t="n">
        <v>173</v>
      </c>
      <c r="B178" s="25" t="n"/>
      <c r="C178" s="141">
        <f>H178*I178</f>
        <v/>
      </c>
      <c r="D178" s="41" t="n"/>
      <c r="E178" s="41" t="n"/>
      <c r="F178" s="41" t="n"/>
      <c r="G178" s="42" t="n"/>
      <c r="H178" s="20" t="n"/>
      <c r="I178" s="20" t="n"/>
      <c r="J178" s="20" t="n"/>
    </row>
    <row r="179" ht="16.5" customFormat="1" customHeight="1" s="12">
      <c r="A179" s="17" t="n">
        <v>174</v>
      </c>
      <c r="B179" s="25" t="n"/>
      <c r="C179" s="141">
        <f>H179*I179</f>
        <v/>
      </c>
      <c r="D179" s="41" t="n"/>
      <c r="E179" s="41" t="n"/>
      <c r="F179" s="41" t="n"/>
      <c r="G179" s="42" t="n"/>
      <c r="H179" s="20" t="n"/>
      <c r="I179" s="20" t="n"/>
      <c r="J179" s="20" t="n"/>
    </row>
    <row r="180" ht="16.5" customFormat="1" customHeight="1" s="12">
      <c r="A180" s="17" t="n">
        <v>175</v>
      </c>
      <c r="B180" s="25" t="n"/>
      <c r="C180" s="141">
        <f>H180*I180</f>
        <v/>
      </c>
      <c r="D180" s="41" t="n"/>
      <c r="E180" s="41" t="n"/>
      <c r="F180" s="41" t="n"/>
      <c r="G180" s="42" t="n"/>
      <c r="H180" s="20" t="n"/>
      <c r="I180" s="20" t="n"/>
      <c r="J180" s="20" t="n"/>
    </row>
    <row r="181" ht="16.5" customFormat="1" customHeight="1" s="12">
      <c r="A181" s="17" t="n">
        <v>176</v>
      </c>
      <c r="B181" s="25" t="n"/>
      <c r="C181" s="141">
        <f>H181*I181</f>
        <v/>
      </c>
      <c r="D181" s="41" t="n"/>
      <c r="E181" s="41" t="n"/>
      <c r="F181" s="41" t="n"/>
      <c r="G181" s="42" t="n"/>
      <c r="H181" s="20" t="n"/>
      <c r="I181" s="20" t="n"/>
      <c r="J181" s="20" t="n"/>
    </row>
    <row r="182" ht="16.5" customFormat="1" customHeight="1" s="12">
      <c r="A182" s="17" t="n">
        <v>177</v>
      </c>
      <c r="B182" s="25" t="n"/>
      <c r="C182" s="141">
        <f>H182*I182</f>
        <v/>
      </c>
      <c r="D182" s="41" t="n"/>
      <c r="E182" s="41" t="n"/>
      <c r="F182" s="41" t="n"/>
      <c r="G182" s="42" t="n"/>
      <c r="H182" s="20" t="n"/>
      <c r="I182" s="20" t="n"/>
      <c r="J182" s="20" t="n"/>
    </row>
    <row r="183" ht="16.5" customFormat="1" customHeight="1" s="12">
      <c r="A183" s="17" t="n">
        <v>178</v>
      </c>
      <c r="B183" s="25" t="n"/>
      <c r="C183" s="141">
        <f>H183*I183</f>
        <v/>
      </c>
      <c r="D183" s="41" t="n"/>
      <c r="E183" s="41" t="n"/>
      <c r="F183" s="41" t="n"/>
      <c r="G183" s="42" t="n"/>
      <c r="H183" s="20" t="n"/>
      <c r="I183" s="20" t="n"/>
      <c r="J183" s="20" t="n"/>
    </row>
    <row r="184" ht="16.5" customFormat="1" customHeight="1" s="12">
      <c r="A184" s="17" t="n">
        <v>179</v>
      </c>
      <c r="B184" s="25" t="n"/>
      <c r="C184" s="141">
        <f>H184*I184</f>
        <v/>
      </c>
      <c r="D184" s="41" t="n"/>
      <c r="E184" s="41" t="n"/>
      <c r="F184" s="41" t="n"/>
      <c r="G184" s="42" t="n"/>
      <c r="H184" s="20" t="n"/>
      <c r="I184" s="20" t="n"/>
      <c r="J184" s="20" t="n"/>
    </row>
    <row r="185" ht="16.5" customFormat="1" customHeight="1" s="12">
      <c r="A185" s="17" t="n">
        <v>180</v>
      </c>
      <c r="B185" s="25" t="n"/>
      <c r="C185" s="141">
        <f>H185*I185</f>
        <v/>
      </c>
      <c r="D185" s="41" t="n"/>
      <c r="E185" s="41" t="n"/>
      <c r="F185" s="41" t="n"/>
      <c r="G185" s="42" t="n"/>
      <c r="H185" s="20" t="n"/>
      <c r="I185" s="20" t="n"/>
      <c r="J185" s="20" t="n"/>
    </row>
    <row r="186" ht="16.5" customFormat="1" customHeight="1" s="12">
      <c r="A186" s="17" t="n">
        <v>181</v>
      </c>
      <c r="B186" s="25" t="n"/>
      <c r="C186" s="141">
        <f>H186*I186</f>
        <v/>
      </c>
      <c r="D186" s="41" t="n"/>
      <c r="E186" s="41" t="n"/>
      <c r="F186" s="41" t="n"/>
      <c r="G186" s="42" t="n"/>
      <c r="H186" s="20" t="n"/>
      <c r="I186" s="20" t="n"/>
      <c r="J186" s="20" t="n"/>
    </row>
    <row r="187" ht="16.5" customFormat="1" customHeight="1" s="12">
      <c r="A187" s="17" t="n">
        <v>182</v>
      </c>
      <c r="B187" s="25" t="n"/>
      <c r="C187" s="141">
        <f>H187*I187</f>
        <v/>
      </c>
      <c r="D187" s="41" t="n"/>
      <c r="E187" s="41" t="n"/>
      <c r="F187" s="41" t="n"/>
      <c r="G187" s="42" t="n"/>
      <c r="H187" s="20" t="n"/>
      <c r="I187" s="20" t="n"/>
      <c r="J187" s="20" t="n"/>
    </row>
    <row r="188" ht="16.5" customFormat="1" customHeight="1" s="12">
      <c r="A188" s="17" t="n">
        <v>183</v>
      </c>
      <c r="B188" s="25" t="n"/>
      <c r="C188" s="141">
        <f>H188*I188</f>
        <v/>
      </c>
      <c r="D188" s="41" t="n"/>
      <c r="E188" s="41" t="n"/>
      <c r="F188" s="41" t="n"/>
      <c r="G188" s="42" t="n"/>
      <c r="H188" s="20" t="n"/>
      <c r="I188" s="20" t="n"/>
      <c r="J188" s="20" t="n"/>
    </row>
    <row r="189" ht="16.5" customFormat="1" customHeight="1" s="12">
      <c r="A189" s="17" t="n">
        <v>184</v>
      </c>
      <c r="B189" s="25" t="n"/>
      <c r="C189" s="141">
        <f>H189*I189</f>
        <v/>
      </c>
      <c r="D189" s="41" t="n"/>
      <c r="E189" s="41" t="n"/>
      <c r="F189" s="41" t="n"/>
      <c r="G189" s="42" t="n"/>
      <c r="H189" s="20" t="n"/>
      <c r="I189" s="20" t="n"/>
      <c r="J189" s="20" t="n"/>
    </row>
    <row r="190" ht="16.5" customFormat="1" customHeight="1" s="12">
      <c r="A190" s="17" t="n">
        <v>185</v>
      </c>
      <c r="B190" s="25" t="n"/>
      <c r="C190" s="141">
        <f>H190*I190</f>
        <v/>
      </c>
      <c r="D190" s="41" t="n"/>
      <c r="E190" s="41" t="n"/>
      <c r="F190" s="41" t="n"/>
      <c r="G190" s="42" t="n"/>
      <c r="H190" s="20" t="n"/>
      <c r="I190" s="20" t="n"/>
      <c r="J190" s="20" t="n"/>
    </row>
    <row r="191" ht="16.5" customFormat="1" customHeight="1" s="12">
      <c r="A191" s="17" t="n">
        <v>186</v>
      </c>
      <c r="B191" s="25" t="n"/>
      <c r="C191" s="141">
        <f>H191*I191</f>
        <v/>
      </c>
      <c r="D191" s="41" t="n"/>
      <c r="E191" s="41" t="n"/>
      <c r="F191" s="41" t="n"/>
      <c r="G191" s="42" t="n"/>
      <c r="H191" s="20" t="n"/>
      <c r="I191" s="20" t="n"/>
      <c r="J191" s="20" t="n"/>
    </row>
    <row r="192" ht="16.5" customFormat="1" customHeight="1" s="12">
      <c r="A192" s="17" t="n">
        <v>187</v>
      </c>
      <c r="B192" s="25" t="n"/>
      <c r="C192" s="141">
        <f>H192*I192</f>
        <v/>
      </c>
      <c r="D192" s="41" t="n"/>
      <c r="E192" s="41" t="n"/>
      <c r="F192" s="41" t="n"/>
      <c r="G192" s="42" t="n"/>
      <c r="H192" s="20" t="n"/>
      <c r="I192" s="20" t="n"/>
      <c r="J192" s="20" t="n"/>
    </row>
    <row r="193" ht="16.5" customFormat="1" customHeight="1" s="12">
      <c r="A193" s="17" t="n">
        <v>188</v>
      </c>
      <c r="B193" s="25" t="n"/>
      <c r="C193" s="141">
        <f>H193*I193</f>
        <v/>
      </c>
      <c r="D193" s="41" t="n"/>
      <c r="E193" s="41" t="n"/>
      <c r="F193" s="41" t="n"/>
      <c r="G193" s="42" t="n"/>
      <c r="H193" s="20" t="n"/>
      <c r="I193" s="20" t="n"/>
      <c r="J193" s="20" t="n"/>
    </row>
    <row r="194" ht="16.5" customFormat="1" customHeight="1" s="12">
      <c r="A194" s="17" t="n">
        <v>189</v>
      </c>
      <c r="B194" s="25" t="n"/>
      <c r="C194" s="141">
        <f>H194*I194</f>
        <v/>
      </c>
      <c r="D194" s="41" t="n"/>
      <c r="E194" s="41" t="n"/>
      <c r="F194" s="41" t="n"/>
      <c r="G194" s="42" t="n"/>
      <c r="H194" s="20" t="n"/>
      <c r="I194" s="20" t="n"/>
      <c r="J194" s="20" t="n"/>
    </row>
    <row r="195" ht="16.5" customFormat="1" customHeight="1" s="12">
      <c r="A195" s="17" t="n">
        <v>190</v>
      </c>
      <c r="B195" s="25" t="n"/>
      <c r="C195" s="141">
        <f>H195*I195</f>
        <v/>
      </c>
      <c r="D195" s="41" t="n"/>
      <c r="E195" s="41" t="n"/>
      <c r="F195" s="41" t="n"/>
      <c r="G195" s="42" t="n"/>
      <c r="H195" s="20" t="n"/>
      <c r="I195" s="20" t="n"/>
      <c r="J195" s="20" t="n"/>
    </row>
    <row r="196" ht="16.5" customFormat="1" customHeight="1" s="12">
      <c r="A196" s="17" t="n">
        <v>191</v>
      </c>
      <c r="B196" s="25" t="n"/>
      <c r="C196" s="141">
        <f>H196*I196</f>
        <v/>
      </c>
      <c r="D196" s="41" t="n"/>
      <c r="E196" s="41" t="n"/>
      <c r="F196" s="41" t="n"/>
      <c r="G196" s="42" t="n"/>
      <c r="H196" s="20" t="n"/>
      <c r="I196" s="20" t="n"/>
      <c r="J196" s="20" t="n"/>
    </row>
    <row r="197" ht="16.5" customFormat="1" customHeight="1" s="12">
      <c r="A197" s="17" t="n">
        <v>192</v>
      </c>
      <c r="B197" s="25" t="n"/>
      <c r="C197" s="141">
        <f>H197*I197</f>
        <v/>
      </c>
      <c r="D197" s="41" t="n"/>
      <c r="E197" s="41" t="n"/>
      <c r="F197" s="41" t="n"/>
      <c r="G197" s="42" t="n"/>
      <c r="H197" s="20" t="n"/>
      <c r="I197" s="20" t="n"/>
      <c r="J197" s="20" t="n"/>
    </row>
    <row r="198" ht="16.5" customFormat="1" customHeight="1" s="12">
      <c r="A198" s="17" t="n">
        <v>193</v>
      </c>
      <c r="B198" s="25" t="n"/>
      <c r="C198" s="141">
        <f>H198*I198</f>
        <v/>
      </c>
      <c r="D198" s="41" t="n"/>
      <c r="E198" s="41" t="n"/>
      <c r="F198" s="41" t="n"/>
      <c r="G198" s="42" t="n"/>
      <c r="H198" s="20" t="n"/>
      <c r="I198" s="20" t="n"/>
      <c r="J198" s="20" t="n"/>
    </row>
    <row r="199" ht="16.5" customFormat="1" customHeight="1" s="12">
      <c r="A199" s="17" t="n">
        <v>194</v>
      </c>
      <c r="B199" s="25" t="n"/>
      <c r="C199" s="141">
        <f>H199*I199</f>
        <v/>
      </c>
      <c r="D199" s="41" t="n"/>
      <c r="E199" s="41" t="n"/>
      <c r="F199" s="41" t="n"/>
      <c r="G199" s="42" t="n"/>
      <c r="H199" s="20" t="n"/>
      <c r="I199" s="20" t="n"/>
      <c r="J199" s="20" t="n"/>
    </row>
    <row r="200" ht="16.5" customFormat="1" customHeight="1" s="12">
      <c r="A200" s="17" t="n">
        <v>195</v>
      </c>
      <c r="B200" s="25" t="n"/>
      <c r="C200" s="141">
        <f>H200*I200</f>
        <v/>
      </c>
      <c r="D200" s="41" t="n"/>
      <c r="E200" s="41" t="n"/>
      <c r="F200" s="41" t="n"/>
      <c r="G200" s="42" t="n"/>
      <c r="H200" s="20" t="n"/>
      <c r="I200" s="20" t="n"/>
      <c r="J200" s="20" t="n"/>
    </row>
    <row r="201" ht="16.5" customFormat="1" customHeight="1" s="12">
      <c r="A201" s="17" t="n">
        <v>196</v>
      </c>
      <c r="B201" s="25" t="n"/>
      <c r="C201" s="141">
        <f>H201*I201</f>
        <v/>
      </c>
      <c r="D201" s="41" t="n"/>
      <c r="E201" s="41" t="n"/>
      <c r="F201" s="41" t="n"/>
      <c r="G201" s="42" t="n"/>
      <c r="H201" s="20" t="n"/>
      <c r="I201" s="20" t="n"/>
      <c r="J201" s="20" t="n"/>
    </row>
    <row r="202" ht="16.5" customFormat="1" customHeight="1" s="12">
      <c r="A202" s="17" t="n">
        <v>197</v>
      </c>
      <c r="B202" s="25" t="n"/>
      <c r="C202" s="141">
        <f>H202*I202</f>
        <v/>
      </c>
      <c r="D202" s="41" t="n"/>
      <c r="E202" s="41" t="n"/>
      <c r="F202" s="41" t="n"/>
      <c r="G202" s="42" t="n"/>
      <c r="H202" s="20" t="n"/>
      <c r="I202" s="20" t="n"/>
      <c r="J202" s="20" t="n"/>
    </row>
    <row r="203" ht="16.5" customFormat="1" customHeight="1" s="12">
      <c r="A203" s="17" t="n">
        <v>198</v>
      </c>
      <c r="B203" s="25" t="n"/>
      <c r="C203" s="141">
        <f>H203*I203</f>
        <v/>
      </c>
      <c r="D203" s="41" t="n"/>
      <c r="E203" s="41" t="n"/>
      <c r="F203" s="41" t="n"/>
      <c r="G203" s="42" t="n"/>
      <c r="H203" s="20" t="n"/>
      <c r="I203" s="20" t="n"/>
      <c r="J203" s="20" t="n"/>
    </row>
    <row r="204" ht="16.5" customFormat="1" customHeight="1" s="12">
      <c r="A204" s="17" t="n">
        <v>199</v>
      </c>
      <c r="B204" s="25" t="n"/>
      <c r="C204" s="141">
        <f>H204*I204</f>
        <v/>
      </c>
      <c r="D204" s="41" t="n"/>
      <c r="E204" s="41" t="n"/>
      <c r="F204" s="41" t="n"/>
      <c r="G204" s="42" t="n"/>
      <c r="H204" s="20" t="n"/>
      <c r="I204" s="20" t="n"/>
      <c r="J204" s="20" t="n"/>
    </row>
    <row r="205" ht="16.5" customFormat="1" customHeight="1" s="12">
      <c r="A205" s="17" t="n">
        <v>200</v>
      </c>
      <c r="B205" s="25" t="n"/>
      <c r="C205" s="141">
        <f>H205*I205</f>
        <v/>
      </c>
      <c r="D205" s="41" t="n"/>
      <c r="E205" s="41" t="n"/>
      <c r="F205" s="41" t="n"/>
      <c r="G205" s="42" t="n"/>
      <c r="H205" s="20" t="n"/>
      <c r="I205" s="20" t="n"/>
      <c r="J205" s="20" t="n"/>
    </row>
    <row r="206" ht="16.5" customFormat="1" customHeight="1" s="12">
      <c r="A206" s="17" t="n">
        <v>201</v>
      </c>
      <c r="B206" s="25" t="n"/>
      <c r="C206" s="141">
        <f>H206*I206</f>
        <v/>
      </c>
      <c r="D206" s="41" t="n"/>
      <c r="E206" s="41" t="n"/>
      <c r="F206" s="41" t="n"/>
      <c r="G206" s="42" t="n"/>
      <c r="H206" s="20" t="n"/>
      <c r="I206" s="20" t="n"/>
      <c r="J206" s="20" t="n"/>
    </row>
    <row r="207" ht="16.5" customFormat="1" customHeight="1" s="12">
      <c r="A207" s="17" t="n">
        <v>202</v>
      </c>
      <c r="B207" s="25" t="n"/>
      <c r="C207" s="141">
        <f>H207*I207</f>
        <v/>
      </c>
      <c r="D207" s="41" t="n"/>
      <c r="E207" s="41" t="n"/>
      <c r="F207" s="41" t="n"/>
      <c r="G207" s="42" t="n"/>
      <c r="H207" s="20" t="n"/>
      <c r="I207" s="20" t="n"/>
      <c r="J207" s="20" t="n"/>
    </row>
    <row r="208" ht="16.5" customFormat="1" customHeight="1" s="12">
      <c r="A208" s="17" t="n">
        <v>203</v>
      </c>
      <c r="B208" s="25" t="n"/>
      <c r="C208" s="141">
        <f>H208*I208</f>
        <v/>
      </c>
      <c r="D208" s="41" t="n"/>
      <c r="E208" s="41" t="n"/>
      <c r="F208" s="41" t="n"/>
      <c r="G208" s="42" t="n"/>
      <c r="H208" s="20" t="n"/>
      <c r="I208" s="20" t="n"/>
      <c r="J208" s="20" t="n"/>
    </row>
    <row r="209" ht="16.5" customFormat="1" customHeight="1" s="12">
      <c r="A209" s="17" t="n">
        <v>204</v>
      </c>
      <c r="B209" s="25" t="n"/>
      <c r="C209" s="141">
        <f>H209*I209</f>
        <v/>
      </c>
      <c r="D209" s="41" t="n"/>
      <c r="E209" s="41" t="n"/>
      <c r="F209" s="41" t="n"/>
      <c r="G209" s="42" t="n"/>
      <c r="H209" s="20" t="n"/>
      <c r="I209" s="20" t="n"/>
      <c r="J209" s="20" t="n"/>
    </row>
    <row r="210" ht="16.5" customFormat="1" customHeight="1" s="12">
      <c r="A210" s="17" t="n">
        <v>205</v>
      </c>
      <c r="B210" s="25" t="n"/>
      <c r="C210" s="141">
        <f>H210*I210</f>
        <v/>
      </c>
      <c r="D210" s="41" t="n"/>
      <c r="E210" s="41" t="n"/>
      <c r="F210" s="41" t="n"/>
      <c r="G210" s="42" t="n"/>
      <c r="H210" s="20" t="n"/>
      <c r="I210" s="20" t="n"/>
      <c r="J210" s="20" t="n"/>
    </row>
    <row r="211" ht="16.5" customFormat="1" customHeight="1" s="12">
      <c r="A211" s="17" t="n">
        <v>206</v>
      </c>
      <c r="B211" s="25" t="n"/>
      <c r="C211" s="141">
        <f>H211*I211</f>
        <v/>
      </c>
      <c r="D211" s="41" t="n"/>
      <c r="E211" s="41" t="n"/>
      <c r="F211" s="41" t="n"/>
      <c r="G211" s="42" t="n"/>
      <c r="H211" s="20" t="n"/>
      <c r="I211" s="20" t="n"/>
      <c r="J211" s="20" t="n"/>
    </row>
    <row r="212" ht="16.5" customFormat="1" customHeight="1" s="12">
      <c r="A212" s="17" t="n">
        <v>207</v>
      </c>
      <c r="B212" s="25" t="n"/>
      <c r="C212" s="141">
        <f>H212*I212</f>
        <v/>
      </c>
      <c r="D212" s="41" t="n"/>
      <c r="E212" s="41" t="n"/>
      <c r="F212" s="41" t="n"/>
      <c r="G212" s="42" t="n"/>
      <c r="H212" s="20" t="n"/>
      <c r="I212" s="20" t="n"/>
      <c r="J212" s="20" t="n"/>
    </row>
    <row r="213" ht="16.5" customFormat="1" customHeight="1" s="12">
      <c r="A213" s="17" t="n">
        <v>208</v>
      </c>
      <c r="B213" s="25" t="n"/>
      <c r="C213" s="141">
        <f>H213*I213</f>
        <v/>
      </c>
      <c r="D213" s="41" t="n"/>
      <c r="E213" s="41" t="n"/>
      <c r="F213" s="41" t="n"/>
      <c r="G213" s="42" t="n"/>
      <c r="H213" s="20" t="n"/>
      <c r="I213" s="20" t="n"/>
      <c r="J213" s="20" t="n"/>
    </row>
    <row r="214" ht="16.5" customFormat="1" customHeight="1" s="12">
      <c r="A214" s="17" t="n">
        <v>209</v>
      </c>
      <c r="B214" s="25" t="n"/>
      <c r="C214" s="141">
        <f>H214*I214</f>
        <v/>
      </c>
      <c r="D214" s="41" t="n"/>
      <c r="E214" s="41" t="n"/>
      <c r="F214" s="41" t="n"/>
      <c r="G214" s="42" t="n"/>
      <c r="H214" s="20" t="n"/>
      <c r="I214" s="20" t="n"/>
      <c r="J214" s="20" t="n"/>
    </row>
    <row r="215" ht="16.5" customFormat="1" customHeight="1" s="12">
      <c r="A215" s="17" t="n">
        <v>210</v>
      </c>
      <c r="B215" s="25" t="n"/>
      <c r="C215" s="141">
        <f>H215*I215</f>
        <v/>
      </c>
      <c r="D215" s="41" t="n"/>
      <c r="E215" s="41" t="n"/>
      <c r="F215" s="41" t="n"/>
      <c r="G215" s="42" t="n"/>
      <c r="H215" s="20" t="n"/>
      <c r="I215" s="20" t="n"/>
      <c r="J215" s="20" t="n"/>
    </row>
    <row r="216" ht="16.5" customFormat="1" customHeight="1" s="12">
      <c r="A216" s="17" t="n">
        <v>211</v>
      </c>
      <c r="B216" s="25" t="n"/>
      <c r="C216" s="141">
        <f>H216*I216</f>
        <v/>
      </c>
      <c r="D216" s="41" t="n"/>
      <c r="E216" s="41" t="n"/>
      <c r="F216" s="41" t="n"/>
      <c r="G216" s="42" t="n"/>
      <c r="H216" s="20" t="n"/>
      <c r="I216" s="20" t="n"/>
      <c r="J216" s="20" t="n"/>
    </row>
    <row r="217" ht="16.5" customFormat="1" customHeight="1" s="12">
      <c r="A217" s="17" t="n">
        <v>212</v>
      </c>
      <c r="B217" s="25" t="n"/>
      <c r="C217" s="141">
        <f>H217*I217</f>
        <v/>
      </c>
      <c r="D217" s="41" t="n"/>
      <c r="E217" s="41" t="n"/>
      <c r="F217" s="41" t="n"/>
      <c r="G217" s="42" t="n"/>
      <c r="H217" s="20" t="n"/>
      <c r="I217" s="20" t="n"/>
      <c r="J217" s="20" t="n"/>
    </row>
    <row r="218" ht="16.5" customFormat="1" customHeight="1" s="12">
      <c r="A218" s="17" t="n">
        <v>213</v>
      </c>
      <c r="B218" s="25" t="n"/>
      <c r="C218" s="141">
        <f>H218*I218</f>
        <v/>
      </c>
      <c r="D218" s="41" t="n"/>
      <c r="E218" s="41" t="n"/>
      <c r="F218" s="41" t="n"/>
      <c r="G218" s="42" t="n"/>
      <c r="H218" s="20" t="n"/>
      <c r="I218" s="20" t="n"/>
      <c r="J218" s="20" t="n"/>
    </row>
    <row r="219" ht="16.5" customFormat="1" customHeight="1" s="12">
      <c r="A219" s="17" t="n">
        <v>214</v>
      </c>
      <c r="B219" s="25" t="n"/>
      <c r="C219" s="141">
        <f>H219*I219</f>
        <v/>
      </c>
      <c r="D219" s="41" t="n"/>
      <c r="E219" s="41" t="n"/>
      <c r="F219" s="41" t="n"/>
      <c r="G219" s="42" t="n"/>
      <c r="H219" s="20" t="n"/>
      <c r="I219" s="20" t="n"/>
      <c r="J219" s="20" t="n"/>
    </row>
    <row r="220" ht="16.5" customFormat="1" customHeight="1" s="12">
      <c r="A220" s="17" t="n">
        <v>215</v>
      </c>
      <c r="B220" s="25" t="n"/>
      <c r="C220" s="141">
        <f>H220*I220</f>
        <v/>
      </c>
      <c r="D220" s="41" t="n"/>
      <c r="E220" s="41" t="n"/>
      <c r="F220" s="41" t="n"/>
      <c r="G220" s="42" t="n"/>
      <c r="H220" s="20" t="n"/>
      <c r="I220" s="20" t="n"/>
      <c r="J220" s="20" t="n"/>
    </row>
    <row r="221" ht="16.5" customFormat="1" customHeight="1" s="12">
      <c r="A221" s="17" t="n">
        <v>216</v>
      </c>
      <c r="B221" s="25" t="n"/>
      <c r="C221" s="141">
        <f>H221*I221</f>
        <v/>
      </c>
      <c r="D221" s="41" t="n"/>
      <c r="E221" s="41" t="n"/>
      <c r="F221" s="41" t="n"/>
      <c r="G221" s="42" t="n"/>
      <c r="H221" s="20" t="n"/>
      <c r="I221" s="20" t="n"/>
      <c r="J221" s="20" t="n"/>
    </row>
    <row r="222" ht="16.5" customFormat="1" customHeight="1" s="12">
      <c r="A222" s="17" t="n">
        <v>217</v>
      </c>
      <c r="B222" s="25" t="n"/>
      <c r="C222" s="141">
        <f>H222*I222</f>
        <v/>
      </c>
      <c r="D222" s="41" t="n"/>
      <c r="E222" s="41" t="n"/>
      <c r="F222" s="41" t="n"/>
      <c r="G222" s="42" t="n"/>
      <c r="H222" s="20" t="n"/>
      <c r="I222" s="20" t="n"/>
      <c r="J222" s="20" t="n"/>
    </row>
    <row r="223" ht="16.5" customFormat="1" customHeight="1" s="12">
      <c r="A223" s="17" t="n">
        <v>218</v>
      </c>
      <c r="B223" s="25" t="n"/>
      <c r="C223" s="141">
        <f>H223*I223</f>
        <v/>
      </c>
      <c r="D223" s="41" t="n"/>
      <c r="E223" s="41" t="n"/>
      <c r="F223" s="41" t="n"/>
      <c r="G223" s="42" t="n"/>
      <c r="H223" s="20" t="n"/>
      <c r="I223" s="20" t="n"/>
      <c r="J223" s="20" t="n"/>
    </row>
    <row r="224" ht="16.5" customFormat="1" customHeight="1" s="12">
      <c r="A224" s="17" t="n">
        <v>219</v>
      </c>
      <c r="B224" s="25" t="n"/>
      <c r="C224" s="141">
        <f>H224*I224</f>
        <v/>
      </c>
      <c r="D224" s="41" t="n"/>
      <c r="E224" s="41" t="n"/>
      <c r="F224" s="41" t="n"/>
      <c r="G224" s="42" t="n"/>
      <c r="H224" s="20" t="n"/>
      <c r="I224" s="20" t="n"/>
      <c r="J224" s="20" t="n"/>
    </row>
    <row r="225" ht="16.5" customFormat="1" customHeight="1" s="12">
      <c r="A225" s="17" t="n">
        <v>220</v>
      </c>
      <c r="B225" s="25" t="n"/>
      <c r="C225" s="141">
        <f>H225*I225</f>
        <v/>
      </c>
      <c r="D225" s="41" t="n"/>
      <c r="E225" s="41" t="n"/>
      <c r="F225" s="41" t="n"/>
      <c r="G225" s="42" t="n"/>
      <c r="H225" s="20" t="n"/>
      <c r="I225" s="20" t="n"/>
      <c r="J225" s="20" t="n"/>
    </row>
    <row r="226" ht="16.5" customFormat="1" customHeight="1" s="12">
      <c r="A226" s="17" t="n">
        <v>221</v>
      </c>
      <c r="B226" s="25" t="n"/>
      <c r="C226" s="141">
        <f>H226*I226</f>
        <v/>
      </c>
      <c r="D226" s="41" t="n"/>
      <c r="E226" s="41" t="n"/>
      <c r="F226" s="41" t="n"/>
      <c r="G226" s="42" t="n"/>
      <c r="H226" s="20" t="n"/>
      <c r="I226" s="20" t="n"/>
      <c r="J226" s="20" t="n"/>
    </row>
    <row r="227" ht="16.5" customFormat="1" customHeight="1" s="12">
      <c r="A227" s="17" t="n">
        <v>222</v>
      </c>
      <c r="B227" s="25" t="n"/>
      <c r="C227" s="141">
        <f>H227*I227</f>
        <v/>
      </c>
      <c r="D227" s="41" t="n"/>
      <c r="E227" s="41" t="n"/>
      <c r="F227" s="41" t="n"/>
      <c r="G227" s="42" t="n"/>
      <c r="H227" s="20" t="n"/>
      <c r="I227" s="20" t="n"/>
      <c r="J227" s="20" t="n"/>
    </row>
    <row r="228" ht="16.5" customFormat="1" customHeight="1" s="12">
      <c r="A228" s="17" t="n">
        <v>223</v>
      </c>
      <c r="B228" s="25" t="n"/>
      <c r="C228" s="141">
        <f>H228*I228</f>
        <v/>
      </c>
      <c r="D228" s="41" t="n"/>
      <c r="E228" s="41" t="n"/>
      <c r="F228" s="41" t="n"/>
      <c r="G228" s="42" t="n"/>
      <c r="H228" s="20" t="n"/>
      <c r="I228" s="20" t="n"/>
      <c r="J228" s="20" t="n"/>
    </row>
    <row r="229" ht="16.5" customFormat="1" customHeight="1" s="12">
      <c r="A229" s="17" t="n">
        <v>224</v>
      </c>
      <c r="B229" s="25" t="n"/>
      <c r="C229" s="141">
        <f>H229*I229</f>
        <v/>
      </c>
      <c r="D229" s="41" t="n"/>
      <c r="E229" s="41" t="n"/>
      <c r="F229" s="41" t="n"/>
      <c r="G229" s="42" t="n"/>
      <c r="H229" s="20" t="n"/>
      <c r="I229" s="20" t="n"/>
      <c r="J229" s="20" t="n"/>
    </row>
    <row r="230" ht="16.5" customFormat="1" customHeight="1" s="12">
      <c r="A230" s="17" t="n">
        <v>225</v>
      </c>
      <c r="B230" s="25" t="n"/>
      <c r="C230" s="141">
        <f>H230*I230</f>
        <v/>
      </c>
      <c r="D230" s="41" t="n"/>
      <c r="E230" s="41" t="n"/>
      <c r="F230" s="41" t="n"/>
      <c r="G230" s="42" t="n"/>
      <c r="H230" s="20" t="n"/>
      <c r="I230" s="20" t="n"/>
      <c r="J230" s="20" t="n"/>
    </row>
    <row r="231" ht="16.5" customFormat="1" customHeight="1" s="12">
      <c r="A231" s="17" t="n">
        <v>226</v>
      </c>
      <c r="B231" s="25" t="n"/>
      <c r="C231" s="141">
        <f>H231*I231</f>
        <v/>
      </c>
      <c r="D231" s="41" t="n"/>
      <c r="E231" s="41" t="n"/>
      <c r="F231" s="41" t="n"/>
      <c r="G231" s="42" t="n"/>
      <c r="H231" s="20" t="n"/>
      <c r="I231" s="20" t="n"/>
      <c r="J231" s="20" t="n"/>
    </row>
    <row r="232" ht="16.5" customFormat="1" customHeight="1" s="12">
      <c r="A232" s="17" t="n">
        <v>227</v>
      </c>
      <c r="B232" s="25" t="n"/>
      <c r="C232" s="141">
        <f>H232*I232</f>
        <v/>
      </c>
      <c r="D232" s="41" t="n"/>
      <c r="E232" s="41" t="n"/>
      <c r="F232" s="41" t="n"/>
      <c r="G232" s="42" t="n"/>
      <c r="H232" s="20" t="n"/>
      <c r="I232" s="20" t="n"/>
      <c r="J232" s="20" t="n"/>
    </row>
    <row r="233" ht="16.5" customFormat="1" customHeight="1" s="12">
      <c r="A233" s="17" t="n">
        <v>228</v>
      </c>
      <c r="B233" s="25" t="n"/>
      <c r="C233" s="141">
        <f>H233*I233</f>
        <v/>
      </c>
      <c r="D233" s="41" t="n"/>
      <c r="E233" s="41" t="n"/>
      <c r="F233" s="41" t="n"/>
      <c r="G233" s="42" t="n"/>
      <c r="H233" s="20" t="n"/>
      <c r="I233" s="20" t="n"/>
      <c r="J233" s="20" t="n"/>
    </row>
    <row r="234" ht="16.5" customFormat="1" customHeight="1" s="12">
      <c r="A234" s="17" t="n">
        <v>229</v>
      </c>
      <c r="B234" s="25" t="n"/>
      <c r="C234" s="141">
        <f>H234*I234</f>
        <v/>
      </c>
      <c r="D234" s="41" t="n"/>
      <c r="E234" s="41" t="n"/>
      <c r="F234" s="41" t="n"/>
      <c r="G234" s="42" t="n"/>
      <c r="H234" s="20" t="n"/>
      <c r="I234" s="20" t="n"/>
      <c r="J234" s="20" t="n"/>
    </row>
    <row r="235" ht="16.5" customFormat="1" customHeight="1" s="12">
      <c r="A235" s="17" t="n">
        <v>230</v>
      </c>
      <c r="B235" s="25" t="n"/>
      <c r="C235" s="141">
        <f>H235*I235</f>
        <v/>
      </c>
      <c r="D235" s="41" t="n"/>
      <c r="E235" s="41" t="n"/>
      <c r="F235" s="41" t="n"/>
      <c r="G235" s="42" t="n"/>
      <c r="H235" s="20" t="n"/>
      <c r="I235" s="20" t="n"/>
      <c r="J235" s="20" t="n"/>
    </row>
    <row r="236" ht="16.5" customFormat="1" customHeight="1" s="12">
      <c r="A236" s="17" t="n">
        <v>231</v>
      </c>
      <c r="B236" s="25" t="n"/>
      <c r="C236" s="141">
        <f>H236*I236</f>
        <v/>
      </c>
      <c r="D236" s="41" t="n"/>
      <c r="E236" s="41" t="n"/>
      <c r="F236" s="41" t="n"/>
      <c r="G236" s="42" t="n"/>
      <c r="H236" s="20" t="n"/>
      <c r="I236" s="20" t="n"/>
      <c r="J236" s="20" t="n"/>
    </row>
    <row r="237" ht="16.5" customFormat="1" customHeight="1" s="12">
      <c r="A237" s="17" t="n">
        <v>232</v>
      </c>
      <c r="B237" s="25" t="n"/>
      <c r="C237" s="141">
        <f>H237*I237</f>
        <v/>
      </c>
      <c r="D237" s="41" t="n"/>
      <c r="E237" s="41" t="n"/>
      <c r="F237" s="41" t="n"/>
      <c r="G237" s="42" t="n"/>
      <c r="H237" s="20" t="n"/>
      <c r="I237" s="20" t="n"/>
      <c r="J237" s="20" t="n"/>
    </row>
    <row r="238" ht="16.5" customFormat="1" customHeight="1" s="12">
      <c r="A238" s="17" t="n">
        <v>233</v>
      </c>
      <c r="B238" s="25" t="n"/>
      <c r="C238" s="141">
        <f>H238*I238</f>
        <v/>
      </c>
      <c r="D238" s="41" t="n"/>
      <c r="E238" s="41" t="n"/>
      <c r="F238" s="41" t="n"/>
      <c r="G238" s="42" t="n"/>
      <c r="H238" s="20" t="n"/>
      <c r="I238" s="20" t="n"/>
      <c r="J238" s="20" t="n"/>
    </row>
    <row r="239" ht="16.5" customFormat="1" customHeight="1" s="12">
      <c r="A239" s="17" t="n">
        <v>234</v>
      </c>
      <c r="B239" s="25" t="n"/>
      <c r="C239" s="141">
        <f>H239*I239</f>
        <v/>
      </c>
      <c r="D239" s="41" t="n"/>
      <c r="E239" s="41" t="n"/>
      <c r="F239" s="41" t="n"/>
      <c r="G239" s="42" t="n"/>
      <c r="H239" s="20" t="n"/>
      <c r="I239" s="20" t="n"/>
      <c r="J239" s="20" t="n"/>
    </row>
    <row r="240" ht="16.5" customFormat="1" customHeight="1" s="12">
      <c r="A240" s="17" t="n">
        <v>235</v>
      </c>
      <c r="B240" s="25" t="n"/>
      <c r="C240" s="141">
        <f>H240*I240</f>
        <v/>
      </c>
      <c r="D240" s="41" t="n"/>
      <c r="E240" s="41" t="n"/>
      <c r="F240" s="41" t="n"/>
      <c r="G240" s="42" t="n"/>
      <c r="H240" s="20" t="n"/>
      <c r="I240" s="20" t="n"/>
      <c r="J240" s="20" t="n"/>
    </row>
    <row r="241" ht="16.5" customFormat="1" customHeight="1" s="12">
      <c r="A241" s="17" t="n">
        <v>236</v>
      </c>
      <c r="B241" s="25" t="n"/>
      <c r="C241" s="141">
        <f>H241*I241</f>
        <v/>
      </c>
      <c r="D241" s="41" t="n"/>
      <c r="E241" s="41" t="n"/>
      <c r="F241" s="41" t="n"/>
      <c r="G241" s="42" t="n"/>
      <c r="H241" s="20" t="n"/>
      <c r="I241" s="20" t="n"/>
      <c r="J241" s="20" t="n"/>
    </row>
    <row r="242" ht="16.5" customFormat="1" customHeight="1" s="12">
      <c r="A242" s="17" t="n">
        <v>237</v>
      </c>
      <c r="B242" s="25" t="n"/>
      <c r="C242" s="141">
        <f>H242*I242</f>
        <v/>
      </c>
      <c r="D242" s="41" t="n"/>
      <c r="E242" s="41" t="n"/>
      <c r="F242" s="41" t="n"/>
      <c r="G242" s="42" t="n"/>
      <c r="H242" s="20" t="n"/>
      <c r="I242" s="20" t="n"/>
      <c r="J242" s="20" t="n"/>
    </row>
    <row r="243" ht="16.5" customFormat="1" customHeight="1" s="12">
      <c r="A243" s="17" t="n">
        <v>238</v>
      </c>
      <c r="B243" s="25" t="n"/>
      <c r="C243" s="141">
        <f>H243*I243</f>
        <v/>
      </c>
      <c r="D243" s="41" t="n"/>
      <c r="E243" s="41" t="n"/>
      <c r="F243" s="41" t="n"/>
      <c r="G243" s="42" t="n"/>
      <c r="H243" s="20" t="n"/>
      <c r="I243" s="20" t="n"/>
      <c r="J243" s="20" t="n"/>
    </row>
    <row r="244" ht="16.5" customFormat="1" customHeight="1" s="12">
      <c r="A244" s="17" t="n">
        <v>239</v>
      </c>
      <c r="B244" s="25" t="n"/>
      <c r="C244" s="141">
        <f>H244*I244</f>
        <v/>
      </c>
      <c r="D244" s="41" t="n"/>
      <c r="E244" s="41" t="n"/>
      <c r="F244" s="41" t="n"/>
      <c r="G244" s="42" t="n"/>
      <c r="H244" s="20" t="n"/>
      <c r="I244" s="20" t="n"/>
      <c r="J244" s="20" t="n"/>
    </row>
    <row r="245" ht="16.5" customFormat="1" customHeight="1" s="12">
      <c r="A245" s="17" t="n">
        <v>240</v>
      </c>
      <c r="B245" s="25" t="n"/>
      <c r="C245" s="141">
        <f>H245*I245</f>
        <v/>
      </c>
      <c r="D245" s="41" t="n"/>
      <c r="E245" s="41" t="n"/>
      <c r="F245" s="41" t="n"/>
      <c r="G245" s="42" t="n"/>
      <c r="H245" s="20" t="n"/>
      <c r="I245" s="20" t="n"/>
      <c r="J245" s="20" t="n"/>
    </row>
    <row r="246" ht="16.5" customFormat="1" customHeight="1" s="12">
      <c r="A246" s="17" t="n">
        <v>241</v>
      </c>
      <c r="B246" s="25" t="n"/>
      <c r="C246" s="141">
        <f>H246*I246</f>
        <v/>
      </c>
      <c r="D246" s="41" t="n"/>
      <c r="E246" s="41" t="n"/>
      <c r="F246" s="41" t="n"/>
      <c r="G246" s="42" t="n"/>
      <c r="H246" s="20" t="n"/>
      <c r="I246" s="20" t="n"/>
      <c r="J246" s="20" t="n"/>
    </row>
    <row r="247" ht="16.5" customFormat="1" customHeight="1" s="12">
      <c r="A247" s="17" t="n">
        <v>242</v>
      </c>
      <c r="B247" s="25" t="n"/>
      <c r="C247" s="141">
        <f>H247*I247</f>
        <v/>
      </c>
      <c r="D247" s="41" t="n"/>
      <c r="E247" s="41" t="n"/>
      <c r="F247" s="41" t="n"/>
      <c r="G247" s="42" t="n"/>
      <c r="H247" s="20" t="n"/>
      <c r="I247" s="20" t="n"/>
      <c r="J247" s="20" t="n"/>
    </row>
    <row r="248" ht="16.5" customFormat="1" customHeight="1" s="12">
      <c r="A248" s="17" t="n">
        <v>243</v>
      </c>
      <c r="B248" s="25" t="n"/>
      <c r="C248" s="141">
        <f>H248*I248</f>
        <v/>
      </c>
      <c r="D248" s="41" t="n"/>
      <c r="E248" s="41" t="n"/>
      <c r="F248" s="41" t="n"/>
      <c r="G248" s="42" t="n"/>
      <c r="H248" s="20" t="n"/>
      <c r="I248" s="20" t="n"/>
      <c r="J248" s="20" t="n"/>
    </row>
    <row r="249" ht="16.5" customFormat="1" customHeight="1" s="12">
      <c r="A249" s="17" t="n">
        <v>244</v>
      </c>
      <c r="B249" s="25" t="n"/>
      <c r="C249" s="141">
        <f>H249*I249</f>
        <v/>
      </c>
      <c r="D249" s="41" t="n"/>
      <c r="E249" s="41" t="n"/>
      <c r="F249" s="41" t="n"/>
      <c r="G249" s="42" t="n"/>
      <c r="H249" s="20" t="n"/>
      <c r="I249" s="20" t="n"/>
      <c r="J249" s="20" t="n"/>
    </row>
    <row r="250" ht="16.5" customFormat="1" customHeight="1" s="12">
      <c r="A250" s="17" t="n">
        <v>245</v>
      </c>
      <c r="B250" s="25" t="n"/>
      <c r="C250" s="141">
        <f>H250*I250</f>
        <v/>
      </c>
      <c r="D250" s="41" t="n"/>
      <c r="E250" s="41" t="n"/>
      <c r="F250" s="41" t="n"/>
      <c r="G250" s="42" t="n"/>
      <c r="H250" s="20" t="n"/>
      <c r="I250" s="20" t="n"/>
      <c r="J250" s="20" t="n"/>
    </row>
    <row r="251" ht="16.5" customFormat="1" customHeight="1" s="12">
      <c r="A251" s="17" t="n">
        <v>246</v>
      </c>
      <c r="B251" s="25" t="n"/>
      <c r="C251" s="141">
        <f>H251*I251</f>
        <v/>
      </c>
      <c r="D251" s="41" t="n"/>
      <c r="E251" s="41" t="n"/>
      <c r="F251" s="41" t="n"/>
      <c r="G251" s="42" t="n"/>
      <c r="H251" s="20" t="n"/>
      <c r="I251" s="20" t="n"/>
      <c r="J251" s="20" t="n"/>
    </row>
    <row r="252" ht="16.5" customFormat="1" customHeight="1" s="12">
      <c r="A252" s="17" t="n">
        <v>247</v>
      </c>
      <c r="B252" s="25" t="n"/>
      <c r="C252" s="141">
        <f>H252*I252</f>
        <v/>
      </c>
      <c r="D252" s="41" t="n"/>
      <c r="E252" s="41" t="n"/>
      <c r="F252" s="41" t="n"/>
      <c r="G252" s="42" t="n"/>
      <c r="H252" s="20" t="n"/>
      <c r="I252" s="20" t="n"/>
      <c r="J252" s="20" t="n"/>
    </row>
    <row r="253" ht="16.5" customFormat="1" customHeight="1" s="12">
      <c r="A253" s="17" t="n">
        <v>248</v>
      </c>
      <c r="B253" s="25" t="n"/>
      <c r="C253" s="141">
        <f>H253*I253</f>
        <v/>
      </c>
      <c r="D253" s="41" t="n"/>
      <c r="E253" s="41" t="n"/>
      <c r="F253" s="41" t="n"/>
      <c r="G253" s="42" t="n"/>
      <c r="H253" s="20" t="n"/>
      <c r="I253" s="20" t="n"/>
      <c r="J253" s="20" t="n"/>
    </row>
    <row r="254" ht="16.5" customFormat="1" customHeight="1" s="12">
      <c r="A254" s="17" t="n">
        <v>249</v>
      </c>
      <c r="B254" s="25" t="n"/>
      <c r="C254" s="141">
        <f>H254*I254</f>
        <v/>
      </c>
      <c r="D254" s="41" t="n"/>
      <c r="E254" s="41" t="n"/>
      <c r="F254" s="41" t="n"/>
      <c r="G254" s="42" t="n"/>
      <c r="H254" s="20" t="n"/>
      <c r="I254" s="20" t="n"/>
      <c r="J254" s="20" t="n"/>
    </row>
    <row r="255" ht="16.5" customFormat="1" customHeight="1" s="12">
      <c r="A255" s="17" t="n">
        <v>250</v>
      </c>
      <c r="B255" s="25" t="n"/>
      <c r="C255" s="141">
        <f>H255*I255</f>
        <v/>
      </c>
      <c r="D255" s="41" t="n"/>
      <c r="E255" s="41" t="n"/>
      <c r="F255" s="41" t="n"/>
      <c r="G255" s="42" t="n"/>
      <c r="H255" s="20" t="n"/>
      <c r="I255" s="20" t="n"/>
      <c r="J255" s="20" t="n"/>
    </row>
    <row r="256" ht="16.5" customFormat="1" customHeight="1" s="12">
      <c r="A256" s="17" t="n">
        <v>251</v>
      </c>
      <c r="B256" s="25" t="n"/>
      <c r="C256" s="141">
        <f>H256*I256</f>
        <v/>
      </c>
      <c r="D256" s="41" t="n"/>
      <c r="E256" s="41" t="n"/>
      <c r="F256" s="41" t="n"/>
      <c r="G256" s="42" t="n"/>
      <c r="H256" s="20" t="n"/>
      <c r="I256" s="20" t="n"/>
      <c r="J256" s="20" t="n"/>
    </row>
    <row r="257" ht="16.5" customFormat="1" customHeight="1" s="12">
      <c r="A257" s="17" t="n">
        <v>252</v>
      </c>
      <c r="B257" s="25" t="n"/>
      <c r="C257" s="141">
        <f>H257*I257</f>
        <v/>
      </c>
      <c r="D257" s="41" t="n"/>
      <c r="E257" s="41" t="n"/>
      <c r="F257" s="41" t="n"/>
      <c r="G257" s="42" t="n"/>
      <c r="H257" s="20" t="n"/>
      <c r="I257" s="20" t="n"/>
      <c r="J257" s="20" t="n"/>
    </row>
    <row r="258" ht="16.5" customFormat="1" customHeight="1" s="12">
      <c r="A258" s="17" t="n">
        <v>253</v>
      </c>
      <c r="B258" s="25" t="n"/>
      <c r="C258" s="141">
        <f>H258*I258</f>
        <v/>
      </c>
      <c r="D258" s="41" t="n"/>
      <c r="E258" s="41" t="n"/>
      <c r="F258" s="41" t="n"/>
      <c r="G258" s="42" t="n"/>
      <c r="H258" s="20" t="n"/>
      <c r="I258" s="20" t="n"/>
      <c r="J258" s="20" t="n"/>
    </row>
    <row r="259" ht="16.5" customFormat="1" customHeight="1" s="12">
      <c r="A259" s="17" t="n">
        <v>254</v>
      </c>
      <c r="B259" s="25" t="n"/>
      <c r="C259" s="141">
        <f>H259*I259</f>
        <v/>
      </c>
      <c r="D259" s="41" t="n"/>
      <c r="E259" s="41" t="n"/>
      <c r="F259" s="41" t="n"/>
      <c r="G259" s="42" t="n"/>
      <c r="H259" s="20" t="n"/>
      <c r="I259" s="20" t="n"/>
      <c r="J259" s="20" t="n"/>
    </row>
    <row r="260" ht="16.5" customFormat="1" customHeight="1" s="12">
      <c r="A260" s="17" t="n">
        <v>255</v>
      </c>
      <c r="B260" s="25" t="n"/>
      <c r="C260" s="141">
        <f>H260*I260</f>
        <v/>
      </c>
      <c r="D260" s="41" t="n"/>
      <c r="E260" s="41" t="n"/>
      <c r="F260" s="41" t="n"/>
      <c r="G260" s="42" t="n"/>
      <c r="H260" s="20" t="n"/>
      <c r="I260" s="20" t="n"/>
      <c r="J260" s="20" t="n"/>
    </row>
    <row r="261" ht="16.5" customFormat="1" customHeight="1" s="12">
      <c r="A261" s="17" t="n">
        <v>256</v>
      </c>
      <c r="B261" s="25" t="n"/>
      <c r="C261" s="141">
        <f>H261*I261</f>
        <v/>
      </c>
      <c r="D261" s="41" t="n"/>
      <c r="E261" s="41" t="n"/>
      <c r="F261" s="41" t="n"/>
      <c r="G261" s="42" t="n"/>
      <c r="H261" s="20" t="n"/>
      <c r="I261" s="20" t="n"/>
      <c r="J261" s="20" t="n"/>
    </row>
    <row r="262" ht="16.5" customFormat="1" customHeight="1" s="12">
      <c r="A262" s="17" t="n">
        <v>257</v>
      </c>
      <c r="B262" s="25" t="n"/>
      <c r="C262" s="141">
        <f>H262*I262</f>
        <v/>
      </c>
      <c r="D262" s="41" t="n"/>
      <c r="E262" s="41" t="n"/>
      <c r="F262" s="41" t="n"/>
      <c r="G262" s="42" t="n"/>
      <c r="H262" s="20" t="n"/>
      <c r="I262" s="20" t="n"/>
      <c r="J262" s="20" t="n"/>
    </row>
    <row r="263" ht="16.5" customFormat="1" customHeight="1" s="12">
      <c r="A263" s="17" t="n">
        <v>258</v>
      </c>
      <c r="B263" s="25" t="n"/>
      <c r="C263" s="141">
        <f>H263*I263</f>
        <v/>
      </c>
      <c r="D263" s="41" t="n"/>
      <c r="E263" s="41" t="n"/>
      <c r="F263" s="41" t="n"/>
      <c r="G263" s="42" t="n"/>
      <c r="H263" s="20" t="n"/>
      <c r="I263" s="20" t="n"/>
      <c r="J263" s="20" t="n"/>
    </row>
    <row r="264" ht="16.5" customFormat="1" customHeight="1" s="12">
      <c r="A264" s="17" t="n">
        <v>259</v>
      </c>
      <c r="B264" s="25" t="n"/>
      <c r="C264" s="141">
        <f>H264*I264</f>
        <v/>
      </c>
      <c r="D264" s="41" t="n"/>
      <c r="E264" s="41" t="n"/>
      <c r="F264" s="41" t="n"/>
      <c r="G264" s="42" t="n"/>
      <c r="H264" s="20" t="n"/>
      <c r="I264" s="20" t="n"/>
      <c r="J264" s="20" t="n"/>
    </row>
    <row r="265" ht="16.5" customFormat="1" customHeight="1" s="12">
      <c r="A265" s="17" t="n">
        <v>260</v>
      </c>
      <c r="B265" s="25" t="n"/>
      <c r="C265" s="141">
        <f>H265*I265</f>
        <v/>
      </c>
      <c r="D265" s="41" t="n"/>
      <c r="E265" s="41" t="n"/>
      <c r="F265" s="41" t="n"/>
      <c r="G265" s="42" t="n"/>
      <c r="H265" s="20" t="n"/>
      <c r="I265" s="20" t="n"/>
      <c r="J265" s="20" t="n"/>
    </row>
    <row r="266" ht="16.5" customFormat="1" customHeight="1" s="12">
      <c r="A266" s="17" t="n">
        <v>261</v>
      </c>
      <c r="B266" s="25" t="n"/>
      <c r="C266" s="141">
        <f>H266*I266</f>
        <v/>
      </c>
      <c r="D266" s="41" t="n"/>
      <c r="E266" s="41" t="n"/>
      <c r="F266" s="41" t="n"/>
      <c r="G266" s="42" t="n"/>
      <c r="H266" s="20" t="n"/>
      <c r="I266" s="20" t="n"/>
      <c r="J266" s="20" t="n"/>
    </row>
    <row r="267" ht="16.5" customFormat="1" customHeight="1" s="12">
      <c r="A267" s="17" t="n">
        <v>262</v>
      </c>
      <c r="B267" s="25" t="n"/>
      <c r="C267" s="141">
        <f>H267*I267</f>
        <v/>
      </c>
      <c r="D267" s="41" t="n"/>
      <c r="E267" s="41" t="n"/>
      <c r="F267" s="41" t="n"/>
      <c r="G267" s="42" t="n"/>
      <c r="H267" s="20" t="n"/>
      <c r="I267" s="20" t="n"/>
      <c r="J267" s="20" t="n"/>
    </row>
    <row r="268" ht="16.5" customFormat="1" customHeight="1" s="12">
      <c r="A268" s="17" t="n">
        <v>263</v>
      </c>
      <c r="B268" s="25" t="n"/>
      <c r="C268" s="141">
        <f>H268*I268</f>
        <v/>
      </c>
      <c r="D268" s="41" t="n"/>
      <c r="E268" s="41" t="n"/>
      <c r="F268" s="41" t="n"/>
      <c r="G268" s="42" t="n"/>
      <c r="H268" s="20" t="n"/>
      <c r="I268" s="20" t="n"/>
      <c r="J268" s="20" t="n"/>
    </row>
    <row r="269" ht="16.5" customFormat="1" customHeight="1" s="12">
      <c r="A269" s="17" t="n">
        <v>264</v>
      </c>
      <c r="B269" s="25" t="n"/>
      <c r="C269" s="141">
        <f>H269*I269</f>
        <v/>
      </c>
      <c r="D269" s="41" t="n"/>
      <c r="E269" s="41" t="n"/>
      <c r="F269" s="41" t="n"/>
      <c r="G269" s="42" t="n"/>
      <c r="H269" s="20" t="n"/>
      <c r="I269" s="20" t="n"/>
      <c r="J269" s="20" t="n"/>
    </row>
    <row r="270" ht="16.5" customFormat="1" customHeight="1" s="12">
      <c r="A270" s="17" t="n">
        <v>265</v>
      </c>
      <c r="B270" s="25" t="n"/>
      <c r="C270" s="141">
        <f>H270*I270</f>
        <v/>
      </c>
      <c r="D270" s="41" t="n"/>
      <c r="E270" s="41" t="n"/>
      <c r="F270" s="41" t="n"/>
      <c r="G270" s="42" t="n"/>
      <c r="H270" s="20" t="n"/>
      <c r="I270" s="20" t="n"/>
      <c r="J270" s="20" t="n"/>
    </row>
    <row r="271" ht="16.5" customFormat="1" customHeight="1" s="12">
      <c r="A271" s="17" t="n">
        <v>266</v>
      </c>
      <c r="B271" s="25" t="n"/>
      <c r="C271" s="141">
        <f>H271*I271</f>
        <v/>
      </c>
      <c r="D271" s="41" t="n"/>
      <c r="E271" s="41" t="n"/>
      <c r="F271" s="41" t="n"/>
      <c r="G271" s="42" t="n"/>
      <c r="H271" s="20" t="n"/>
      <c r="I271" s="20" t="n"/>
      <c r="J271" s="20" t="n"/>
    </row>
    <row r="272" ht="16.5" customFormat="1" customHeight="1" s="12">
      <c r="A272" s="17" t="n">
        <v>267</v>
      </c>
      <c r="B272" s="25" t="n"/>
      <c r="C272" s="141">
        <f>H272*I272</f>
        <v/>
      </c>
      <c r="D272" s="41" t="n"/>
      <c r="E272" s="41" t="n"/>
      <c r="F272" s="41" t="n"/>
      <c r="G272" s="42" t="n"/>
      <c r="H272" s="20" t="n"/>
      <c r="I272" s="20" t="n"/>
      <c r="J272" s="20" t="n"/>
    </row>
    <row r="273" ht="16.5" customFormat="1" customHeight="1" s="12">
      <c r="A273" s="17" t="n">
        <v>268</v>
      </c>
      <c r="B273" s="25" t="n"/>
      <c r="C273" s="141">
        <f>H273*I273</f>
        <v/>
      </c>
      <c r="D273" s="41" t="n"/>
      <c r="E273" s="41" t="n"/>
      <c r="F273" s="41" t="n"/>
      <c r="G273" s="42" t="n"/>
      <c r="H273" s="20" t="n"/>
      <c r="I273" s="20" t="n"/>
      <c r="J273" s="20" t="n"/>
    </row>
    <row r="274" ht="16.5" customFormat="1" customHeight="1" s="12">
      <c r="A274" s="17" t="n">
        <v>269</v>
      </c>
      <c r="B274" s="25" t="n"/>
      <c r="C274" s="141">
        <f>H274*I274</f>
        <v/>
      </c>
      <c r="D274" s="41" t="n"/>
      <c r="E274" s="41" t="n"/>
      <c r="F274" s="41" t="n"/>
      <c r="G274" s="42" t="n"/>
      <c r="H274" s="20" t="n"/>
      <c r="I274" s="20" t="n"/>
      <c r="J274" s="20" t="n"/>
    </row>
    <row r="275" ht="16.5" customFormat="1" customHeight="1" s="12">
      <c r="A275" s="17" t="n">
        <v>270</v>
      </c>
      <c r="B275" s="25" t="n"/>
      <c r="C275" s="141">
        <f>H275*I275</f>
        <v/>
      </c>
      <c r="D275" s="41" t="n"/>
      <c r="E275" s="41" t="n"/>
      <c r="F275" s="41" t="n"/>
      <c r="G275" s="42" t="n"/>
      <c r="H275" s="20" t="n"/>
      <c r="I275" s="20" t="n"/>
      <c r="J275" s="20" t="n"/>
    </row>
    <row r="276" ht="16.5" customFormat="1" customHeight="1" s="12">
      <c r="A276" s="17" t="n">
        <v>271</v>
      </c>
      <c r="B276" s="25" t="n"/>
      <c r="C276" s="141">
        <f>H276*I276</f>
        <v/>
      </c>
      <c r="D276" s="41" t="n"/>
      <c r="E276" s="41" t="n"/>
      <c r="F276" s="41" t="n"/>
      <c r="G276" s="42" t="n"/>
      <c r="H276" s="20" t="n"/>
      <c r="I276" s="20" t="n"/>
      <c r="J276" s="20" t="n"/>
    </row>
    <row r="277" ht="16.5" customFormat="1" customHeight="1" s="12">
      <c r="A277" s="17" t="n">
        <v>272</v>
      </c>
      <c r="B277" s="25" t="n"/>
      <c r="C277" s="141">
        <f>H277*I277</f>
        <v/>
      </c>
      <c r="D277" s="41" t="n"/>
      <c r="E277" s="41" t="n"/>
      <c r="F277" s="41" t="n"/>
      <c r="G277" s="42" t="n"/>
      <c r="H277" s="20" t="n"/>
      <c r="I277" s="20" t="n"/>
      <c r="J277" s="20" t="n"/>
    </row>
    <row r="278" ht="16.5" customFormat="1" customHeight="1" s="12">
      <c r="A278" s="17" t="n">
        <v>273</v>
      </c>
      <c r="B278" s="25" t="n"/>
      <c r="C278" s="141">
        <f>H278*I278</f>
        <v/>
      </c>
      <c r="D278" s="41" t="n"/>
      <c r="E278" s="41" t="n"/>
      <c r="F278" s="41" t="n"/>
      <c r="G278" s="42" t="n"/>
      <c r="H278" s="20" t="n"/>
      <c r="I278" s="20" t="n"/>
      <c r="J278" s="20" t="n"/>
    </row>
    <row r="279" ht="16.5" customFormat="1" customHeight="1" s="12">
      <c r="A279" s="17" t="n">
        <v>274</v>
      </c>
      <c r="B279" s="25" t="n"/>
      <c r="C279" s="141">
        <f>H279*I279</f>
        <v/>
      </c>
      <c r="D279" s="41" t="n"/>
      <c r="E279" s="41" t="n"/>
      <c r="F279" s="41" t="n"/>
      <c r="G279" s="42" t="n"/>
      <c r="H279" s="20" t="n"/>
      <c r="I279" s="20" t="n"/>
      <c r="J279" s="20" t="n"/>
    </row>
    <row r="280" ht="16.5" customFormat="1" customHeight="1" s="12">
      <c r="A280" s="17" t="n">
        <v>275</v>
      </c>
      <c r="B280" s="25" t="n"/>
      <c r="C280" s="141">
        <f>H280*I280</f>
        <v/>
      </c>
      <c r="D280" s="41" t="n"/>
      <c r="E280" s="41" t="n"/>
      <c r="F280" s="41" t="n"/>
      <c r="G280" s="42" t="n"/>
      <c r="H280" s="20" t="n"/>
      <c r="I280" s="20" t="n"/>
      <c r="J280" s="20" t="n"/>
    </row>
    <row r="281" ht="16.5" customFormat="1" customHeight="1" s="12">
      <c r="A281" s="17" t="n">
        <v>276</v>
      </c>
      <c r="B281" s="25" t="n"/>
      <c r="C281" s="141">
        <f>H281*I281</f>
        <v/>
      </c>
      <c r="D281" s="41" t="n"/>
      <c r="E281" s="41" t="n"/>
      <c r="F281" s="41" t="n"/>
      <c r="G281" s="42" t="n"/>
      <c r="H281" s="20" t="n"/>
      <c r="I281" s="20" t="n"/>
      <c r="J281" s="20" t="n"/>
    </row>
    <row r="282" ht="16.5" customFormat="1" customHeight="1" s="12">
      <c r="A282" s="17" t="n">
        <v>277</v>
      </c>
      <c r="B282" s="25" t="n"/>
      <c r="C282" s="141">
        <f>H282*I282</f>
        <v/>
      </c>
      <c r="D282" s="41" t="n"/>
      <c r="E282" s="41" t="n"/>
      <c r="F282" s="41" t="n"/>
      <c r="G282" s="42" t="n"/>
      <c r="H282" s="20" t="n"/>
      <c r="I282" s="20" t="n"/>
      <c r="J282" s="20" t="n"/>
    </row>
    <row r="283" ht="16.5" customFormat="1" customHeight="1" s="12">
      <c r="A283" s="17" t="n">
        <v>278</v>
      </c>
      <c r="B283" s="25" t="n"/>
      <c r="C283" s="141">
        <f>H283*I283</f>
        <v/>
      </c>
      <c r="D283" s="41" t="n"/>
      <c r="E283" s="41" t="n"/>
      <c r="F283" s="41" t="n"/>
      <c r="G283" s="42" t="n"/>
      <c r="H283" s="20" t="n"/>
      <c r="I283" s="20" t="n"/>
      <c r="J283" s="20" t="n"/>
    </row>
    <row r="284" ht="16.5" customFormat="1" customHeight="1" s="12">
      <c r="A284" s="17" t="n">
        <v>279</v>
      </c>
      <c r="B284" s="25" t="n"/>
      <c r="C284" s="141">
        <f>H284*I284</f>
        <v/>
      </c>
      <c r="D284" s="41" t="n"/>
      <c r="E284" s="41" t="n"/>
      <c r="F284" s="41" t="n"/>
      <c r="G284" s="42" t="n"/>
      <c r="H284" s="20" t="n"/>
      <c r="I284" s="20" t="n"/>
      <c r="J284" s="20" t="n"/>
    </row>
    <row r="285" ht="16.5" customFormat="1" customHeight="1" s="12">
      <c r="A285" s="17" t="n">
        <v>280</v>
      </c>
      <c r="B285" s="25" t="n"/>
      <c r="C285" s="141">
        <f>H285*I285</f>
        <v/>
      </c>
      <c r="D285" s="41" t="n"/>
      <c r="E285" s="41" t="n"/>
      <c r="F285" s="41" t="n"/>
      <c r="G285" s="42" t="n"/>
      <c r="H285" s="20" t="n"/>
      <c r="I285" s="20" t="n"/>
      <c r="J285" s="20" t="n"/>
    </row>
    <row r="286" ht="16.5" customFormat="1" customHeight="1" s="12">
      <c r="A286" s="17" t="n">
        <v>281</v>
      </c>
      <c r="B286" s="25" t="n"/>
      <c r="C286" s="141">
        <f>H286*I286</f>
        <v/>
      </c>
      <c r="D286" s="41" t="n"/>
      <c r="E286" s="41" t="n"/>
      <c r="F286" s="41" t="n"/>
      <c r="G286" s="42" t="n"/>
      <c r="H286" s="20" t="n"/>
      <c r="I286" s="20" t="n"/>
      <c r="J286" s="20" t="n"/>
    </row>
    <row r="287" ht="16.5" customFormat="1" customHeight="1" s="12">
      <c r="A287" s="17" t="n">
        <v>282</v>
      </c>
      <c r="B287" s="25" t="n"/>
      <c r="C287" s="141">
        <f>H287*I287</f>
        <v/>
      </c>
      <c r="D287" s="41" t="n"/>
      <c r="E287" s="41" t="n"/>
      <c r="F287" s="41" t="n"/>
      <c r="G287" s="42" t="n"/>
      <c r="H287" s="20" t="n"/>
      <c r="I287" s="20" t="n"/>
      <c r="J287" s="20" t="n"/>
    </row>
    <row r="288" ht="16.5" customFormat="1" customHeight="1" s="12">
      <c r="A288" s="17" t="n">
        <v>283</v>
      </c>
      <c r="B288" s="25" t="n"/>
      <c r="C288" s="141">
        <f>H288*I288</f>
        <v/>
      </c>
      <c r="D288" s="41" t="n"/>
      <c r="E288" s="41" t="n"/>
      <c r="F288" s="41" t="n"/>
      <c r="G288" s="42" t="n"/>
      <c r="H288" s="20" t="n"/>
      <c r="I288" s="20" t="n"/>
      <c r="J288" s="20" t="n"/>
    </row>
    <row r="289" ht="16.5" customFormat="1" customHeight="1" s="12">
      <c r="A289" s="17" t="n">
        <v>284</v>
      </c>
      <c r="B289" s="25" t="n"/>
      <c r="C289" s="141">
        <f>H289*I289</f>
        <v/>
      </c>
      <c r="D289" s="41" t="n"/>
      <c r="E289" s="41" t="n"/>
      <c r="F289" s="41" t="n"/>
      <c r="G289" s="42" t="n"/>
      <c r="H289" s="20" t="n"/>
      <c r="I289" s="20" t="n"/>
      <c r="J289" s="20" t="n"/>
    </row>
    <row r="290" ht="16.5" customFormat="1" customHeight="1" s="12">
      <c r="A290" s="17" t="n">
        <v>285</v>
      </c>
      <c r="B290" s="25" t="n"/>
      <c r="C290" s="141">
        <f>H290*I290</f>
        <v/>
      </c>
      <c r="D290" s="41" t="n"/>
      <c r="E290" s="41" t="n"/>
      <c r="F290" s="41" t="n"/>
      <c r="G290" s="42" t="n"/>
      <c r="H290" s="20" t="n"/>
      <c r="I290" s="20" t="n"/>
      <c r="J290" s="20" t="n"/>
    </row>
    <row r="291" ht="16.5" customFormat="1" customHeight="1" s="12">
      <c r="A291" s="17" t="n">
        <v>286</v>
      </c>
      <c r="B291" s="25" t="n"/>
      <c r="C291" s="141">
        <f>H291*I291</f>
        <v/>
      </c>
      <c r="D291" s="41" t="n"/>
      <c r="E291" s="41" t="n"/>
      <c r="F291" s="41" t="n"/>
      <c r="G291" s="42" t="n"/>
      <c r="H291" s="20" t="n"/>
      <c r="I291" s="20" t="n"/>
      <c r="J291" s="20" t="n"/>
    </row>
    <row r="292" ht="16.5" customFormat="1" customHeight="1" s="12">
      <c r="A292" s="17" t="n">
        <v>287</v>
      </c>
      <c r="B292" s="25" t="n"/>
      <c r="C292" s="141">
        <f>H292*I292</f>
        <v/>
      </c>
      <c r="D292" s="41" t="n"/>
      <c r="E292" s="41" t="n"/>
      <c r="F292" s="41" t="n"/>
      <c r="G292" s="42" t="n"/>
      <c r="H292" s="20" t="n"/>
      <c r="I292" s="20" t="n"/>
      <c r="J292" s="20" t="n"/>
    </row>
    <row r="293" ht="16.5" customFormat="1" customHeight="1" s="12">
      <c r="A293" s="17" t="n">
        <v>288</v>
      </c>
      <c r="B293" s="25" t="n"/>
      <c r="C293" s="141">
        <f>H293*I293</f>
        <v/>
      </c>
      <c r="D293" s="41" t="n"/>
      <c r="E293" s="41" t="n"/>
      <c r="F293" s="41" t="n"/>
      <c r="G293" s="42" t="n"/>
      <c r="H293" s="20" t="n"/>
      <c r="I293" s="20" t="n"/>
      <c r="J293" s="20" t="n"/>
    </row>
    <row r="294" ht="16.5" customFormat="1" customHeight="1" s="12">
      <c r="A294" s="17" t="n">
        <v>289</v>
      </c>
      <c r="B294" s="25" t="n"/>
      <c r="C294" s="141">
        <f>H294*I294</f>
        <v/>
      </c>
      <c r="D294" s="41" t="n"/>
      <c r="E294" s="41" t="n"/>
      <c r="F294" s="41" t="n"/>
      <c r="G294" s="42" t="n"/>
      <c r="H294" s="20" t="n"/>
      <c r="I294" s="20" t="n"/>
      <c r="J294" s="20" t="n"/>
    </row>
    <row r="295" ht="16.5" customFormat="1" customHeight="1" s="12">
      <c r="A295" s="17" t="n">
        <v>290</v>
      </c>
      <c r="B295" s="25" t="n"/>
      <c r="C295" s="141">
        <f>H295*I295</f>
        <v/>
      </c>
      <c r="D295" s="41" t="n"/>
      <c r="E295" s="41" t="n"/>
      <c r="F295" s="41" t="n"/>
      <c r="G295" s="42" t="n"/>
      <c r="H295" s="20" t="n"/>
      <c r="I295" s="20" t="n"/>
      <c r="J295" s="20" t="n"/>
    </row>
    <row r="296" ht="16.5" customFormat="1" customHeight="1" s="12">
      <c r="A296" s="17" t="n">
        <v>291</v>
      </c>
      <c r="B296" s="25" t="n"/>
      <c r="C296" s="141">
        <f>H296*I296</f>
        <v/>
      </c>
      <c r="D296" s="41" t="n"/>
      <c r="E296" s="41" t="n"/>
      <c r="F296" s="41" t="n"/>
      <c r="G296" s="42" t="n"/>
      <c r="H296" s="20" t="n"/>
      <c r="I296" s="20" t="n"/>
      <c r="J296" s="20" t="n"/>
    </row>
    <row r="297" ht="16.5" customFormat="1" customHeight="1" s="12">
      <c r="A297" s="17" t="n">
        <v>292</v>
      </c>
      <c r="B297" s="25" t="n"/>
      <c r="C297" s="141">
        <f>H297*I297</f>
        <v/>
      </c>
      <c r="D297" s="41" t="n"/>
      <c r="E297" s="41" t="n"/>
      <c r="F297" s="41" t="n"/>
      <c r="G297" s="42" t="n"/>
      <c r="H297" s="20" t="n"/>
      <c r="I297" s="20" t="n"/>
      <c r="J297" s="20" t="n"/>
    </row>
    <row r="298" ht="16.5" customFormat="1" customHeight="1" s="12">
      <c r="A298" s="17" t="n">
        <v>293</v>
      </c>
      <c r="B298" s="25" t="n"/>
      <c r="C298" s="141">
        <f>H298*I298</f>
        <v/>
      </c>
      <c r="D298" s="41" t="n"/>
      <c r="E298" s="41" t="n"/>
      <c r="F298" s="41" t="n"/>
      <c r="G298" s="42" t="n"/>
      <c r="H298" s="20" t="n"/>
      <c r="I298" s="20" t="n"/>
      <c r="J298" s="20" t="n"/>
    </row>
    <row r="299" ht="16.5" customFormat="1" customHeight="1" s="12">
      <c r="A299" s="17" t="n">
        <v>294</v>
      </c>
      <c r="B299" s="25" t="n"/>
      <c r="C299" s="141">
        <f>H299*I299</f>
        <v/>
      </c>
      <c r="D299" s="41" t="n"/>
      <c r="E299" s="41" t="n"/>
      <c r="F299" s="41" t="n"/>
      <c r="G299" s="42" t="n"/>
      <c r="H299" s="20" t="n"/>
      <c r="I299" s="20" t="n"/>
      <c r="J299" s="20" t="n"/>
    </row>
    <row r="300" ht="16.5" customFormat="1" customHeight="1" s="12">
      <c r="A300" s="17" t="n">
        <v>295</v>
      </c>
      <c r="B300" s="25" t="n"/>
      <c r="C300" s="141">
        <f>H300*I300</f>
        <v/>
      </c>
      <c r="D300" s="41" t="n"/>
      <c r="E300" s="41" t="n"/>
      <c r="F300" s="41" t="n"/>
      <c r="G300" s="42" t="n"/>
      <c r="H300" s="20" t="n"/>
      <c r="I300" s="20" t="n"/>
      <c r="J300" s="20" t="n"/>
    </row>
    <row r="301" ht="16.5" customFormat="1" customHeight="1" s="12">
      <c r="A301" s="17" t="n">
        <v>296</v>
      </c>
      <c r="B301" s="25" t="n"/>
      <c r="C301" s="141">
        <f>H301*I301</f>
        <v/>
      </c>
      <c r="D301" s="41" t="n"/>
      <c r="E301" s="41" t="n"/>
      <c r="F301" s="41" t="n"/>
      <c r="G301" s="42" t="n"/>
      <c r="H301" s="20" t="n"/>
      <c r="I301" s="20" t="n"/>
      <c r="J301" s="20" t="n"/>
    </row>
    <row r="302" ht="16.5" customFormat="1" customHeight="1" s="12">
      <c r="A302" s="17" t="n">
        <v>297</v>
      </c>
      <c r="B302" s="25" t="n"/>
      <c r="C302" s="141">
        <f>H302*I302</f>
        <v/>
      </c>
      <c r="D302" s="41" t="n"/>
      <c r="E302" s="41" t="n"/>
      <c r="F302" s="41" t="n"/>
      <c r="G302" s="42" t="n"/>
      <c r="H302" s="20" t="n"/>
      <c r="I302" s="20" t="n"/>
      <c r="J302" s="20" t="n"/>
    </row>
    <row r="303" ht="16.5" customFormat="1" customHeight="1" s="12">
      <c r="A303" s="17" t="n">
        <v>298</v>
      </c>
      <c r="B303" s="25" t="n"/>
      <c r="C303" s="141">
        <f>H303*I303</f>
        <v/>
      </c>
      <c r="D303" s="41" t="n"/>
      <c r="E303" s="41" t="n"/>
      <c r="F303" s="41" t="n"/>
      <c r="G303" s="42" t="n"/>
      <c r="H303" s="20" t="n"/>
      <c r="I303" s="20" t="n"/>
      <c r="J303" s="20" t="n"/>
    </row>
    <row r="304" ht="16.5" customFormat="1" customHeight="1" s="12">
      <c r="A304" s="17" t="n">
        <v>299</v>
      </c>
      <c r="B304" s="25" t="n"/>
      <c r="C304" s="141">
        <f>H304*I304</f>
        <v/>
      </c>
      <c r="D304" s="41" t="n"/>
      <c r="E304" s="41" t="n"/>
      <c r="F304" s="41" t="n"/>
      <c r="G304" s="42" t="n"/>
      <c r="H304" s="20" t="n"/>
      <c r="I304" s="20" t="n"/>
      <c r="J304" s="20" t="n"/>
    </row>
    <row r="305" ht="16.5" customFormat="1" customHeight="1" s="12">
      <c r="A305" s="17" t="n">
        <v>300</v>
      </c>
      <c r="B305" s="25" t="n"/>
      <c r="C305" s="141">
        <f>H305*I305</f>
        <v/>
      </c>
      <c r="D305" s="41" t="n"/>
      <c r="E305" s="41" t="n"/>
      <c r="F305" s="41" t="n"/>
      <c r="G305" s="42" t="n"/>
      <c r="H305" s="20" t="n"/>
      <c r="I305" s="20" t="n"/>
      <c r="J305" s="20" t="n"/>
    </row>
    <row r="306" ht="16.5" customFormat="1" customHeight="1" s="12">
      <c r="A306" s="17" t="n">
        <v>301</v>
      </c>
      <c r="B306" s="25" t="n"/>
      <c r="C306" s="141">
        <f>H306*I306</f>
        <v/>
      </c>
      <c r="D306" s="41" t="n"/>
      <c r="E306" s="41" t="n"/>
      <c r="F306" s="41" t="n"/>
      <c r="G306" s="42" t="n"/>
      <c r="H306" s="20" t="n"/>
      <c r="I306" s="20" t="n"/>
      <c r="J306" s="20" t="n"/>
    </row>
    <row r="307" ht="16.5" customFormat="1" customHeight="1" s="12">
      <c r="A307" s="17" t="n">
        <v>302</v>
      </c>
      <c r="B307" s="25" t="n"/>
      <c r="C307" s="141">
        <f>H307*I307</f>
        <v/>
      </c>
      <c r="D307" s="41" t="n"/>
      <c r="E307" s="41" t="n"/>
      <c r="F307" s="41" t="n"/>
      <c r="G307" s="42" t="n"/>
      <c r="H307" s="20" t="n"/>
      <c r="I307" s="20" t="n"/>
      <c r="J307" s="20" t="n"/>
    </row>
    <row r="308" ht="16.5" customFormat="1" customHeight="1" s="12">
      <c r="A308" s="17" t="n">
        <v>303</v>
      </c>
      <c r="B308" s="25" t="n"/>
      <c r="C308" s="141">
        <f>H308*I308</f>
        <v/>
      </c>
      <c r="D308" s="41" t="n"/>
      <c r="E308" s="41" t="n"/>
      <c r="F308" s="41" t="n"/>
      <c r="G308" s="42" t="n"/>
      <c r="H308" s="20" t="n"/>
      <c r="I308" s="20" t="n"/>
      <c r="J308" s="20" t="n"/>
    </row>
    <row r="309" ht="16.5" customFormat="1" customHeight="1" s="12">
      <c r="A309" s="17" t="n">
        <v>304</v>
      </c>
      <c r="B309" s="25" t="n"/>
      <c r="C309" s="141">
        <f>H309*I309</f>
        <v/>
      </c>
      <c r="D309" s="41" t="n"/>
      <c r="E309" s="41" t="n"/>
      <c r="F309" s="41" t="n"/>
      <c r="G309" s="42" t="n"/>
      <c r="H309" s="20" t="n"/>
      <c r="I309" s="20" t="n"/>
      <c r="J309" s="20" t="n"/>
    </row>
    <row r="310" ht="16.5" customFormat="1" customHeight="1" s="12">
      <c r="A310" s="17" t="n">
        <v>305</v>
      </c>
      <c r="B310" s="25" t="n"/>
      <c r="C310" s="141">
        <f>H310*I310</f>
        <v/>
      </c>
      <c r="D310" s="41" t="n"/>
      <c r="E310" s="41" t="n"/>
      <c r="F310" s="41" t="n"/>
      <c r="G310" s="42" t="n"/>
      <c r="H310" s="20" t="n"/>
      <c r="I310" s="20" t="n"/>
      <c r="J310" s="20" t="n"/>
    </row>
    <row r="311" ht="16.5" customFormat="1" customHeight="1" s="12">
      <c r="A311" s="17" t="n">
        <v>306</v>
      </c>
      <c r="B311" s="25" t="n"/>
      <c r="C311" s="141">
        <f>H311*I311</f>
        <v/>
      </c>
      <c r="D311" s="41" t="n"/>
      <c r="E311" s="41" t="n"/>
      <c r="F311" s="41" t="n"/>
      <c r="G311" s="42" t="n"/>
      <c r="H311" s="20" t="n"/>
      <c r="I311" s="20" t="n"/>
      <c r="J311" s="20" t="n"/>
    </row>
    <row r="312" ht="16.5" customFormat="1" customHeight="1" s="12">
      <c r="A312" s="17" t="n">
        <v>307</v>
      </c>
      <c r="B312" s="25" t="n"/>
      <c r="C312" s="141">
        <f>H312*I312</f>
        <v/>
      </c>
      <c r="D312" s="41" t="n"/>
      <c r="E312" s="41" t="n"/>
      <c r="F312" s="41" t="n"/>
      <c r="G312" s="42" t="n"/>
      <c r="H312" s="20" t="n"/>
      <c r="I312" s="20" t="n"/>
      <c r="J312" s="20" t="n"/>
    </row>
    <row r="313" ht="16.5" customFormat="1" customHeight="1" s="12">
      <c r="A313" s="17" t="n">
        <v>308</v>
      </c>
      <c r="B313" s="25" t="n"/>
      <c r="C313" s="141">
        <f>H313*I313</f>
        <v/>
      </c>
      <c r="D313" s="41" t="n"/>
      <c r="E313" s="41" t="n"/>
      <c r="F313" s="41" t="n"/>
      <c r="G313" s="42" t="n"/>
      <c r="H313" s="20" t="n"/>
      <c r="I313" s="20" t="n"/>
      <c r="J313" s="20" t="n"/>
    </row>
    <row r="314" ht="16.5" customFormat="1" customHeight="1" s="12">
      <c r="A314" s="17" t="n">
        <v>309</v>
      </c>
      <c r="B314" s="25" t="n"/>
      <c r="C314" s="141">
        <f>H314*I314</f>
        <v/>
      </c>
      <c r="D314" s="41" t="n"/>
      <c r="E314" s="41" t="n"/>
      <c r="F314" s="41" t="n"/>
      <c r="G314" s="42" t="n"/>
      <c r="H314" s="20" t="n"/>
      <c r="I314" s="20" t="n"/>
      <c r="J314" s="20" t="n"/>
    </row>
    <row r="315" ht="16.5" customFormat="1" customHeight="1" s="12">
      <c r="A315" s="17" t="n">
        <v>310</v>
      </c>
      <c r="B315" s="25" t="n"/>
      <c r="C315" s="141">
        <f>H315*I315</f>
        <v/>
      </c>
      <c r="D315" s="41" t="n"/>
      <c r="E315" s="41" t="n"/>
      <c r="F315" s="41" t="n"/>
      <c r="G315" s="42" t="n"/>
      <c r="H315" s="20" t="n"/>
      <c r="I315" s="20" t="n"/>
      <c r="J315" s="20" t="n"/>
    </row>
    <row r="316" ht="16.5" customFormat="1" customHeight="1" s="12">
      <c r="A316" s="17" t="n">
        <v>311</v>
      </c>
      <c r="B316" s="25" t="n"/>
      <c r="C316" s="141">
        <f>H316*I316</f>
        <v/>
      </c>
      <c r="D316" s="41" t="n"/>
      <c r="E316" s="41" t="n"/>
      <c r="F316" s="41" t="n"/>
      <c r="G316" s="42" t="n"/>
      <c r="H316" s="20" t="n"/>
      <c r="I316" s="20" t="n"/>
      <c r="J316" s="20" t="n"/>
    </row>
    <row r="317" ht="16.5" customFormat="1" customHeight="1" s="12">
      <c r="A317" s="17" t="n">
        <v>312</v>
      </c>
      <c r="B317" s="25" t="n"/>
      <c r="C317" s="141">
        <f>H317*I317</f>
        <v/>
      </c>
      <c r="D317" s="41" t="n"/>
      <c r="E317" s="41" t="n"/>
      <c r="F317" s="41" t="n"/>
      <c r="G317" s="42" t="n"/>
      <c r="H317" s="20" t="n"/>
      <c r="I317" s="20" t="n"/>
      <c r="J317" s="20" t="n"/>
    </row>
    <row r="318" ht="16.5" customFormat="1" customHeight="1" s="12">
      <c r="A318" s="17" t="n">
        <v>313</v>
      </c>
      <c r="B318" s="25" t="n"/>
      <c r="C318" s="141">
        <f>H318*I318</f>
        <v/>
      </c>
      <c r="D318" s="41" t="n"/>
      <c r="E318" s="41" t="n"/>
      <c r="F318" s="41" t="n"/>
      <c r="G318" s="42" t="n"/>
      <c r="H318" s="20" t="n"/>
      <c r="I318" s="20" t="n"/>
      <c r="J318" s="20" t="n"/>
    </row>
    <row r="319" ht="16.5" customFormat="1" customHeight="1" s="12">
      <c r="A319" s="17" t="n">
        <v>314</v>
      </c>
      <c r="B319" s="25" t="n"/>
      <c r="C319" s="141">
        <f>H319*I319</f>
        <v/>
      </c>
      <c r="D319" s="41" t="n"/>
      <c r="E319" s="41" t="n"/>
      <c r="F319" s="41" t="n"/>
      <c r="G319" s="42" t="n"/>
      <c r="H319" s="20" t="n"/>
      <c r="I319" s="20" t="n"/>
      <c r="J319" s="20" t="n"/>
    </row>
    <row r="320" ht="16.5" customFormat="1" customHeight="1" s="12">
      <c r="A320" s="17" t="n">
        <v>315</v>
      </c>
      <c r="B320" s="25" t="n"/>
      <c r="C320" s="141">
        <f>H320*I320</f>
        <v/>
      </c>
      <c r="D320" s="41" t="n"/>
      <c r="E320" s="41" t="n"/>
      <c r="F320" s="41" t="n"/>
      <c r="G320" s="42" t="n"/>
      <c r="H320" s="20" t="n"/>
      <c r="I320" s="20" t="n"/>
      <c r="J320" s="20" t="n"/>
    </row>
    <row r="321" ht="16.5" customFormat="1" customHeight="1" s="12">
      <c r="A321" s="17" t="n">
        <v>316</v>
      </c>
      <c r="B321" s="25" t="n"/>
      <c r="C321" s="141">
        <f>H321*I321</f>
        <v/>
      </c>
      <c r="D321" s="41" t="n"/>
      <c r="E321" s="41" t="n"/>
      <c r="F321" s="41" t="n"/>
      <c r="G321" s="42" t="n"/>
      <c r="H321" s="20" t="n"/>
      <c r="I321" s="20" t="n"/>
      <c r="J321" s="20" t="n"/>
    </row>
    <row r="322" ht="16.5" customFormat="1" customHeight="1" s="12">
      <c r="A322" s="17" t="n">
        <v>317</v>
      </c>
      <c r="B322" s="25" t="n"/>
      <c r="C322" s="141">
        <f>H322*I322</f>
        <v/>
      </c>
      <c r="D322" s="41" t="n"/>
      <c r="E322" s="41" t="n"/>
      <c r="F322" s="41" t="n"/>
      <c r="G322" s="42" t="n"/>
      <c r="H322" s="20" t="n"/>
      <c r="I322" s="20" t="n"/>
      <c r="J322" s="20" t="n"/>
    </row>
    <row r="323" ht="16.5" customFormat="1" customHeight="1" s="12">
      <c r="A323" s="17" t="n">
        <v>318</v>
      </c>
      <c r="B323" s="25" t="n"/>
      <c r="C323" s="141">
        <f>H323*I323</f>
        <v/>
      </c>
      <c r="D323" s="41" t="n"/>
      <c r="E323" s="41" t="n"/>
      <c r="F323" s="41" t="n"/>
      <c r="G323" s="42" t="n"/>
      <c r="H323" s="20" t="n"/>
      <c r="I323" s="20" t="n"/>
      <c r="J323" s="20" t="n"/>
    </row>
    <row r="324" ht="16.5" customFormat="1" customHeight="1" s="12">
      <c r="A324" s="17" t="n">
        <v>319</v>
      </c>
      <c r="B324" s="25" t="n"/>
      <c r="C324" s="141">
        <f>H324*I324</f>
        <v/>
      </c>
      <c r="D324" s="41" t="n"/>
      <c r="E324" s="41" t="n"/>
      <c r="F324" s="41" t="n"/>
      <c r="G324" s="42" t="n"/>
      <c r="H324" s="20" t="n"/>
      <c r="I324" s="20" t="n"/>
      <c r="J324" s="20" t="n"/>
    </row>
    <row r="325" ht="16.5" customFormat="1" customHeight="1" s="12">
      <c r="A325" s="17" t="n">
        <v>320</v>
      </c>
      <c r="B325" s="25" t="n"/>
      <c r="C325" s="141">
        <f>H325*I325</f>
        <v/>
      </c>
      <c r="D325" s="41" t="n"/>
      <c r="E325" s="41" t="n"/>
      <c r="F325" s="41" t="n"/>
      <c r="G325" s="42" t="n"/>
      <c r="H325" s="20" t="n"/>
      <c r="I325" s="20" t="n"/>
      <c r="J325" s="20" t="n"/>
    </row>
    <row r="326" ht="16.5" customFormat="1" customHeight="1" s="12">
      <c r="A326" s="17" t="n">
        <v>321</v>
      </c>
      <c r="B326" s="25" t="n"/>
      <c r="C326" s="141">
        <f>H326*I326</f>
        <v/>
      </c>
      <c r="D326" s="41" t="n"/>
      <c r="E326" s="41" t="n"/>
      <c r="F326" s="41" t="n"/>
      <c r="G326" s="42" t="n"/>
      <c r="H326" s="20" t="n"/>
      <c r="I326" s="20" t="n"/>
      <c r="J326" s="20" t="n"/>
    </row>
    <row r="327" ht="16.5" customFormat="1" customHeight="1" s="12">
      <c r="A327" s="17" t="n">
        <v>322</v>
      </c>
      <c r="B327" s="25" t="n"/>
      <c r="C327" s="141">
        <f>H327*I327</f>
        <v/>
      </c>
      <c r="D327" s="41" t="n"/>
      <c r="E327" s="41" t="n"/>
      <c r="F327" s="41" t="n"/>
      <c r="G327" s="42" t="n"/>
      <c r="H327" s="20" t="n"/>
      <c r="I327" s="20" t="n"/>
      <c r="J327" s="20" t="n"/>
    </row>
    <row r="328" ht="16.5" customFormat="1" customHeight="1" s="12">
      <c r="A328" s="17" t="n">
        <v>323</v>
      </c>
      <c r="B328" s="25" t="n"/>
      <c r="C328" s="141">
        <f>H328*I328</f>
        <v/>
      </c>
      <c r="D328" s="41" t="n"/>
      <c r="E328" s="41" t="n"/>
      <c r="F328" s="41" t="n"/>
      <c r="G328" s="42" t="n"/>
      <c r="H328" s="20" t="n"/>
      <c r="I328" s="20" t="n"/>
      <c r="J328" s="20" t="n"/>
    </row>
    <row r="329" ht="16.5" customFormat="1" customHeight="1" s="12">
      <c r="A329" s="17" t="n">
        <v>324</v>
      </c>
      <c r="B329" s="25" t="n"/>
      <c r="C329" s="141">
        <f>H329*I329</f>
        <v/>
      </c>
      <c r="D329" s="41" t="n"/>
      <c r="E329" s="41" t="n"/>
      <c r="F329" s="41" t="n"/>
      <c r="G329" s="42" t="n"/>
      <c r="H329" s="20" t="n"/>
      <c r="I329" s="20" t="n"/>
      <c r="J329" s="20" t="n"/>
    </row>
    <row r="330" ht="16.5" customFormat="1" customHeight="1" s="12">
      <c r="A330" s="17" t="n">
        <v>325</v>
      </c>
      <c r="B330" s="25" t="n"/>
      <c r="C330" s="141">
        <f>H330*I330</f>
        <v/>
      </c>
      <c r="D330" s="41" t="n"/>
      <c r="E330" s="41" t="n"/>
      <c r="F330" s="41" t="n"/>
      <c r="G330" s="42" t="n"/>
      <c r="H330" s="20" t="n"/>
      <c r="I330" s="20" t="n"/>
      <c r="J330" s="20" t="n"/>
    </row>
    <row r="331" ht="16.5" customFormat="1" customHeight="1" s="12">
      <c r="A331" s="17" t="n">
        <v>326</v>
      </c>
      <c r="B331" s="25" t="n"/>
      <c r="C331" s="141">
        <f>H331*I331</f>
        <v/>
      </c>
      <c r="D331" s="41" t="n"/>
      <c r="E331" s="41" t="n"/>
      <c r="F331" s="41" t="n"/>
      <c r="G331" s="42" t="n"/>
      <c r="H331" s="20" t="n"/>
      <c r="I331" s="20" t="n"/>
      <c r="J331" s="20" t="n"/>
    </row>
    <row r="332" ht="16.5" customFormat="1" customHeight="1" s="12">
      <c r="A332" s="17" t="n">
        <v>327</v>
      </c>
      <c r="B332" s="25" t="n"/>
      <c r="C332" s="141">
        <f>H332*I332</f>
        <v/>
      </c>
      <c r="D332" s="41" t="n"/>
      <c r="E332" s="41" t="n"/>
      <c r="F332" s="41" t="n"/>
      <c r="G332" s="42" t="n"/>
      <c r="H332" s="20" t="n"/>
      <c r="I332" s="20" t="n"/>
      <c r="J332" s="20" t="n"/>
    </row>
    <row r="333" ht="16.5" customFormat="1" customHeight="1" s="12">
      <c r="A333" s="17" t="n">
        <v>328</v>
      </c>
      <c r="B333" s="25" t="n"/>
      <c r="C333" s="141">
        <f>H333*I333</f>
        <v/>
      </c>
      <c r="D333" s="41" t="n"/>
      <c r="E333" s="41" t="n"/>
      <c r="F333" s="41" t="n"/>
      <c r="G333" s="42" t="n"/>
      <c r="H333" s="20" t="n"/>
      <c r="I333" s="20" t="n"/>
      <c r="J333" s="20" t="n"/>
    </row>
    <row r="334" ht="16.5" customFormat="1" customHeight="1" s="12">
      <c r="A334" s="17" t="n">
        <v>329</v>
      </c>
      <c r="B334" s="25" t="n"/>
      <c r="C334" s="141">
        <f>H334*I334</f>
        <v/>
      </c>
      <c r="D334" s="41" t="n"/>
      <c r="E334" s="41" t="n"/>
      <c r="F334" s="41" t="n"/>
      <c r="G334" s="42" t="n"/>
      <c r="H334" s="20" t="n"/>
      <c r="I334" s="20" t="n"/>
      <c r="J334" s="20" t="n"/>
    </row>
    <row r="335" ht="16.5" customFormat="1" customHeight="1" s="12">
      <c r="A335" s="17" t="n">
        <v>330</v>
      </c>
      <c r="B335" s="25" t="n"/>
      <c r="C335" s="141">
        <f>H335*I335</f>
        <v/>
      </c>
      <c r="D335" s="41" t="n"/>
      <c r="E335" s="41" t="n"/>
      <c r="F335" s="41" t="n"/>
      <c r="G335" s="42" t="n"/>
      <c r="H335" s="20" t="n"/>
      <c r="I335" s="20" t="n"/>
      <c r="J335" s="20" t="n"/>
    </row>
    <row r="336" ht="16.5" customFormat="1" customHeight="1" s="12">
      <c r="A336" s="17" t="n">
        <v>331</v>
      </c>
      <c r="B336" s="25" t="n"/>
      <c r="C336" s="141">
        <f>H336*I336</f>
        <v/>
      </c>
      <c r="D336" s="41" t="n"/>
      <c r="E336" s="41" t="n"/>
      <c r="F336" s="41" t="n"/>
      <c r="G336" s="42" t="n"/>
      <c r="H336" s="20" t="n"/>
      <c r="I336" s="20" t="n"/>
      <c r="J336" s="20" t="n"/>
    </row>
    <row r="337" ht="16.5" customFormat="1" customHeight="1" s="12">
      <c r="A337" s="17" t="n">
        <v>332</v>
      </c>
      <c r="B337" s="25" t="n"/>
      <c r="C337" s="141">
        <f>H337*I337</f>
        <v/>
      </c>
      <c r="D337" s="41" t="n"/>
      <c r="E337" s="41" t="n"/>
      <c r="F337" s="41" t="n"/>
      <c r="G337" s="42" t="n"/>
      <c r="H337" s="20" t="n"/>
      <c r="I337" s="20" t="n"/>
      <c r="J337" s="20" t="n"/>
    </row>
    <row r="338" ht="16.5" customFormat="1" customHeight="1" s="12">
      <c r="A338" s="17" t="n">
        <v>333</v>
      </c>
      <c r="B338" s="25" t="n"/>
      <c r="C338" s="141">
        <f>H338*I338</f>
        <v/>
      </c>
      <c r="D338" s="41" t="n"/>
      <c r="E338" s="41" t="n"/>
      <c r="F338" s="41" t="n"/>
      <c r="G338" s="42" t="n"/>
      <c r="H338" s="20" t="n"/>
      <c r="I338" s="20" t="n"/>
      <c r="J338" s="20" t="n"/>
    </row>
    <row r="339" ht="16.5" customFormat="1" customHeight="1" s="12">
      <c r="A339" s="17" t="n">
        <v>334</v>
      </c>
      <c r="B339" s="25" t="n"/>
      <c r="C339" s="141">
        <f>H339*I339</f>
        <v/>
      </c>
      <c r="D339" s="41" t="n"/>
      <c r="E339" s="41" t="n"/>
      <c r="F339" s="41" t="n"/>
      <c r="G339" s="42" t="n"/>
      <c r="H339" s="20" t="n"/>
      <c r="I339" s="20" t="n"/>
      <c r="J339" s="20" t="n"/>
    </row>
    <row r="340" ht="16.5" customFormat="1" customHeight="1" s="12">
      <c r="A340" s="17" t="n">
        <v>335</v>
      </c>
      <c r="B340" s="25" t="n"/>
      <c r="C340" s="141">
        <f>H340*I340</f>
        <v/>
      </c>
      <c r="D340" s="41" t="n"/>
      <c r="E340" s="41" t="n"/>
      <c r="F340" s="41" t="n"/>
      <c r="G340" s="42" t="n"/>
      <c r="H340" s="20" t="n"/>
      <c r="I340" s="20" t="n"/>
      <c r="J340" s="20" t="n"/>
    </row>
    <row r="341" ht="16.5" customFormat="1" customHeight="1" s="12">
      <c r="A341" s="17" t="n">
        <v>336</v>
      </c>
      <c r="B341" s="25" t="n"/>
      <c r="C341" s="141">
        <f>H341*I341</f>
        <v/>
      </c>
      <c r="D341" s="41" t="n"/>
      <c r="E341" s="41" t="n"/>
      <c r="F341" s="41" t="n"/>
      <c r="G341" s="42" t="n"/>
      <c r="H341" s="20" t="n"/>
      <c r="I341" s="20" t="n"/>
      <c r="J341" s="20" t="n"/>
    </row>
    <row r="342" ht="16.5" customFormat="1" customHeight="1" s="12">
      <c r="A342" s="17" t="n">
        <v>337</v>
      </c>
      <c r="B342" s="25" t="n"/>
      <c r="C342" s="141">
        <f>H342*I342</f>
        <v/>
      </c>
      <c r="D342" s="41" t="n"/>
      <c r="E342" s="41" t="n"/>
      <c r="F342" s="41" t="n"/>
      <c r="G342" s="42" t="n"/>
      <c r="H342" s="20" t="n"/>
      <c r="I342" s="20" t="n"/>
      <c r="J342" s="20" t="n"/>
    </row>
    <row r="343" ht="16.5" customFormat="1" customHeight="1" s="12">
      <c r="A343" s="17" t="n">
        <v>338</v>
      </c>
      <c r="B343" s="25" t="n"/>
      <c r="C343" s="141">
        <f>H343*I343</f>
        <v/>
      </c>
      <c r="D343" s="41" t="n"/>
      <c r="E343" s="41" t="n"/>
      <c r="F343" s="41" t="n"/>
      <c r="G343" s="42" t="n"/>
      <c r="H343" s="20" t="n"/>
      <c r="I343" s="20" t="n"/>
      <c r="J343" s="20" t="n"/>
    </row>
    <row r="344" ht="16.5" customFormat="1" customHeight="1" s="12">
      <c r="A344" s="17" t="n">
        <v>339</v>
      </c>
      <c r="B344" s="25" t="n"/>
      <c r="C344" s="141">
        <f>H344*I344</f>
        <v/>
      </c>
      <c r="D344" s="41" t="n"/>
      <c r="E344" s="41" t="n"/>
      <c r="F344" s="41" t="n"/>
      <c r="G344" s="42" t="n"/>
      <c r="H344" s="20" t="n"/>
      <c r="I344" s="20" t="n"/>
      <c r="J344" s="20" t="n"/>
    </row>
    <row r="345" ht="16.5" customFormat="1" customHeight="1" s="12">
      <c r="A345" s="17" t="n">
        <v>340</v>
      </c>
      <c r="B345" s="25" t="n"/>
      <c r="C345" s="141">
        <f>H345*I345</f>
        <v/>
      </c>
      <c r="D345" s="41" t="n"/>
      <c r="E345" s="41" t="n"/>
      <c r="F345" s="41" t="n"/>
      <c r="G345" s="42" t="n"/>
      <c r="H345" s="20" t="n"/>
      <c r="I345" s="20" t="n"/>
      <c r="J345" s="20" t="n"/>
    </row>
    <row r="346" ht="16.5" customFormat="1" customHeight="1" s="12">
      <c r="A346" s="17" t="n">
        <v>341</v>
      </c>
      <c r="B346" s="25" t="n"/>
      <c r="C346" s="141">
        <f>H346*I346</f>
        <v/>
      </c>
      <c r="D346" s="41" t="n"/>
      <c r="E346" s="41" t="n"/>
      <c r="F346" s="41" t="n"/>
      <c r="G346" s="42" t="n"/>
      <c r="H346" s="20" t="n"/>
      <c r="I346" s="20" t="n"/>
      <c r="J346" s="20" t="n"/>
    </row>
    <row r="347" ht="16.5" customFormat="1" customHeight="1" s="12">
      <c r="A347" s="17" t="n">
        <v>342</v>
      </c>
      <c r="B347" s="25" t="n"/>
      <c r="C347" s="141">
        <f>H347*I347</f>
        <v/>
      </c>
      <c r="D347" s="41" t="n"/>
      <c r="E347" s="41" t="n"/>
      <c r="F347" s="41" t="n"/>
      <c r="G347" s="42" t="n"/>
      <c r="H347" s="20" t="n"/>
      <c r="I347" s="20" t="n"/>
      <c r="J347" s="20" t="n"/>
    </row>
    <row r="348" ht="16.5" customFormat="1" customHeight="1" s="12">
      <c r="A348" s="17" t="n">
        <v>343</v>
      </c>
      <c r="B348" s="25" t="n"/>
      <c r="C348" s="141">
        <f>H348*I348</f>
        <v/>
      </c>
      <c r="D348" s="41" t="n"/>
      <c r="E348" s="41" t="n"/>
      <c r="F348" s="41" t="n"/>
      <c r="G348" s="42" t="n"/>
      <c r="H348" s="20" t="n"/>
      <c r="I348" s="20" t="n"/>
      <c r="J348" s="20" t="n"/>
    </row>
    <row r="349" ht="16.5" customFormat="1" customHeight="1" s="12">
      <c r="A349" s="17" t="n">
        <v>344</v>
      </c>
      <c r="B349" s="25" t="n"/>
      <c r="C349" s="141">
        <f>H349*I349</f>
        <v/>
      </c>
      <c r="D349" s="41" t="n"/>
      <c r="E349" s="41" t="n"/>
      <c r="F349" s="41" t="n"/>
      <c r="G349" s="42" t="n"/>
      <c r="H349" s="20" t="n"/>
      <c r="I349" s="20" t="n"/>
      <c r="J349" s="20" t="n"/>
    </row>
    <row r="350" ht="16.5" customFormat="1" customHeight="1" s="12">
      <c r="A350" s="17" t="n">
        <v>345</v>
      </c>
      <c r="B350" s="25" t="n"/>
      <c r="C350" s="141">
        <f>H350*I350</f>
        <v/>
      </c>
      <c r="D350" s="41" t="n"/>
      <c r="E350" s="41" t="n"/>
      <c r="F350" s="41" t="n"/>
      <c r="G350" s="42" t="n"/>
      <c r="H350" s="20" t="n"/>
      <c r="I350" s="20" t="n"/>
      <c r="J350" s="20" t="n"/>
    </row>
    <row r="351" ht="16.5" customFormat="1" customHeight="1" s="12">
      <c r="A351" s="17" t="n">
        <v>346</v>
      </c>
      <c r="B351" s="25" t="n"/>
      <c r="C351" s="141">
        <f>H351*I351</f>
        <v/>
      </c>
      <c r="D351" s="41" t="n"/>
      <c r="E351" s="41" t="n"/>
      <c r="F351" s="41" t="n"/>
      <c r="G351" s="42" t="n"/>
      <c r="H351" s="20" t="n"/>
      <c r="I351" s="20" t="n"/>
      <c r="J351" s="20" t="n"/>
    </row>
    <row r="352" ht="16.5" customFormat="1" customHeight="1" s="12">
      <c r="A352" s="17" t="n">
        <v>347</v>
      </c>
      <c r="B352" s="25" t="n"/>
      <c r="C352" s="141">
        <f>H352*I352</f>
        <v/>
      </c>
      <c r="D352" s="41" t="n"/>
      <c r="E352" s="41" t="n"/>
      <c r="F352" s="41" t="n"/>
      <c r="G352" s="42" t="n"/>
      <c r="H352" s="20" t="n"/>
      <c r="I352" s="20" t="n"/>
      <c r="J352" s="20" t="n"/>
    </row>
    <row r="353" ht="16.5" customFormat="1" customHeight="1" s="12">
      <c r="A353" s="17" t="n">
        <v>348</v>
      </c>
      <c r="B353" s="25" t="n"/>
      <c r="C353" s="141">
        <f>H353*I353</f>
        <v/>
      </c>
      <c r="D353" s="41" t="n"/>
      <c r="E353" s="41" t="n"/>
      <c r="F353" s="41" t="n"/>
      <c r="G353" s="42" t="n"/>
      <c r="H353" s="20" t="n"/>
      <c r="I353" s="20" t="n"/>
      <c r="J353" s="20" t="n"/>
    </row>
    <row r="354" ht="16.5" customFormat="1" customHeight="1" s="12">
      <c r="A354" s="17" t="n">
        <v>349</v>
      </c>
      <c r="B354" s="25" t="n"/>
      <c r="C354" s="141">
        <f>H354*I354</f>
        <v/>
      </c>
      <c r="D354" s="41" t="n"/>
      <c r="E354" s="41" t="n"/>
      <c r="F354" s="41" t="n"/>
      <c r="G354" s="42" t="n"/>
      <c r="H354" s="20" t="n"/>
      <c r="I354" s="20" t="n"/>
      <c r="J354" s="20" t="n"/>
    </row>
    <row r="355" ht="16.5" customFormat="1" customHeight="1" s="12">
      <c r="A355" s="17" t="n">
        <v>350</v>
      </c>
      <c r="B355" s="25" t="n"/>
      <c r="C355" s="141">
        <f>H355*I355</f>
        <v/>
      </c>
      <c r="D355" s="41" t="n"/>
      <c r="E355" s="41" t="n"/>
      <c r="F355" s="41" t="n"/>
      <c r="G355" s="42" t="n"/>
      <c r="H355" s="20" t="n"/>
      <c r="I355" s="20" t="n"/>
      <c r="J355" s="20" t="n"/>
    </row>
    <row r="356" ht="16.5" customFormat="1" customHeight="1" s="12">
      <c r="A356" s="17" t="n">
        <v>351</v>
      </c>
      <c r="B356" s="25" t="n"/>
      <c r="C356" s="141">
        <f>H356*I356</f>
        <v/>
      </c>
      <c r="D356" s="41" t="n"/>
      <c r="E356" s="41" t="n"/>
      <c r="F356" s="41" t="n"/>
      <c r="G356" s="42" t="n"/>
      <c r="H356" s="20" t="n"/>
      <c r="I356" s="20" t="n"/>
      <c r="J356" s="20" t="n"/>
    </row>
    <row r="357" ht="16.5" customFormat="1" customHeight="1" s="12">
      <c r="A357" s="17" t="n">
        <v>352</v>
      </c>
      <c r="B357" s="25" t="n"/>
      <c r="C357" s="141">
        <f>H357*I357</f>
        <v/>
      </c>
      <c r="D357" s="41" t="n"/>
      <c r="E357" s="41" t="n"/>
      <c r="F357" s="41" t="n"/>
      <c r="G357" s="42" t="n"/>
      <c r="H357" s="20" t="n"/>
      <c r="I357" s="20" t="n"/>
      <c r="J357" s="20" t="n"/>
    </row>
    <row r="358" ht="16.5" customFormat="1" customHeight="1" s="12">
      <c r="A358" s="17" t="n">
        <v>353</v>
      </c>
      <c r="B358" s="25" t="n"/>
      <c r="C358" s="141">
        <f>H358*I358</f>
        <v/>
      </c>
      <c r="D358" s="41" t="n"/>
      <c r="E358" s="41" t="n"/>
      <c r="F358" s="41" t="n"/>
      <c r="G358" s="42" t="n"/>
      <c r="H358" s="20" t="n"/>
      <c r="I358" s="20" t="n"/>
      <c r="J358" s="20" t="n"/>
    </row>
    <row r="359" ht="16.5" customFormat="1" customHeight="1" s="12">
      <c r="A359" s="17" t="n">
        <v>354</v>
      </c>
      <c r="B359" s="25" t="n"/>
      <c r="C359" s="141">
        <f>H359*I359</f>
        <v/>
      </c>
      <c r="D359" s="41" t="n"/>
      <c r="E359" s="41" t="n"/>
      <c r="F359" s="41" t="n"/>
      <c r="G359" s="42" t="n"/>
      <c r="H359" s="20" t="n"/>
      <c r="I359" s="20" t="n"/>
      <c r="J359" s="20" t="n"/>
    </row>
    <row r="360" ht="16.5" customFormat="1" customHeight="1" s="12">
      <c r="A360" s="17" t="n">
        <v>355</v>
      </c>
      <c r="B360" s="25" t="n"/>
      <c r="C360" s="141">
        <f>H360*I360</f>
        <v/>
      </c>
      <c r="D360" s="41" t="n"/>
      <c r="E360" s="41" t="n"/>
      <c r="F360" s="41" t="n"/>
      <c r="G360" s="42" t="n"/>
      <c r="H360" s="20" t="n"/>
      <c r="I360" s="20" t="n"/>
      <c r="J360" s="20" t="n"/>
    </row>
    <row r="361" ht="16.5" customFormat="1" customHeight="1" s="12">
      <c r="A361" s="17" t="n">
        <v>356</v>
      </c>
      <c r="B361" s="25" t="n"/>
      <c r="C361" s="141">
        <f>H361*I361</f>
        <v/>
      </c>
      <c r="D361" s="41" t="n"/>
      <c r="E361" s="41" t="n"/>
      <c r="F361" s="41" t="n"/>
      <c r="G361" s="42" t="n"/>
      <c r="H361" s="20" t="n"/>
      <c r="I361" s="20" t="n"/>
      <c r="J361" s="20" t="n"/>
    </row>
    <row r="362" ht="16.5" customFormat="1" customHeight="1" s="12">
      <c r="A362" s="17" t="n">
        <v>357</v>
      </c>
      <c r="B362" s="25" t="n"/>
      <c r="C362" s="141">
        <f>H362*I362</f>
        <v/>
      </c>
      <c r="D362" s="41" t="n"/>
      <c r="E362" s="41" t="n"/>
      <c r="F362" s="41" t="n"/>
      <c r="G362" s="42" t="n"/>
      <c r="H362" s="20" t="n"/>
      <c r="I362" s="20" t="n"/>
      <c r="J362" s="20" t="n"/>
    </row>
    <row r="363" ht="16.5" customFormat="1" customHeight="1" s="12">
      <c r="A363" s="17" t="n">
        <v>358</v>
      </c>
      <c r="B363" s="25" t="n"/>
      <c r="C363" s="141">
        <f>H363*I363</f>
        <v/>
      </c>
      <c r="D363" s="41" t="n"/>
      <c r="E363" s="41" t="n"/>
      <c r="F363" s="41" t="n"/>
      <c r="G363" s="42" t="n"/>
      <c r="H363" s="20" t="n"/>
      <c r="I363" s="20" t="n"/>
      <c r="J363" s="20" t="n"/>
    </row>
    <row r="364" ht="16.5" customFormat="1" customHeight="1" s="12">
      <c r="A364" s="17" t="n">
        <v>359</v>
      </c>
      <c r="B364" s="25" t="n"/>
      <c r="C364" s="141">
        <f>H364*I364</f>
        <v/>
      </c>
      <c r="D364" s="41" t="n"/>
      <c r="E364" s="41" t="n"/>
      <c r="F364" s="41" t="n"/>
      <c r="G364" s="42" t="n"/>
      <c r="H364" s="20" t="n"/>
      <c r="I364" s="20" t="n"/>
      <c r="J364" s="20" t="n"/>
    </row>
    <row r="365" ht="16.5" customFormat="1" customHeight="1" s="12">
      <c r="A365" s="17" t="n">
        <v>360</v>
      </c>
      <c r="B365" s="25" t="n"/>
      <c r="C365" s="141">
        <f>H365*I365</f>
        <v/>
      </c>
      <c r="D365" s="41" t="n"/>
      <c r="E365" s="41" t="n"/>
      <c r="F365" s="41" t="n"/>
      <c r="G365" s="42" t="n"/>
      <c r="H365" s="20" t="n"/>
      <c r="I365" s="20" t="n"/>
      <c r="J365" s="20" t="n"/>
    </row>
    <row r="366" ht="16.5" customFormat="1" customHeight="1" s="12">
      <c r="A366" s="17" t="n">
        <v>361</v>
      </c>
      <c r="B366" s="25" t="n"/>
      <c r="C366" s="141">
        <f>H366*I366</f>
        <v/>
      </c>
      <c r="D366" s="41" t="n"/>
      <c r="E366" s="41" t="n"/>
      <c r="F366" s="41" t="n"/>
      <c r="G366" s="42" t="n"/>
      <c r="H366" s="20" t="n"/>
      <c r="I366" s="20" t="n"/>
      <c r="J366" s="20" t="n"/>
    </row>
    <row r="367" ht="16.5" customFormat="1" customHeight="1" s="12">
      <c r="A367" s="17" t="n">
        <v>362</v>
      </c>
      <c r="B367" s="25" t="n"/>
      <c r="C367" s="141">
        <f>H367*I367</f>
        <v/>
      </c>
      <c r="D367" s="41" t="n"/>
      <c r="E367" s="41" t="n"/>
      <c r="F367" s="41" t="n"/>
      <c r="G367" s="42" t="n"/>
      <c r="H367" s="20" t="n"/>
      <c r="I367" s="20" t="n"/>
      <c r="J367" s="20" t="n"/>
    </row>
    <row r="368" ht="16.5" customFormat="1" customHeight="1" s="12">
      <c r="A368" s="17" t="n">
        <v>363</v>
      </c>
      <c r="B368" s="25" t="n"/>
      <c r="C368" s="141">
        <f>H368*I368</f>
        <v/>
      </c>
      <c r="D368" s="41" t="n"/>
      <c r="E368" s="41" t="n"/>
      <c r="F368" s="41" t="n"/>
      <c r="G368" s="42" t="n"/>
      <c r="H368" s="20" t="n"/>
      <c r="I368" s="20" t="n"/>
      <c r="J368" s="20" t="n"/>
    </row>
    <row r="369" ht="16.5" customFormat="1" customHeight="1" s="12">
      <c r="A369" s="17" t="n">
        <v>364</v>
      </c>
      <c r="B369" s="25" t="n"/>
      <c r="C369" s="141">
        <f>H369*I369</f>
        <v/>
      </c>
      <c r="D369" s="41" t="n"/>
      <c r="E369" s="41" t="n"/>
      <c r="F369" s="41" t="n"/>
      <c r="G369" s="42" t="n"/>
      <c r="H369" s="20" t="n"/>
      <c r="I369" s="20" t="n"/>
      <c r="J369" s="20" t="n"/>
    </row>
    <row r="370" ht="16.5" customFormat="1" customHeight="1" s="12">
      <c r="A370" s="17" t="n">
        <v>365</v>
      </c>
      <c r="B370" s="25" t="n"/>
      <c r="C370" s="141">
        <f>H370*I370</f>
        <v/>
      </c>
      <c r="D370" s="41" t="n"/>
      <c r="E370" s="41" t="n"/>
      <c r="F370" s="41" t="n"/>
      <c r="G370" s="42" t="n"/>
      <c r="H370" s="20" t="n"/>
      <c r="I370" s="20" t="n"/>
      <c r="J370" s="20" t="n"/>
    </row>
    <row r="371" ht="16.5" customFormat="1" customHeight="1" s="12">
      <c r="A371" s="17" t="n">
        <v>366</v>
      </c>
      <c r="B371" s="25" t="n"/>
      <c r="C371" s="141">
        <f>H371*I371</f>
        <v/>
      </c>
      <c r="D371" s="41" t="n"/>
      <c r="E371" s="41" t="n"/>
      <c r="F371" s="41" t="n"/>
      <c r="G371" s="42" t="n"/>
      <c r="H371" s="20" t="n"/>
      <c r="I371" s="20" t="n"/>
      <c r="J371" s="20" t="n"/>
    </row>
    <row r="372" ht="16.5" customFormat="1" customHeight="1" s="12">
      <c r="A372" s="17" t="n">
        <v>367</v>
      </c>
      <c r="B372" s="25" t="n"/>
      <c r="C372" s="141">
        <f>H372*I372</f>
        <v/>
      </c>
      <c r="D372" s="41" t="n"/>
      <c r="E372" s="41" t="n"/>
      <c r="F372" s="41" t="n"/>
      <c r="G372" s="42" t="n"/>
      <c r="H372" s="20" t="n"/>
      <c r="I372" s="20" t="n"/>
      <c r="J372" s="20" t="n"/>
    </row>
    <row r="373" ht="16.5" customFormat="1" customHeight="1" s="12">
      <c r="A373" s="17" t="n">
        <v>368</v>
      </c>
      <c r="B373" s="25" t="n"/>
      <c r="C373" s="141">
        <f>H373*I373</f>
        <v/>
      </c>
      <c r="D373" s="41" t="n"/>
      <c r="E373" s="41" t="n"/>
      <c r="F373" s="41" t="n"/>
      <c r="G373" s="42" t="n"/>
      <c r="H373" s="20" t="n"/>
      <c r="I373" s="20" t="n"/>
      <c r="J373" s="20" t="n"/>
    </row>
    <row r="374" ht="16.5" customFormat="1" customHeight="1" s="12">
      <c r="A374" s="17" t="n">
        <v>369</v>
      </c>
      <c r="B374" s="25" t="n"/>
      <c r="C374" s="141">
        <f>H374*I374</f>
        <v/>
      </c>
      <c r="D374" s="41" t="n"/>
      <c r="E374" s="41" t="n"/>
      <c r="F374" s="41" t="n"/>
      <c r="G374" s="42" t="n"/>
      <c r="H374" s="20" t="n"/>
      <c r="I374" s="20" t="n"/>
      <c r="J374" s="20" t="n"/>
    </row>
    <row r="375" ht="16.5" customFormat="1" customHeight="1" s="12">
      <c r="A375" s="17" t="n">
        <v>370</v>
      </c>
      <c r="B375" s="25" t="n"/>
      <c r="C375" s="141">
        <f>H375*I375</f>
        <v/>
      </c>
      <c r="D375" s="41" t="n"/>
      <c r="E375" s="41" t="n"/>
      <c r="F375" s="41" t="n"/>
      <c r="G375" s="42" t="n"/>
      <c r="H375" s="20" t="n"/>
      <c r="I375" s="20" t="n"/>
      <c r="J375" s="20" t="n"/>
    </row>
    <row r="376" ht="16.5" customFormat="1" customHeight="1" s="12">
      <c r="A376" s="17" t="n">
        <v>371</v>
      </c>
      <c r="B376" s="25" t="n"/>
      <c r="C376" s="141">
        <f>H376*I376</f>
        <v/>
      </c>
      <c r="D376" s="41" t="n"/>
      <c r="E376" s="41" t="n"/>
      <c r="F376" s="41" t="n"/>
      <c r="G376" s="42" t="n"/>
      <c r="H376" s="20" t="n"/>
      <c r="I376" s="20" t="n"/>
      <c r="J376" s="20" t="n"/>
    </row>
    <row r="377" ht="16.5" customFormat="1" customHeight="1" s="12">
      <c r="A377" s="17" t="n">
        <v>372</v>
      </c>
      <c r="B377" s="25" t="n"/>
      <c r="C377" s="141">
        <f>H377*I377</f>
        <v/>
      </c>
      <c r="D377" s="41" t="n"/>
      <c r="E377" s="41" t="n"/>
      <c r="F377" s="41" t="n"/>
      <c r="G377" s="42" t="n"/>
      <c r="H377" s="20" t="n"/>
      <c r="I377" s="20" t="n"/>
      <c r="J377" s="20" t="n"/>
    </row>
    <row r="378" ht="16.5" customFormat="1" customHeight="1" s="12">
      <c r="A378" s="17" t="n">
        <v>373</v>
      </c>
      <c r="B378" s="25" t="n"/>
      <c r="C378" s="141">
        <f>H378*I378</f>
        <v/>
      </c>
      <c r="D378" s="41" t="n"/>
      <c r="E378" s="41" t="n"/>
      <c r="F378" s="41" t="n"/>
      <c r="G378" s="42" t="n"/>
      <c r="H378" s="20" t="n"/>
      <c r="I378" s="20" t="n"/>
      <c r="J378" s="20" t="n"/>
    </row>
    <row r="379" ht="16.5" customFormat="1" customHeight="1" s="12">
      <c r="A379" s="17" t="n">
        <v>374</v>
      </c>
      <c r="B379" s="25" t="n"/>
      <c r="C379" s="141">
        <f>H379*I379</f>
        <v/>
      </c>
      <c r="D379" s="41" t="n"/>
      <c r="E379" s="41" t="n"/>
      <c r="F379" s="41" t="n"/>
      <c r="G379" s="42" t="n"/>
      <c r="H379" s="20" t="n"/>
      <c r="I379" s="20" t="n"/>
      <c r="J379" s="20" t="n"/>
    </row>
    <row r="380" ht="16.5" customFormat="1" customHeight="1" s="12">
      <c r="A380" s="17" t="n">
        <v>375</v>
      </c>
      <c r="B380" s="25" t="n"/>
      <c r="C380" s="141">
        <f>H380*I380</f>
        <v/>
      </c>
      <c r="D380" s="41" t="n"/>
      <c r="E380" s="41" t="n"/>
      <c r="F380" s="41" t="n"/>
      <c r="G380" s="42" t="n"/>
      <c r="H380" s="20" t="n"/>
      <c r="I380" s="20" t="n"/>
      <c r="J380" s="20" t="n"/>
    </row>
    <row r="381" ht="16.5" customFormat="1" customHeight="1" s="12">
      <c r="A381" s="17" t="n">
        <v>376</v>
      </c>
      <c r="B381" s="25" t="n"/>
      <c r="C381" s="141">
        <f>H381*I381</f>
        <v/>
      </c>
      <c r="D381" s="41" t="n"/>
      <c r="E381" s="41" t="n"/>
      <c r="F381" s="41" t="n"/>
      <c r="G381" s="42" t="n"/>
      <c r="H381" s="20" t="n"/>
      <c r="I381" s="20" t="n"/>
      <c r="J381" s="20" t="n"/>
    </row>
    <row r="382" ht="16.5" customFormat="1" customHeight="1" s="12">
      <c r="A382" s="17" t="n">
        <v>377</v>
      </c>
      <c r="B382" s="25" t="n"/>
      <c r="C382" s="141">
        <f>H382*I382</f>
        <v/>
      </c>
      <c r="D382" s="41" t="n"/>
      <c r="E382" s="41" t="n"/>
      <c r="F382" s="41" t="n"/>
      <c r="G382" s="42" t="n"/>
      <c r="H382" s="20" t="n"/>
      <c r="I382" s="20" t="n"/>
      <c r="J382" s="20" t="n"/>
    </row>
    <row r="383" ht="16.5" customFormat="1" customHeight="1" s="12">
      <c r="A383" s="17" t="n">
        <v>378</v>
      </c>
      <c r="B383" s="25" t="n"/>
      <c r="C383" s="141">
        <f>H383*I383</f>
        <v/>
      </c>
      <c r="D383" s="41" t="n"/>
      <c r="E383" s="41" t="n"/>
      <c r="F383" s="41" t="n"/>
      <c r="G383" s="42" t="n"/>
      <c r="H383" s="20" t="n"/>
      <c r="I383" s="20" t="n"/>
      <c r="J383" s="20" t="n"/>
    </row>
    <row r="384" ht="16.5" customFormat="1" customHeight="1" s="12">
      <c r="A384" s="17" t="n">
        <v>379</v>
      </c>
      <c r="B384" s="25" t="n"/>
      <c r="C384" s="141">
        <f>H384*I384</f>
        <v/>
      </c>
      <c r="D384" s="41" t="n"/>
      <c r="E384" s="41" t="n"/>
      <c r="F384" s="41" t="n"/>
      <c r="G384" s="42" t="n"/>
      <c r="H384" s="20" t="n"/>
      <c r="I384" s="20" t="n"/>
      <c r="J384" s="20" t="n"/>
    </row>
    <row r="385" ht="16.5" customFormat="1" customHeight="1" s="12">
      <c r="A385" s="17" t="n">
        <v>380</v>
      </c>
      <c r="B385" s="25" t="n"/>
      <c r="C385" s="141">
        <f>H385*I385</f>
        <v/>
      </c>
      <c r="D385" s="41" t="n"/>
      <c r="E385" s="41" t="n"/>
      <c r="F385" s="41" t="n"/>
      <c r="G385" s="42" t="n"/>
      <c r="H385" s="20" t="n"/>
      <c r="I385" s="20" t="n"/>
      <c r="J385" s="20" t="n"/>
    </row>
    <row r="386" ht="16.5" customFormat="1" customHeight="1" s="12">
      <c r="A386" s="17" t="n">
        <v>381</v>
      </c>
      <c r="B386" s="25" t="n"/>
      <c r="C386" s="141">
        <f>H386*I386</f>
        <v/>
      </c>
      <c r="D386" s="41" t="n"/>
      <c r="E386" s="41" t="n"/>
      <c r="F386" s="41" t="n"/>
      <c r="G386" s="42" t="n"/>
      <c r="H386" s="20" t="n"/>
      <c r="I386" s="20" t="n"/>
      <c r="J386" s="20" t="n"/>
    </row>
    <row r="387" ht="16.5" customFormat="1" customHeight="1" s="12">
      <c r="A387" s="17" t="n">
        <v>382</v>
      </c>
      <c r="B387" s="25" t="n"/>
      <c r="C387" s="141">
        <f>H387*I387</f>
        <v/>
      </c>
      <c r="D387" s="41" t="n"/>
      <c r="E387" s="41" t="n"/>
      <c r="F387" s="41" t="n"/>
      <c r="G387" s="42" t="n"/>
      <c r="H387" s="20" t="n"/>
      <c r="I387" s="20" t="n"/>
      <c r="J387" s="20" t="n"/>
    </row>
    <row r="388" ht="16.5" customFormat="1" customHeight="1" s="12">
      <c r="A388" s="17" t="n">
        <v>383</v>
      </c>
      <c r="B388" s="25" t="n"/>
      <c r="C388" s="141">
        <f>H388*I388</f>
        <v/>
      </c>
      <c r="D388" s="41" t="n"/>
      <c r="E388" s="41" t="n"/>
      <c r="F388" s="41" t="n"/>
      <c r="G388" s="42" t="n"/>
      <c r="H388" s="20" t="n"/>
      <c r="I388" s="20" t="n"/>
      <c r="J388" s="20" t="n"/>
    </row>
    <row r="389" ht="16.5" customFormat="1" customHeight="1" s="12">
      <c r="A389" s="17" t="n">
        <v>384</v>
      </c>
      <c r="B389" s="25" t="n"/>
      <c r="C389" s="141">
        <f>H389*I389</f>
        <v/>
      </c>
      <c r="D389" s="41" t="n"/>
      <c r="E389" s="41" t="n"/>
      <c r="F389" s="41" t="n"/>
      <c r="G389" s="42" t="n"/>
      <c r="H389" s="20" t="n"/>
      <c r="I389" s="20" t="n"/>
      <c r="J389" s="20" t="n"/>
    </row>
    <row r="390" ht="16.5" customFormat="1" customHeight="1" s="12">
      <c r="A390" s="17" t="n">
        <v>385</v>
      </c>
      <c r="B390" s="25" t="n"/>
      <c r="C390" s="141">
        <f>H390*I390</f>
        <v/>
      </c>
      <c r="D390" s="41" t="n"/>
      <c r="E390" s="41" t="n"/>
      <c r="F390" s="41" t="n"/>
      <c r="G390" s="42" t="n"/>
      <c r="H390" s="20" t="n"/>
      <c r="I390" s="20" t="n"/>
      <c r="J390" s="20" t="n"/>
    </row>
    <row r="391" ht="16.5" customFormat="1" customHeight="1" s="12">
      <c r="A391" s="17" t="n">
        <v>386</v>
      </c>
      <c r="B391" s="25" t="n"/>
      <c r="C391" s="141">
        <f>H391*I391</f>
        <v/>
      </c>
      <c r="D391" s="41" t="n"/>
      <c r="E391" s="41" t="n"/>
      <c r="F391" s="41" t="n"/>
      <c r="G391" s="42" t="n"/>
      <c r="H391" s="20" t="n"/>
      <c r="I391" s="20" t="n"/>
      <c r="J391" s="20" t="n"/>
    </row>
    <row r="392" ht="16.5" customFormat="1" customHeight="1" s="12">
      <c r="A392" s="17" t="n">
        <v>387</v>
      </c>
      <c r="B392" s="25" t="n"/>
      <c r="C392" s="141">
        <f>H392*I392</f>
        <v/>
      </c>
      <c r="D392" s="41" t="n"/>
      <c r="E392" s="41" t="n"/>
      <c r="F392" s="41" t="n"/>
      <c r="G392" s="42" t="n"/>
      <c r="H392" s="20" t="n"/>
      <c r="I392" s="20" t="n"/>
      <c r="J392" s="20" t="n"/>
    </row>
    <row r="393" ht="16.5" customFormat="1" customHeight="1" s="12">
      <c r="A393" s="17" t="n">
        <v>388</v>
      </c>
      <c r="B393" s="25" t="n"/>
      <c r="C393" s="141">
        <f>H393*I393</f>
        <v/>
      </c>
      <c r="D393" s="41" t="n"/>
      <c r="E393" s="41" t="n"/>
      <c r="F393" s="41" t="n"/>
      <c r="G393" s="42" t="n"/>
      <c r="H393" s="20" t="n"/>
      <c r="I393" s="20" t="n"/>
      <c r="J393" s="20" t="n"/>
    </row>
    <row r="394" ht="16.5" customFormat="1" customHeight="1" s="12">
      <c r="A394" s="17" t="n">
        <v>389</v>
      </c>
      <c r="B394" s="25" t="n"/>
      <c r="C394" s="141">
        <f>H394*I394</f>
        <v/>
      </c>
      <c r="D394" s="41" t="n"/>
      <c r="E394" s="41" t="n"/>
      <c r="F394" s="41" t="n"/>
      <c r="G394" s="42" t="n"/>
      <c r="H394" s="20" t="n"/>
      <c r="I394" s="20" t="n"/>
      <c r="J394" s="20" t="n"/>
    </row>
    <row r="395" ht="16.5" customFormat="1" customHeight="1" s="12">
      <c r="A395" s="17" t="n">
        <v>390</v>
      </c>
      <c r="B395" s="25" t="n"/>
      <c r="C395" s="141">
        <f>H395*I395</f>
        <v/>
      </c>
      <c r="D395" s="41" t="n"/>
      <c r="E395" s="41" t="n"/>
      <c r="F395" s="41" t="n"/>
      <c r="G395" s="42" t="n"/>
      <c r="H395" s="20" t="n"/>
      <c r="I395" s="20" t="n"/>
      <c r="J395" s="20" t="n"/>
    </row>
    <row r="396" ht="16.5" customFormat="1" customHeight="1" s="12">
      <c r="A396" s="17" t="n">
        <v>391</v>
      </c>
      <c r="B396" s="25" t="n"/>
      <c r="C396" s="141">
        <f>H396*I396</f>
        <v/>
      </c>
      <c r="D396" s="41" t="n"/>
      <c r="E396" s="41" t="n"/>
      <c r="F396" s="41" t="n"/>
      <c r="G396" s="42" t="n"/>
      <c r="H396" s="20" t="n"/>
      <c r="I396" s="20" t="n"/>
      <c r="J396" s="20" t="n"/>
    </row>
    <row r="397" ht="16.5" customFormat="1" customHeight="1" s="12">
      <c r="A397" s="17" t="n">
        <v>392</v>
      </c>
      <c r="B397" s="25" t="n"/>
      <c r="C397" s="141">
        <f>H397*I397</f>
        <v/>
      </c>
      <c r="D397" s="41" t="n"/>
      <c r="E397" s="41" t="n"/>
      <c r="F397" s="41" t="n"/>
      <c r="G397" s="42" t="n"/>
      <c r="H397" s="20" t="n"/>
      <c r="I397" s="20" t="n"/>
      <c r="J397" s="20" t="n"/>
    </row>
    <row r="398" ht="16.5" customFormat="1" customHeight="1" s="12">
      <c r="A398" s="17" t="n">
        <v>393</v>
      </c>
      <c r="B398" s="25" t="n"/>
      <c r="C398" s="141">
        <f>H398*I398</f>
        <v/>
      </c>
      <c r="D398" s="41" t="n"/>
      <c r="E398" s="41" t="n"/>
      <c r="F398" s="41" t="n"/>
      <c r="G398" s="42" t="n"/>
      <c r="H398" s="20" t="n"/>
      <c r="I398" s="20" t="n"/>
      <c r="J398" s="20" t="n"/>
    </row>
    <row r="399" ht="16.5" customFormat="1" customHeight="1" s="12">
      <c r="A399" s="17" t="n">
        <v>394</v>
      </c>
      <c r="B399" s="25" t="n"/>
      <c r="C399" s="141">
        <f>H399*I399</f>
        <v/>
      </c>
      <c r="D399" s="41" t="n"/>
      <c r="E399" s="41" t="n"/>
      <c r="F399" s="41" t="n"/>
      <c r="G399" s="42" t="n"/>
      <c r="H399" s="20" t="n"/>
      <c r="I399" s="20" t="n"/>
      <c r="J399" s="20" t="n"/>
    </row>
    <row r="400" ht="16.5" customFormat="1" customHeight="1" s="12">
      <c r="A400" s="17" t="n">
        <v>395</v>
      </c>
      <c r="B400" s="25" t="n"/>
      <c r="C400" s="141">
        <f>H400*I400</f>
        <v/>
      </c>
      <c r="D400" s="41" t="n"/>
      <c r="E400" s="41" t="n"/>
      <c r="F400" s="41" t="n"/>
      <c r="G400" s="42" t="n"/>
      <c r="H400" s="20" t="n"/>
      <c r="I400" s="20" t="n"/>
      <c r="J400" s="20" t="n"/>
    </row>
    <row r="401" ht="16.5" customFormat="1" customHeight="1" s="12">
      <c r="A401" s="17" t="n">
        <v>396</v>
      </c>
      <c r="B401" s="25" t="n"/>
      <c r="C401" s="141">
        <f>H401*I401</f>
        <v/>
      </c>
      <c r="D401" s="41" t="n"/>
      <c r="E401" s="41" t="n"/>
      <c r="F401" s="41" t="n"/>
      <c r="G401" s="42" t="n"/>
      <c r="H401" s="20" t="n"/>
      <c r="I401" s="20" t="n"/>
      <c r="J401" s="20" t="n"/>
    </row>
    <row r="402" ht="16.5" customFormat="1" customHeight="1" s="12">
      <c r="A402" s="17" t="n">
        <v>397</v>
      </c>
      <c r="B402" s="25" t="n"/>
      <c r="C402" s="141">
        <f>H402*I402</f>
        <v/>
      </c>
      <c r="D402" s="41" t="n"/>
      <c r="E402" s="41" t="n"/>
      <c r="F402" s="41" t="n"/>
      <c r="G402" s="42" t="n"/>
      <c r="H402" s="20" t="n"/>
      <c r="I402" s="20" t="n"/>
      <c r="J402" s="20" t="n"/>
    </row>
    <row r="403" ht="16.5" customFormat="1" customHeight="1" s="12">
      <c r="A403" s="17" t="n">
        <v>398</v>
      </c>
      <c r="B403" s="25" t="n"/>
      <c r="C403" s="141">
        <f>H403*I403</f>
        <v/>
      </c>
      <c r="D403" s="41" t="n"/>
      <c r="E403" s="41" t="n"/>
      <c r="F403" s="41" t="n"/>
      <c r="G403" s="42" t="n"/>
      <c r="H403" s="20" t="n"/>
      <c r="I403" s="20" t="n"/>
      <c r="J403" s="20" t="n"/>
    </row>
    <row r="404" ht="16.5" customFormat="1" customHeight="1" s="12">
      <c r="A404" s="17" t="n">
        <v>399</v>
      </c>
      <c r="B404" s="25" t="n"/>
      <c r="C404" s="141">
        <f>H404*I404</f>
        <v/>
      </c>
      <c r="D404" s="41" t="n"/>
      <c r="E404" s="41" t="n"/>
      <c r="F404" s="41" t="n"/>
      <c r="G404" s="42" t="n"/>
      <c r="H404" s="20" t="n"/>
      <c r="I404" s="20" t="n"/>
      <c r="J404" s="20" t="n"/>
    </row>
    <row r="405" ht="16.5" customFormat="1" customHeight="1" s="12">
      <c r="A405" s="17" t="n">
        <v>400</v>
      </c>
      <c r="B405" s="25" t="n"/>
      <c r="C405" s="141">
        <f>H405*I405</f>
        <v/>
      </c>
      <c r="D405" s="41" t="n"/>
      <c r="E405" s="41" t="n"/>
      <c r="F405" s="41" t="n"/>
      <c r="G405" s="42" t="n"/>
      <c r="H405" s="20" t="n"/>
      <c r="I405" s="20" t="n"/>
      <c r="J405" s="20" t="n"/>
    </row>
    <row r="406" ht="16.5" customFormat="1" customHeight="1" s="12">
      <c r="A406" s="17" t="n">
        <v>401</v>
      </c>
      <c r="B406" s="25" t="n"/>
      <c r="C406" s="141">
        <f>H406*I406</f>
        <v/>
      </c>
      <c r="D406" s="41" t="n"/>
      <c r="E406" s="41" t="n"/>
      <c r="F406" s="41" t="n"/>
      <c r="G406" s="42" t="n"/>
      <c r="H406" s="20" t="n"/>
      <c r="I406" s="20" t="n"/>
      <c r="J406" s="20" t="n"/>
    </row>
    <row r="407" ht="16.5" customFormat="1" customHeight="1" s="12">
      <c r="A407" s="17" t="n">
        <v>402</v>
      </c>
      <c r="B407" s="25" t="n"/>
      <c r="C407" s="141">
        <f>H407*I407</f>
        <v/>
      </c>
      <c r="D407" s="41" t="n"/>
      <c r="E407" s="41" t="n"/>
      <c r="F407" s="41" t="n"/>
      <c r="G407" s="42" t="n"/>
      <c r="H407" s="20" t="n"/>
      <c r="I407" s="20" t="n"/>
      <c r="J407" s="20" t="n"/>
    </row>
    <row r="408" ht="16.5" customFormat="1" customHeight="1" s="12">
      <c r="A408" s="17" t="n">
        <v>403</v>
      </c>
      <c r="B408" s="25" t="n"/>
      <c r="C408" s="141">
        <f>H408*I408</f>
        <v/>
      </c>
      <c r="D408" s="41" t="n"/>
      <c r="E408" s="41" t="n"/>
      <c r="F408" s="41" t="n"/>
      <c r="G408" s="42" t="n"/>
      <c r="H408" s="20" t="n"/>
      <c r="I408" s="20" t="n"/>
      <c r="J408" s="20" t="n"/>
    </row>
    <row r="409" ht="16.5" customFormat="1" customHeight="1" s="12">
      <c r="A409" s="17" t="n">
        <v>404</v>
      </c>
      <c r="B409" s="25" t="n"/>
      <c r="C409" s="141">
        <f>H409*I409</f>
        <v/>
      </c>
      <c r="D409" s="41" t="n"/>
      <c r="E409" s="41" t="n"/>
      <c r="F409" s="41" t="n"/>
      <c r="G409" s="42" t="n"/>
      <c r="H409" s="20" t="n"/>
      <c r="I409" s="20" t="n"/>
      <c r="J409" s="20" t="n"/>
    </row>
    <row r="410" ht="16.5" customFormat="1" customHeight="1" s="12">
      <c r="A410" s="17" t="n">
        <v>405</v>
      </c>
      <c r="B410" s="25" t="n"/>
      <c r="C410" s="141">
        <f>H410*I410</f>
        <v/>
      </c>
      <c r="D410" s="41" t="n"/>
      <c r="E410" s="41" t="n"/>
      <c r="F410" s="41" t="n"/>
      <c r="G410" s="42" t="n"/>
      <c r="H410" s="20" t="n"/>
      <c r="I410" s="20" t="n"/>
      <c r="J410" s="20" t="n"/>
    </row>
    <row r="411" ht="16.5" customFormat="1" customHeight="1" s="12">
      <c r="A411" s="17" t="n">
        <v>406</v>
      </c>
      <c r="B411" s="25" t="n"/>
      <c r="C411" s="141">
        <f>H411*I411</f>
        <v/>
      </c>
      <c r="D411" s="41" t="n"/>
      <c r="E411" s="41" t="n"/>
      <c r="F411" s="41" t="n"/>
      <c r="G411" s="42" t="n"/>
      <c r="H411" s="20" t="n"/>
      <c r="I411" s="20" t="n"/>
      <c r="J411" s="20" t="n"/>
    </row>
    <row r="412" ht="16.5" customFormat="1" customHeight="1" s="12">
      <c r="A412" s="17" t="n">
        <v>407</v>
      </c>
      <c r="B412" s="25" t="n"/>
      <c r="C412" s="141">
        <f>H412*I412</f>
        <v/>
      </c>
      <c r="D412" s="41" t="n"/>
      <c r="E412" s="41" t="n"/>
      <c r="F412" s="41" t="n"/>
      <c r="G412" s="42" t="n"/>
      <c r="H412" s="20" t="n"/>
      <c r="I412" s="20" t="n"/>
      <c r="J412" s="20" t="n"/>
    </row>
    <row r="413" ht="16.5" customFormat="1" customHeight="1" s="12">
      <c r="A413" s="17" t="n">
        <v>408</v>
      </c>
      <c r="B413" s="25" t="n"/>
      <c r="C413" s="141">
        <f>H413*I413</f>
        <v/>
      </c>
      <c r="D413" s="41" t="n"/>
      <c r="E413" s="41" t="n"/>
      <c r="F413" s="41" t="n"/>
      <c r="G413" s="42" t="n"/>
      <c r="H413" s="20" t="n"/>
      <c r="I413" s="20" t="n"/>
      <c r="J413" s="20" t="n"/>
    </row>
    <row r="414" ht="16.5" customFormat="1" customHeight="1" s="12">
      <c r="A414" s="17" t="n">
        <v>409</v>
      </c>
      <c r="B414" s="25" t="n"/>
      <c r="C414" s="141">
        <f>H414*I414</f>
        <v/>
      </c>
      <c r="D414" s="41" t="n"/>
      <c r="E414" s="41" t="n"/>
      <c r="F414" s="41" t="n"/>
      <c r="G414" s="42" t="n"/>
      <c r="H414" s="20" t="n"/>
      <c r="I414" s="20" t="n"/>
      <c r="J414" s="20" t="n"/>
    </row>
    <row r="415" ht="16.5" customFormat="1" customHeight="1" s="12">
      <c r="A415" s="17" t="n">
        <v>410</v>
      </c>
      <c r="B415" s="25" t="n"/>
      <c r="C415" s="141">
        <f>H415*I415</f>
        <v/>
      </c>
      <c r="D415" s="41" t="n"/>
      <c r="E415" s="41" t="n"/>
      <c r="F415" s="41" t="n"/>
      <c r="G415" s="42" t="n"/>
      <c r="H415" s="20" t="n"/>
      <c r="I415" s="20" t="n"/>
      <c r="J415" s="20" t="n"/>
    </row>
    <row r="416" ht="16.5" customFormat="1" customHeight="1" s="12">
      <c r="A416" s="17" t="n">
        <v>411</v>
      </c>
      <c r="B416" s="25" t="n"/>
      <c r="C416" s="141">
        <f>H416*I416</f>
        <v/>
      </c>
      <c r="D416" s="41" t="n"/>
      <c r="E416" s="41" t="n"/>
      <c r="F416" s="41" t="n"/>
      <c r="G416" s="42" t="n"/>
      <c r="H416" s="20" t="n"/>
      <c r="I416" s="20" t="n"/>
      <c r="J416" s="20" t="n"/>
    </row>
    <row r="417" ht="16.5" customFormat="1" customHeight="1" s="12">
      <c r="A417" s="17" t="n">
        <v>412</v>
      </c>
      <c r="B417" s="25" t="n"/>
      <c r="C417" s="141">
        <f>H417*I417</f>
        <v/>
      </c>
      <c r="D417" s="41" t="n"/>
      <c r="E417" s="41" t="n"/>
      <c r="F417" s="41" t="n"/>
      <c r="G417" s="42" t="n"/>
      <c r="H417" s="20" t="n"/>
      <c r="I417" s="20" t="n"/>
      <c r="J417" s="20" t="n"/>
    </row>
    <row r="418" ht="16.5" customFormat="1" customHeight="1" s="12">
      <c r="A418" s="17" t="n">
        <v>413</v>
      </c>
      <c r="B418" s="25" t="n"/>
      <c r="C418" s="141">
        <f>H418*I418</f>
        <v/>
      </c>
      <c r="D418" s="41" t="n"/>
      <c r="E418" s="41" t="n"/>
      <c r="F418" s="41" t="n"/>
      <c r="G418" s="42" t="n"/>
      <c r="H418" s="20" t="n"/>
      <c r="I418" s="20" t="n"/>
      <c r="J418" s="20" t="n"/>
    </row>
    <row r="419" ht="16.5" customFormat="1" customHeight="1" s="12">
      <c r="A419" s="17" t="n">
        <v>414</v>
      </c>
      <c r="B419" s="25" t="n"/>
      <c r="C419" s="141">
        <f>H419*I419</f>
        <v/>
      </c>
      <c r="D419" s="41" t="n"/>
      <c r="E419" s="41" t="n"/>
      <c r="F419" s="41" t="n"/>
      <c r="G419" s="42" t="n"/>
      <c r="H419" s="20" t="n"/>
      <c r="I419" s="20" t="n"/>
      <c r="J419" s="20" t="n"/>
    </row>
    <row r="420" ht="16.5" customFormat="1" customHeight="1" s="12">
      <c r="A420" s="17" t="n">
        <v>415</v>
      </c>
      <c r="B420" s="25" t="n"/>
      <c r="C420" s="141">
        <f>H420*I420</f>
        <v/>
      </c>
      <c r="D420" s="41" t="n"/>
      <c r="E420" s="41" t="n"/>
      <c r="F420" s="41" t="n"/>
      <c r="G420" s="42" t="n"/>
      <c r="H420" s="20" t="n"/>
      <c r="I420" s="20" t="n"/>
      <c r="J420" s="20" t="n"/>
    </row>
    <row r="421" ht="16.5" customFormat="1" customHeight="1" s="12">
      <c r="A421" s="17" t="n">
        <v>416</v>
      </c>
      <c r="B421" s="25" t="n"/>
      <c r="C421" s="141">
        <f>H421*I421</f>
        <v/>
      </c>
      <c r="D421" s="41" t="n"/>
      <c r="E421" s="41" t="n"/>
      <c r="F421" s="41" t="n"/>
      <c r="G421" s="42" t="n"/>
      <c r="H421" s="20" t="n"/>
      <c r="I421" s="20" t="n"/>
      <c r="J421" s="20" t="n"/>
    </row>
    <row r="422" ht="16.5" customFormat="1" customHeight="1" s="12">
      <c r="A422" s="17" t="n">
        <v>417</v>
      </c>
      <c r="B422" s="25" t="n"/>
      <c r="C422" s="141">
        <f>H422*I422</f>
        <v/>
      </c>
      <c r="D422" s="41" t="n"/>
      <c r="E422" s="41" t="n"/>
      <c r="F422" s="41" t="n"/>
      <c r="G422" s="42" t="n"/>
      <c r="H422" s="20" t="n"/>
      <c r="I422" s="20" t="n"/>
      <c r="J422" s="20" t="n"/>
    </row>
    <row r="423" ht="16.5" customFormat="1" customHeight="1" s="12">
      <c r="A423" s="17" t="n">
        <v>418</v>
      </c>
      <c r="B423" s="25" t="n"/>
      <c r="C423" s="141">
        <f>H423*I423</f>
        <v/>
      </c>
      <c r="D423" s="41" t="n"/>
      <c r="E423" s="41" t="n"/>
      <c r="F423" s="41" t="n"/>
      <c r="G423" s="42" t="n"/>
      <c r="H423" s="20" t="n"/>
      <c r="I423" s="20" t="n"/>
      <c r="J423" s="20" t="n"/>
    </row>
    <row r="424" ht="16.5" customFormat="1" customHeight="1" s="12">
      <c r="A424" s="17" t="n">
        <v>419</v>
      </c>
      <c r="B424" s="25" t="n"/>
      <c r="C424" s="141">
        <f>H424*I424</f>
        <v/>
      </c>
      <c r="D424" s="41" t="n"/>
      <c r="E424" s="41" t="n"/>
      <c r="F424" s="41" t="n"/>
      <c r="G424" s="42" t="n"/>
      <c r="H424" s="20" t="n"/>
      <c r="I424" s="20" t="n"/>
      <c r="J424" s="20" t="n"/>
    </row>
    <row r="425" ht="16.5" customFormat="1" customHeight="1" s="12">
      <c r="A425" s="17" t="n">
        <v>420</v>
      </c>
      <c r="B425" s="25" t="n"/>
      <c r="C425" s="141">
        <f>H425*I425</f>
        <v/>
      </c>
      <c r="D425" s="41" t="n"/>
      <c r="E425" s="41" t="n"/>
      <c r="F425" s="41" t="n"/>
      <c r="G425" s="42" t="n"/>
      <c r="H425" s="20" t="n"/>
      <c r="I425" s="20" t="n"/>
      <c r="J425" s="20" t="n"/>
    </row>
    <row r="426" ht="16.5" customFormat="1" customHeight="1" s="12">
      <c r="A426" s="17" t="n">
        <v>421</v>
      </c>
      <c r="B426" s="25" t="n"/>
      <c r="C426" s="141">
        <f>H426*I426</f>
        <v/>
      </c>
      <c r="D426" s="41" t="n"/>
      <c r="E426" s="41" t="n"/>
      <c r="F426" s="41" t="n"/>
      <c r="G426" s="42" t="n"/>
      <c r="H426" s="20" t="n"/>
      <c r="I426" s="20" t="n"/>
      <c r="J426" s="20" t="n"/>
    </row>
    <row r="427" ht="16.5" customFormat="1" customHeight="1" s="12">
      <c r="A427" s="17" t="n">
        <v>422</v>
      </c>
      <c r="B427" s="25" t="n"/>
      <c r="C427" s="141">
        <f>H427*I427</f>
        <v/>
      </c>
      <c r="D427" s="41" t="n"/>
      <c r="E427" s="41" t="n"/>
      <c r="F427" s="41" t="n"/>
      <c r="G427" s="42" t="n"/>
      <c r="H427" s="20" t="n"/>
      <c r="I427" s="20" t="n"/>
      <c r="J427" s="20" t="n"/>
    </row>
    <row r="428" ht="16.5" customFormat="1" customHeight="1" s="12">
      <c r="A428" s="17" t="n">
        <v>423</v>
      </c>
      <c r="B428" s="25" t="n"/>
      <c r="C428" s="141">
        <f>H428*I428</f>
        <v/>
      </c>
      <c r="D428" s="41" t="n"/>
      <c r="E428" s="41" t="n"/>
      <c r="F428" s="41" t="n"/>
      <c r="G428" s="42" t="n"/>
      <c r="H428" s="20" t="n"/>
      <c r="I428" s="20" t="n"/>
      <c r="J428" s="20" t="n"/>
    </row>
    <row r="429" ht="16.5" customFormat="1" customHeight="1" s="12">
      <c r="A429" s="17" t="n">
        <v>424</v>
      </c>
      <c r="B429" s="25" t="n"/>
      <c r="C429" s="141">
        <f>H429*I429</f>
        <v/>
      </c>
      <c r="D429" s="41" t="n"/>
      <c r="E429" s="41" t="n"/>
      <c r="F429" s="41" t="n"/>
      <c r="G429" s="42" t="n"/>
      <c r="H429" s="20" t="n"/>
      <c r="I429" s="20" t="n"/>
      <c r="J429" s="20" t="n"/>
    </row>
    <row r="430" ht="16.5" customFormat="1" customHeight="1" s="12">
      <c r="A430" s="17" t="n">
        <v>425</v>
      </c>
      <c r="B430" s="25" t="n"/>
      <c r="C430" s="141">
        <f>H430*I430</f>
        <v/>
      </c>
      <c r="D430" s="41" t="n"/>
      <c r="E430" s="41" t="n"/>
      <c r="F430" s="41" t="n"/>
      <c r="G430" s="42" t="n"/>
      <c r="H430" s="20" t="n"/>
      <c r="I430" s="20" t="n"/>
      <c r="J430" s="20" t="n"/>
    </row>
    <row r="431" ht="16.5" customFormat="1" customHeight="1" s="12">
      <c r="A431" s="17" t="n">
        <v>426</v>
      </c>
      <c r="B431" s="25" t="n"/>
      <c r="C431" s="141">
        <f>H431*I431</f>
        <v/>
      </c>
      <c r="D431" s="41" t="n"/>
      <c r="E431" s="41" t="n"/>
      <c r="F431" s="41" t="n"/>
      <c r="G431" s="42" t="n"/>
      <c r="H431" s="20" t="n"/>
      <c r="I431" s="20" t="n"/>
      <c r="J431" s="20" t="n"/>
    </row>
    <row r="432" ht="16.5" customFormat="1" customHeight="1" s="12">
      <c r="A432" s="17" t="n">
        <v>427</v>
      </c>
      <c r="B432" s="25" t="n"/>
      <c r="C432" s="141">
        <f>H432*I432</f>
        <v/>
      </c>
      <c r="D432" s="41" t="n"/>
      <c r="E432" s="41" t="n"/>
      <c r="F432" s="41" t="n"/>
      <c r="G432" s="42" t="n"/>
      <c r="H432" s="20" t="n"/>
      <c r="I432" s="20" t="n"/>
      <c r="J432" s="20" t="n"/>
    </row>
    <row r="433" ht="16.5" customFormat="1" customHeight="1" s="12">
      <c r="A433" s="17" t="n">
        <v>428</v>
      </c>
      <c r="B433" s="25" t="n"/>
      <c r="C433" s="141">
        <f>H433*I433</f>
        <v/>
      </c>
      <c r="D433" s="41" t="n"/>
      <c r="E433" s="41" t="n"/>
      <c r="F433" s="41" t="n"/>
      <c r="G433" s="42" t="n"/>
      <c r="H433" s="20" t="n"/>
      <c r="I433" s="20" t="n"/>
      <c r="J433" s="20" t="n"/>
    </row>
    <row r="434" ht="16.5" customFormat="1" customHeight="1" s="12">
      <c r="A434" s="17" t="n">
        <v>429</v>
      </c>
      <c r="B434" s="25" t="n"/>
      <c r="C434" s="141">
        <f>H434*I434</f>
        <v/>
      </c>
      <c r="D434" s="41" t="n"/>
      <c r="E434" s="41" t="n"/>
      <c r="F434" s="41" t="n"/>
      <c r="G434" s="42" t="n"/>
      <c r="H434" s="20" t="n"/>
      <c r="I434" s="20" t="n"/>
      <c r="J434" s="20" t="n"/>
    </row>
    <row r="435" ht="16.5" customFormat="1" customHeight="1" s="12">
      <c r="A435" s="17" t="n">
        <v>430</v>
      </c>
      <c r="B435" s="25" t="n"/>
      <c r="C435" s="141">
        <f>H435*I435</f>
        <v/>
      </c>
      <c r="D435" s="41" t="n"/>
      <c r="E435" s="41" t="n"/>
      <c r="F435" s="41" t="n"/>
      <c r="G435" s="42" t="n"/>
      <c r="H435" s="20" t="n"/>
      <c r="I435" s="20" t="n"/>
      <c r="J435" s="20" t="n"/>
    </row>
    <row r="436" ht="16.5" customFormat="1" customHeight="1" s="12">
      <c r="A436" s="17" t="n">
        <v>431</v>
      </c>
      <c r="B436" s="25" t="n"/>
      <c r="C436" s="141">
        <f>H436*I436</f>
        <v/>
      </c>
      <c r="D436" s="41" t="n"/>
      <c r="E436" s="41" t="n"/>
      <c r="F436" s="41" t="n"/>
      <c r="G436" s="42" t="n"/>
      <c r="H436" s="20" t="n"/>
      <c r="I436" s="20" t="n"/>
      <c r="J436" s="20" t="n"/>
    </row>
    <row r="437" ht="16.5" customFormat="1" customHeight="1" s="12">
      <c r="A437" s="17" t="n">
        <v>432</v>
      </c>
      <c r="B437" s="25" t="n"/>
      <c r="C437" s="141">
        <f>H437*I437</f>
        <v/>
      </c>
      <c r="D437" s="41" t="n"/>
      <c r="E437" s="41" t="n"/>
      <c r="F437" s="41" t="n"/>
      <c r="G437" s="42" t="n"/>
      <c r="H437" s="20" t="n"/>
      <c r="I437" s="20" t="n"/>
      <c r="J437" s="20" t="n"/>
    </row>
    <row r="438" ht="16.5" customFormat="1" customHeight="1" s="12">
      <c r="A438" s="17" t="n">
        <v>433</v>
      </c>
      <c r="B438" s="25" t="n"/>
      <c r="C438" s="141">
        <f>H438*I438</f>
        <v/>
      </c>
      <c r="D438" s="41" t="n"/>
      <c r="E438" s="41" t="n"/>
      <c r="F438" s="41" t="n"/>
      <c r="G438" s="42" t="n"/>
      <c r="H438" s="20" t="n"/>
      <c r="I438" s="20" t="n"/>
      <c r="J438" s="20" t="n"/>
    </row>
    <row r="439" ht="16.5" customFormat="1" customHeight="1" s="12">
      <c r="A439" s="17" t="n">
        <v>434</v>
      </c>
      <c r="B439" s="25" t="n"/>
      <c r="C439" s="141">
        <f>H439*I439</f>
        <v/>
      </c>
      <c r="D439" s="41" t="n"/>
      <c r="E439" s="41" t="n"/>
      <c r="F439" s="41" t="n"/>
      <c r="G439" s="42" t="n"/>
      <c r="H439" s="20" t="n"/>
      <c r="I439" s="20" t="n"/>
      <c r="J439" s="20" t="n"/>
    </row>
    <row r="440" ht="16.5" customFormat="1" customHeight="1" s="12">
      <c r="A440" s="17" t="n">
        <v>435</v>
      </c>
      <c r="B440" s="25" t="n"/>
      <c r="C440" s="141">
        <f>H440*I440</f>
        <v/>
      </c>
      <c r="D440" s="41" t="n"/>
      <c r="E440" s="41" t="n"/>
      <c r="F440" s="41" t="n"/>
      <c r="G440" s="42" t="n"/>
      <c r="H440" s="20" t="n"/>
      <c r="I440" s="20" t="n"/>
      <c r="J440" s="20" t="n"/>
    </row>
    <row r="441" ht="16.5" customFormat="1" customHeight="1" s="12">
      <c r="A441" s="17" t="n">
        <v>436</v>
      </c>
      <c r="B441" s="25" t="n"/>
      <c r="C441" s="141">
        <f>H441*I441</f>
        <v/>
      </c>
      <c r="D441" s="41" t="n"/>
      <c r="E441" s="41" t="n"/>
      <c r="F441" s="41" t="n"/>
      <c r="G441" s="42" t="n"/>
      <c r="H441" s="20" t="n"/>
      <c r="I441" s="20" t="n"/>
      <c r="J441" s="20" t="n"/>
    </row>
    <row r="442" ht="16.5" customFormat="1" customHeight="1" s="12">
      <c r="A442" s="17" t="n">
        <v>437</v>
      </c>
      <c r="B442" s="25" t="n"/>
      <c r="C442" s="141">
        <f>H442*I442</f>
        <v/>
      </c>
      <c r="D442" s="41" t="n"/>
      <c r="E442" s="41" t="n"/>
      <c r="F442" s="41" t="n"/>
      <c r="G442" s="42" t="n"/>
      <c r="H442" s="20" t="n"/>
      <c r="I442" s="20" t="n"/>
      <c r="J442" s="20" t="n"/>
    </row>
    <row r="443" ht="16.5" customFormat="1" customHeight="1" s="12">
      <c r="A443" s="17" t="n">
        <v>438</v>
      </c>
      <c r="B443" s="25" t="n"/>
      <c r="C443" s="141">
        <f>H443*I443</f>
        <v/>
      </c>
      <c r="D443" s="41" t="n"/>
      <c r="E443" s="41" t="n"/>
      <c r="F443" s="41" t="n"/>
      <c r="G443" s="42" t="n"/>
      <c r="H443" s="20" t="n"/>
      <c r="I443" s="20" t="n"/>
      <c r="J443" s="20" t="n"/>
    </row>
    <row r="444" ht="16.5" customFormat="1" customHeight="1" s="12">
      <c r="A444" s="17" t="n">
        <v>439</v>
      </c>
      <c r="B444" s="25" t="n"/>
      <c r="C444" s="141">
        <f>H444*I444</f>
        <v/>
      </c>
      <c r="D444" s="41" t="n"/>
      <c r="E444" s="41" t="n"/>
      <c r="F444" s="41" t="n"/>
      <c r="G444" s="42" t="n"/>
      <c r="H444" s="20" t="n"/>
      <c r="I444" s="20" t="n"/>
      <c r="J444" s="20" t="n"/>
    </row>
    <row r="445" ht="16.5" customFormat="1" customHeight="1" s="12">
      <c r="A445" s="17" t="n">
        <v>440</v>
      </c>
      <c r="B445" s="25" t="n"/>
      <c r="C445" s="141">
        <f>H445*I445</f>
        <v/>
      </c>
      <c r="D445" s="41" t="n"/>
      <c r="E445" s="41" t="n"/>
      <c r="F445" s="41" t="n"/>
      <c r="G445" s="42" t="n"/>
      <c r="H445" s="20" t="n"/>
      <c r="I445" s="20" t="n"/>
      <c r="J445" s="20" t="n"/>
    </row>
    <row r="446" ht="16.5" customFormat="1" customHeight="1" s="12">
      <c r="A446" s="17" t="n">
        <v>441</v>
      </c>
      <c r="B446" s="25" t="n"/>
      <c r="C446" s="141">
        <f>H446*I446</f>
        <v/>
      </c>
      <c r="D446" s="41" t="n"/>
      <c r="E446" s="41" t="n"/>
      <c r="F446" s="41" t="n"/>
      <c r="G446" s="42" t="n"/>
      <c r="H446" s="20" t="n"/>
      <c r="I446" s="20" t="n"/>
      <c r="J446" s="20" t="n"/>
    </row>
    <row r="447" ht="16.5" customFormat="1" customHeight="1" s="12">
      <c r="A447" s="17" t="n">
        <v>442</v>
      </c>
      <c r="B447" s="25" t="n"/>
      <c r="C447" s="141">
        <f>H447*I447</f>
        <v/>
      </c>
      <c r="D447" s="41" t="n"/>
      <c r="E447" s="41" t="n"/>
      <c r="F447" s="41" t="n"/>
      <c r="G447" s="42" t="n"/>
      <c r="H447" s="20" t="n"/>
      <c r="I447" s="20" t="n"/>
      <c r="J447" s="20" t="n"/>
    </row>
    <row r="448" ht="16.5" customFormat="1" customHeight="1" s="12">
      <c r="A448" s="17" t="n">
        <v>443</v>
      </c>
      <c r="B448" s="25" t="n"/>
      <c r="C448" s="141">
        <f>H448*I448</f>
        <v/>
      </c>
      <c r="D448" s="41" t="n"/>
      <c r="E448" s="41" t="n"/>
      <c r="F448" s="41" t="n"/>
      <c r="G448" s="42" t="n"/>
      <c r="H448" s="20" t="n"/>
      <c r="I448" s="20" t="n"/>
      <c r="J448" s="20" t="n"/>
    </row>
    <row r="449" ht="16.5" customFormat="1" customHeight="1" s="12">
      <c r="A449" s="17" t="n">
        <v>444</v>
      </c>
      <c r="B449" s="25" t="n"/>
      <c r="C449" s="141">
        <f>H449*I449</f>
        <v/>
      </c>
      <c r="D449" s="41" t="n"/>
      <c r="E449" s="41" t="n"/>
      <c r="F449" s="41" t="n"/>
      <c r="G449" s="42" t="n"/>
      <c r="H449" s="20" t="n"/>
      <c r="I449" s="20" t="n"/>
      <c r="J449" s="20" t="n"/>
    </row>
    <row r="450" ht="16.5" customFormat="1" customHeight="1" s="12">
      <c r="A450" s="17" t="n">
        <v>445</v>
      </c>
      <c r="B450" s="25" t="n"/>
      <c r="C450" s="141">
        <f>H450*I450</f>
        <v/>
      </c>
      <c r="D450" s="41" t="n"/>
      <c r="E450" s="41" t="n"/>
      <c r="F450" s="41" t="n"/>
      <c r="G450" s="42" t="n"/>
      <c r="H450" s="20" t="n"/>
      <c r="I450" s="20" t="n"/>
      <c r="J450" s="20" t="n"/>
    </row>
    <row r="451" ht="16.5" customFormat="1" customHeight="1" s="12">
      <c r="A451" s="17" t="n">
        <v>446</v>
      </c>
      <c r="B451" s="25" t="n"/>
      <c r="C451" s="141">
        <f>H451*I451</f>
        <v/>
      </c>
      <c r="D451" s="41" t="n"/>
      <c r="E451" s="41" t="n"/>
      <c r="F451" s="41" t="n"/>
      <c r="G451" s="42" t="n"/>
      <c r="H451" s="20" t="n"/>
      <c r="I451" s="20" t="n"/>
      <c r="J451" s="20" t="n"/>
    </row>
    <row r="452" ht="16.5" customFormat="1" customHeight="1" s="12">
      <c r="A452" s="17" t="n">
        <v>447</v>
      </c>
      <c r="B452" s="25" t="n"/>
      <c r="C452" s="141">
        <f>H452*I452</f>
        <v/>
      </c>
      <c r="D452" s="41" t="n"/>
      <c r="E452" s="41" t="n"/>
      <c r="F452" s="41" t="n"/>
      <c r="G452" s="42" t="n"/>
      <c r="H452" s="20" t="n"/>
      <c r="I452" s="20" t="n"/>
      <c r="J452" s="20" t="n"/>
    </row>
    <row r="453" ht="16.5" customFormat="1" customHeight="1" s="12">
      <c r="A453" s="17" t="n">
        <v>448</v>
      </c>
      <c r="B453" s="25" t="n"/>
      <c r="C453" s="141">
        <f>H453*I453</f>
        <v/>
      </c>
      <c r="D453" s="41" t="n"/>
      <c r="E453" s="41" t="n"/>
      <c r="F453" s="41" t="n"/>
      <c r="G453" s="42" t="n"/>
      <c r="H453" s="20" t="n"/>
      <c r="I453" s="20" t="n"/>
      <c r="J453" s="20" t="n"/>
    </row>
    <row r="454" ht="16.5" customFormat="1" customHeight="1" s="12">
      <c r="A454" s="17" t="n">
        <v>449</v>
      </c>
      <c r="B454" s="25" t="n"/>
      <c r="C454" s="141">
        <f>H454*I454</f>
        <v/>
      </c>
      <c r="D454" s="41" t="n"/>
      <c r="E454" s="41" t="n"/>
      <c r="F454" s="41" t="n"/>
      <c r="G454" s="42" t="n"/>
      <c r="H454" s="20" t="n"/>
      <c r="I454" s="20" t="n"/>
      <c r="J454" s="20" t="n"/>
    </row>
    <row r="455" ht="16.5" customFormat="1" customHeight="1" s="12">
      <c r="A455" s="17" t="n">
        <v>450</v>
      </c>
      <c r="B455" s="25" t="n"/>
      <c r="C455" s="141">
        <f>H455*I455</f>
        <v/>
      </c>
      <c r="D455" s="41" t="n"/>
      <c r="E455" s="41" t="n"/>
      <c r="F455" s="41" t="n"/>
      <c r="G455" s="42" t="n"/>
      <c r="H455" s="20" t="n"/>
      <c r="I455" s="20" t="n"/>
      <c r="J455" s="20" t="n"/>
    </row>
    <row r="456" ht="16.5" customFormat="1" customHeight="1" s="12">
      <c r="A456" s="17" t="n">
        <v>451</v>
      </c>
      <c r="B456" s="25" t="n"/>
      <c r="C456" s="141">
        <f>H456*I456</f>
        <v/>
      </c>
      <c r="D456" s="41" t="n"/>
      <c r="E456" s="41" t="n"/>
      <c r="F456" s="41" t="n"/>
      <c r="G456" s="42" t="n"/>
      <c r="H456" s="20" t="n"/>
      <c r="I456" s="20" t="n"/>
      <c r="J456" s="20" t="n"/>
    </row>
    <row r="457" ht="16.5" customFormat="1" customHeight="1" s="12">
      <c r="A457" s="17" t="n">
        <v>452</v>
      </c>
      <c r="B457" s="25" t="n"/>
      <c r="C457" s="141">
        <f>H457*I457</f>
        <v/>
      </c>
      <c r="D457" s="41" t="n"/>
      <c r="E457" s="41" t="n"/>
      <c r="F457" s="41" t="n"/>
      <c r="G457" s="42" t="n"/>
      <c r="H457" s="20" t="n"/>
      <c r="I457" s="20" t="n"/>
      <c r="J457" s="20" t="n"/>
    </row>
    <row r="458" ht="16.5" customFormat="1" customHeight="1" s="12">
      <c r="A458" s="17" t="n">
        <v>453</v>
      </c>
      <c r="B458" s="25" t="n"/>
      <c r="C458" s="141">
        <f>H458*I458</f>
        <v/>
      </c>
      <c r="D458" s="41" t="n"/>
      <c r="E458" s="41" t="n"/>
      <c r="F458" s="41" t="n"/>
      <c r="G458" s="42" t="n"/>
      <c r="H458" s="20" t="n"/>
      <c r="I458" s="20" t="n"/>
      <c r="J458" s="20" t="n"/>
    </row>
    <row r="459" ht="16.5" customFormat="1" customHeight="1" s="12">
      <c r="A459" s="17" t="n">
        <v>454</v>
      </c>
      <c r="B459" s="25" t="n"/>
      <c r="C459" s="141">
        <f>H459*I459</f>
        <v/>
      </c>
      <c r="D459" s="41" t="n"/>
      <c r="E459" s="41" t="n"/>
      <c r="F459" s="41" t="n"/>
      <c r="G459" s="42" t="n"/>
      <c r="H459" s="20" t="n"/>
      <c r="I459" s="20" t="n"/>
      <c r="J459" s="20" t="n"/>
    </row>
    <row r="460" ht="16.5" customFormat="1" customHeight="1" s="12">
      <c r="A460" s="17" t="n">
        <v>455</v>
      </c>
      <c r="B460" s="25" t="n"/>
      <c r="C460" s="141">
        <f>H460*I460</f>
        <v/>
      </c>
      <c r="D460" s="41" t="n"/>
      <c r="E460" s="41" t="n"/>
      <c r="F460" s="41" t="n"/>
      <c r="G460" s="42" t="n"/>
      <c r="H460" s="20" t="n"/>
      <c r="I460" s="20" t="n"/>
      <c r="J460" s="20" t="n"/>
    </row>
    <row r="461" ht="16.5" customFormat="1" customHeight="1" s="12">
      <c r="A461" s="17" t="n">
        <v>456</v>
      </c>
      <c r="B461" s="25" t="n"/>
      <c r="C461" s="141">
        <f>H461*I461</f>
        <v/>
      </c>
      <c r="D461" s="41" t="n"/>
      <c r="E461" s="41" t="n"/>
      <c r="F461" s="41" t="n"/>
      <c r="G461" s="42" t="n"/>
      <c r="H461" s="20" t="n"/>
      <c r="I461" s="20" t="n"/>
      <c r="J461" s="20" t="n"/>
    </row>
    <row r="462" ht="16.5" customFormat="1" customHeight="1" s="12">
      <c r="A462" s="17" t="n">
        <v>457</v>
      </c>
      <c r="B462" s="25" t="n"/>
      <c r="C462" s="141">
        <f>H462*I462</f>
        <v/>
      </c>
      <c r="D462" s="41" t="n"/>
      <c r="E462" s="41" t="n"/>
      <c r="F462" s="41" t="n"/>
      <c r="G462" s="42" t="n"/>
      <c r="H462" s="20" t="n"/>
      <c r="I462" s="20" t="n"/>
      <c r="J462" s="20" t="n"/>
    </row>
    <row r="463" ht="16.5" customFormat="1" customHeight="1" s="12">
      <c r="A463" s="17" t="n">
        <v>458</v>
      </c>
      <c r="B463" s="25" t="n"/>
      <c r="C463" s="141">
        <f>H463*I463</f>
        <v/>
      </c>
      <c r="D463" s="41" t="n"/>
      <c r="E463" s="41" t="n"/>
      <c r="F463" s="41" t="n"/>
      <c r="G463" s="42" t="n"/>
      <c r="H463" s="20" t="n"/>
      <c r="I463" s="20" t="n"/>
      <c r="J463" s="20" t="n"/>
    </row>
    <row r="464" ht="16.5" customFormat="1" customHeight="1" s="12">
      <c r="A464" s="17" t="n">
        <v>459</v>
      </c>
      <c r="B464" s="25" t="n"/>
      <c r="C464" s="141">
        <f>H464*I464</f>
        <v/>
      </c>
      <c r="D464" s="41" t="n"/>
      <c r="E464" s="41" t="n"/>
      <c r="F464" s="41" t="n"/>
      <c r="G464" s="42" t="n"/>
      <c r="H464" s="20" t="n"/>
      <c r="I464" s="20" t="n"/>
      <c r="J464" s="20" t="n"/>
    </row>
    <row r="465" ht="16.5" customFormat="1" customHeight="1" s="12">
      <c r="A465" s="17" t="n">
        <v>460</v>
      </c>
      <c r="B465" s="25" t="n"/>
      <c r="C465" s="141">
        <f>H465*I465</f>
        <v/>
      </c>
      <c r="D465" s="41" t="n"/>
      <c r="E465" s="41" t="n"/>
      <c r="F465" s="41" t="n"/>
      <c r="G465" s="42" t="n"/>
      <c r="H465" s="20" t="n"/>
      <c r="I465" s="20" t="n"/>
      <c r="J465" s="20" t="n"/>
    </row>
    <row r="466" ht="16.5" customFormat="1" customHeight="1" s="12">
      <c r="A466" s="17" t="n">
        <v>461</v>
      </c>
      <c r="B466" s="25" t="n"/>
      <c r="C466" s="141">
        <f>H466*I466</f>
        <v/>
      </c>
      <c r="D466" s="41" t="n"/>
      <c r="E466" s="41" t="n"/>
      <c r="F466" s="41" t="n"/>
      <c r="G466" s="42" t="n"/>
      <c r="H466" s="20" t="n"/>
      <c r="I466" s="20" t="n"/>
      <c r="J466" s="20" t="n"/>
    </row>
    <row r="467" ht="16.5" customFormat="1" customHeight="1" s="12">
      <c r="A467" s="17" t="n">
        <v>462</v>
      </c>
      <c r="B467" s="25" t="n"/>
      <c r="C467" s="141">
        <f>H467*I467</f>
        <v/>
      </c>
      <c r="D467" s="41" t="n"/>
      <c r="E467" s="41" t="n"/>
      <c r="F467" s="41" t="n"/>
      <c r="G467" s="42" t="n"/>
      <c r="H467" s="20" t="n"/>
      <c r="I467" s="20" t="n"/>
      <c r="J467" s="20" t="n"/>
    </row>
    <row r="468" ht="16.5" customFormat="1" customHeight="1" s="12">
      <c r="A468" s="17" t="n">
        <v>463</v>
      </c>
      <c r="B468" s="25" t="n"/>
      <c r="C468" s="141">
        <f>H468*I468</f>
        <v/>
      </c>
      <c r="D468" s="41" t="n"/>
      <c r="E468" s="41" t="n"/>
      <c r="F468" s="41" t="n"/>
      <c r="G468" s="42" t="n"/>
      <c r="H468" s="20" t="n"/>
      <c r="I468" s="20" t="n"/>
      <c r="J468" s="20" t="n"/>
    </row>
    <row r="469" ht="16.5" customFormat="1" customHeight="1" s="12">
      <c r="A469" s="17" t="n">
        <v>464</v>
      </c>
      <c r="B469" s="25" t="n"/>
      <c r="C469" s="141">
        <f>H469*I469</f>
        <v/>
      </c>
      <c r="D469" s="41" t="n"/>
      <c r="E469" s="41" t="n"/>
      <c r="F469" s="41" t="n"/>
      <c r="G469" s="42" t="n"/>
      <c r="H469" s="20" t="n"/>
      <c r="I469" s="20" t="n"/>
      <c r="J469" s="20" t="n"/>
    </row>
    <row r="470" ht="16.5" customFormat="1" customHeight="1" s="12">
      <c r="A470" s="17" t="n">
        <v>465</v>
      </c>
      <c r="B470" s="25" t="n"/>
      <c r="C470" s="141">
        <f>H470*I470</f>
        <v/>
      </c>
      <c r="D470" s="41" t="n"/>
      <c r="E470" s="41" t="n"/>
      <c r="F470" s="41" t="n"/>
      <c r="G470" s="42" t="n"/>
      <c r="H470" s="20" t="n"/>
      <c r="I470" s="20" t="n"/>
      <c r="J470" s="20" t="n"/>
    </row>
    <row r="471" ht="16.5" customFormat="1" customHeight="1" s="12">
      <c r="A471" s="17" t="n">
        <v>466</v>
      </c>
      <c r="B471" s="25" t="n"/>
      <c r="C471" s="141">
        <f>H471*I471</f>
        <v/>
      </c>
      <c r="D471" s="41" t="n"/>
      <c r="E471" s="41" t="n"/>
      <c r="F471" s="41" t="n"/>
      <c r="G471" s="42" t="n"/>
      <c r="H471" s="20" t="n"/>
      <c r="I471" s="20" t="n"/>
      <c r="J471" s="20" t="n"/>
    </row>
    <row r="472" ht="16.5" customFormat="1" customHeight="1" s="12">
      <c r="A472" s="17" t="n">
        <v>467</v>
      </c>
      <c r="B472" s="25" t="n"/>
      <c r="C472" s="141">
        <f>H472*I472</f>
        <v/>
      </c>
      <c r="D472" s="41" t="n"/>
      <c r="E472" s="41" t="n"/>
      <c r="F472" s="41" t="n"/>
      <c r="G472" s="42" t="n"/>
      <c r="H472" s="20" t="n"/>
      <c r="I472" s="20" t="n"/>
      <c r="J472" s="20" t="n"/>
    </row>
    <row r="473" ht="16.5" customFormat="1" customHeight="1" s="12">
      <c r="A473" s="17" t="n">
        <v>468</v>
      </c>
      <c r="B473" s="25" t="n"/>
      <c r="C473" s="141">
        <f>H473*I473</f>
        <v/>
      </c>
      <c r="D473" s="41" t="n"/>
      <c r="E473" s="41" t="n"/>
      <c r="F473" s="41" t="n"/>
      <c r="G473" s="42" t="n"/>
      <c r="H473" s="20" t="n"/>
      <c r="I473" s="20" t="n"/>
      <c r="J473" s="20" t="n"/>
    </row>
    <row r="474" ht="16.5" customFormat="1" customHeight="1" s="12">
      <c r="A474" s="17" t="n">
        <v>469</v>
      </c>
      <c r="B474" s="25" t="n"/>
      <c r="C474" s="141">
        <f>H474*I474</f>
        <v/>
      </c>
      <c r="D474" s="41" t="n"/>
      <c r="E474" s="41" t="n"/>
      <c r="F474" s="41" t="n"/>
      <c r="G474" s="42" t="n"/>
      <c r="H474" s="20" t="n"/>
      <c r="I474" s="20" t="n"/>
      <c r="J474" s="20" t="n"/>
    </row>
    <row r="475" ht="16.5" customFormat="1" customHeight="1" s="12">
      <c r="A475" s="17" t="n">
        <v>470</v>
      </c>
      <c r="B475" s="25" t="n"/>
      <c r="C475" s="141">
        <f>H475*I475</f>
        <v/>
      </c>
      <c r="D475" s="41" t="n"/>
      <c r="E475" s="41" t="n"/>
      <c r="F475" s="41" t="n"/>
      <c r="G475" s="42" t="n"/>
      <c r="H475" s="20" t="n"/>
      <c r="I475" s="20" t="n"/>
      <c r="J475" s="20" t="n"/>
    </row>
    <row r="476" ht="16.5" customFormat="1" customHeight="1" s="12">
      <c r="A476" s="17" t="n">
        <v>471</v>
      </c>
      <c r="B476" s="25" t="n"/>
      <c r="C476" s="141">
        <f>H476*I476</f>
        <v/>
      </c>
      <c r="D476" s="41" t="n"/>
      <c r="E476" s="41" t="n"/>
      <c r="F476" s="41" t="n"/>
      <c r="G476" s="42" t="n"/>
      <c r="H476" s="20" t="n"/>
      <c r="I476" s="20" t="n"/>
      <c r="J476" s="20" t="n"/>
    </row>
    <row r="477" ht="16.5" customFormat="1" customHeight="1" s="12">
      <c r="A477" s="17" t="n">
        <v>472</v>
      </c>
      <c r="B477" s="25" t="n"/>
      <c r="C477" s="141">
        <f>H477*I477</f>
        <v/>
      </c>
      <c r="D477" s="41" t="n"/>
      <c r="E477" s="41" t="n"/>
      <c r="F477" s="41" t="n"/>
      <c r="G477" s="42" t="n"/>
      <c r="H477" s="20" t="n"/>
      <c r="I477" s="20" t="n"/>
      <c r="J477" s="20" t="n"/>
    </row>
    <row r="478" ht="16.5" customFormat="1" customHeight="1" s="12">
      <c r="A478" s="17" t="n">
        <v>473</v>
      </c>
      <c r="B478" s="25" t="n"/>
      <c r="C478" s="141">
        <f>H478*I478</f>
        <v/>
      </c>
      <c r="D478" s="41" t="n"/>
      <c r="E478" s="41" t="n"/>
      <c r="F478" s="41" t="n"/>
      <c r="G478" s="42" t="n"/>
      <c r="H478" s="20" t="n"/>
      <c r="I478" s="20" t="n"/>
      <c r="J478" s="20" t="n"/>
    </row>
    <row r="479" ht="16.5" customFormat="1" customHeight="1" s="12">
      <c r="A479" s="17" t="n">
        <v>474</v>
      </c>
      <c r="B479" s="25" t="n"/>
      <c r="C479" s="141">
        <f>H479*I479</f>
        <v/>
      </c>
      <c r="D479" s="41" t="n"/>
      <c r="E479" s="41" t="n"/>
      <c r="F479" s="41" t="n"/>
      <c r="G479" s="42" t="n"/>
      <c r="H479" s="20" t="n"/>
      <c r="I479" s="20" t="n"/>
      <c r="J479" s="20" t="n"/>
    </row>
    <row r="480" ht="16.5" customFormat="1" customHeight="1" s="12">
      <c r="A480" s="17" t="n">
        <v>475</v>
      </c>
      <c r="B480" s="25" t="n"/>
      <c r="C480" s="141">
        <f>H480*I480</f>
        <v/>
      </c>
      <c r="D480" s="41" t="n"/>
      <c r="E480" s="41" t="n"/>
      <c r="F480" s="41" t="n"/>
      <c r="G480" s="42" t="n"/>
      <c r="H480" s="20" t="n"/>
      <c r="I480" s="20" t="n"/>
      <c r="J480" s="20" t="n"/>
    </row>
    <row r="481" ht="16.5" customFormat="1" customHeight="1" s="12">
      <c r="A481" s="17" t="n">
        <v>476</v>
      </c>
      <c r="B481" s="25" t="n"/>
      <c r="C481" s="141">
        <f>H481*I481</f>
        <v/>
      </c>
      <c r="D481" s="41" t="n"/>
      <c r="E481" s="41" t="n"/>
      <c r="F481" s="41" t="n"/>
      <c r="G481" s="42" t="n"/>
      <c r="H481" s="20" t="n"/>
      <c r="I481" s="20" t="n"/>
      <c r="J481" s="20" t="n"/>
    </row>
    <row r="482" ht="16.5" customFormat="1" customHeight="1" s="12">
      <c r="A482" s="17" t="n">
        <v>477</v>
      </c>
      <c r="B482" s="25" t="n"/>
      <c r="C482" s="141">
        <f>H482*I482</f>
        <v/>
      </c>
      <c r="D482" s="41" t="n"/>
      <c r="E482" s="41" t="n"/>
      <c r="F482" s="41" t="n"/>
      <c r="G482" s="42" t="n"/>
      <c r="H482" s="20" t="n"/>
      <c r="I482" s="20" t="n"/>
      <c r="J482" s="20" t="n"/>
    </row>
    <row r="483" ht="16.5" customFormat="1" customHeight="1" s="12">
      <c r="A483" s="17" t="n">
        <v>478</v>
      </c>
      <c r="B483" s="25" t="n"/>
      <c r="C483" s="141">
        <f>H483*I483</f>
        <v/>
      </c>
      <c r="D483" s="41" t="n"/>
      <c r="E483" s="41" t="n"/>
      <c r="F483" s="41" t="n"/>
      <c r="G483" s="42" t="n"/>
      <c r="H483" s="20" t="n"/>
      <c r="I483" s="20" t="n"/>
      <c r="J483" s="20" t="n"/>
    </row>
    <row r="484" ht="16.5" customFormat="1" customHeight="1" s="12">
      <c r="A484" s="17" t="n">
        <v>479</v>
      </c>
      <c r="B484" s="25" t="n"/>
      <c r="C484" s="141">
        <f>H484*I484</f>
        <v/>
      </c>
      <c r="D484" s="41" t="n"/>
      <c r="E484" s="41" t="n"/>
      <c r="F484" s="41" t="n"/>
      <c r="G484" s="42" t="n"/>
      <c r="H484" s="20" t="n"/>
      <c r="I484" s="20" t="n"/>
      <c r="J484" s="20" t="n"/>
    </row>
    <row r="485" ht="16.5" customFormat="1" customHeight="1" s="12">
      <c r="A485" s="17" t="n">
        <v>480</v>
      </c>
      <c r="B485" s="25" t="n"/>
      <c r="C485" s="141">
        <f>H485*I485</f>
        <v/>
      </c>
      <c r="D485" s="41" t="n"/>
      <c r="E485" s="41" t="n"/>
      <c r="F485" s="41" t="n"/>
      <c r="G485" s="42" t="n"/>
      <c r="H485" s="20" t="n"/>
      <c r="I485" s="20" t="n"/>
      <c r="J485" s="20" t="n"/>
    </row>
    <row r="486" ht="16.5" customFormat="1" customHeight="1" s="12">
      <c r="A486" s="17" t="n">
        <v>481</v>
      </c>
      <c r="B486" s="25" t="n"/>
      <c r="C486" s="141">
        <f>H486*I486</f>
        <v/>
      </c>
      <c r="D486" s="41" t="n"/>
      <c r="E486" s="41" t="n"/>
      <c r="F486" s="41" t="n"/>
      <c r="G486" s="42" t="n"/>
      <c r="H486" s="20" t="n"/>
      <c r="I486" s="20" t="n"/>
      <c r="J486" s="20" t="n"/>
    </row>
    <row r="487" ht="16.5" customFormat="1" customHeight="1" s="12">
      <c r="A487" s="17" t="n">
        <v>482</v>
      </c>
      <c r="B487" s="25" t="n"/>
      <c r="C487" s="141">
        <f>H487*I487</f>
        <v/>
      </c>
      <c r="D487" s="41" t="n"/>
      <c r="E487" s="41" t="n"/>
      <c r="F487" s="41" t="n"/>
      <c r="G487" s="42" t="n"/>
      <c r="H487" s="20" t="n"/>
      <c r="I487" s="20" t="n"/>
      <c r="J487" s="20" t="n"/>
    </row>
    <row r="488" ht="16.5" customFormat="1" customHeight="1" s="12">
      <c r="A488" s="17" t="n">
        <v>483</v>
      </c>
      <c r="B488" s="25" t="n"/>
      <c r="C488" s="141">
        <f>H488*I488</f>
        <v/>
      </c>
      <c r="D488" s="41" t="n"/>
      <c r="E488" s="41" t="n"/>
      <c r="F488" s="41" t="n"/>
      <c r="G488" s="42" t="n"/>
      <c r="H488" s="20" t="n"/>
      <c r="I488" s="20" t="n"/>
      <c r="J488" s="20" t="n"/>
    </row>
    <row r="489" ht="16.5" customFormat="1" customHeight="1" s="12">
      <c r="A489" s="17" t="n">
        <v>484</v>
      </c>
      <c r="B489" s="25" t="n"/>
      <c r="C489" s="141">
        <f>H489*I489</f>
        <v/>
      </c>
      <c r="D489" s="41" t="n"/>
      <c r="E489" s="41" t="n"/>
      <c r="F489" s="41" t="n"/>
      <c r="G489" s="42" t="n"/>
      <c r="H489" s="20" t="n"/>
      <c r="I489" s="20" t="n"/>
      <c r="J489" s="20" t="n"/>
    </row>
    <row r="490" ht="16.5" customFormat="1" customHeight="1" s="12">
      <c r="A490" s="17" t="n">
        <v>485</v>
      </c>
      <c r="B490" s="25" t="n"/>
      <c r="C490" s="141">
        <f>H490*I490</f>
        <v/>
      </c>
      <c r="D490" s="41" t="n"/>
      <c r="E490" s="41" t="n"/>
      <c r="F490" s="41" t="n"/>
      <c r="G490" s="42" t="n"/>
      <c r="H490" s="20" t="n"/>
      <c r="I490" s="20" t="n"/>
      <c r="J490" s="20" t="n"/>
    </row>
    <row r="491" ht="16.5" customFormat="1" customHeight="1" s="12">
      <c r="A491" s="17" t="n">
        <v>486</v>
      </c>
      <c r="B491" s="25" t="n"/>
      <c r="C491" s="141">
        <f>H491*I491</f>
        <v/>
      </c>
      <c r="D491" s="41" t="n"/>
      <c r="E491" s="41" t="n"/>
      <c r="F491" s="41" t="n"/>
      <c r="G491" s="42" t="n"/>
      <c r="H491" s="20" t="n"/>
      <c r="I491" s="20" t="n"/>
      <c r="J491" s="20" t="n"/>
    </row>
    <row r="492" ht="16.5" customFormat="1" customHeight="1" s="12">
      <c r="A492" s="17" t="n">
        <v>487</v>
      </c>
      <c r="B492" s="25" t="n"/>
      <c r="C492" s="141">
        <f>H492*I492</f>
        <v/>
      </c>
      <c r="D492" s="41" t="n"/>
      <c r="E492" s="41" t="n"/>
      <c r="F492" s="41" t="n"/>
      <c r="G492" s="42" t="n"/>
      <c r="H492" s="20" t="n"/>
      <c r="I492" s="20" t="n"/>
      <c r="J492" s="20" t="n"/>
    </row>
    <row r="493" ht="16.5" customFormat="1" customHeight="1" s="12">
      <c r="A493" s="17" t="n">
        <v>488</v>
      </c>
      <c r="B493" s="25" t="n"/>
      <c r="C493" s="141">
        <f>H493*I493</f>
        <v/>
      </c>
      <c r="D493" s="41" t="n"/>
      <c r="E493" s="41" t="n"/>
      <c r="F493" s="41" t="n"/>
      <c r="G493" s="42" t="n"/>
      <c r="H493" s="20" t="n"/>
      <c r="I493" s="20" t="n"/>
      <c r="J493" s="20" t="n"/>
    </row>
    <row r="494" ht="16.5" customFormat="1" customHeight="1" s="12">
      <c r="A494" s="17" t="n">
        <v>489</v>
      </c>
      <c r="B494" s="25" t="n"/>
      <c r="C494" s="141">
        <f>H494*I494</f>
        <v/>
      </c>
      <c r="D494" s="41" t="n"/>
      <c r="E494" s="41" t="n"/>
      <c r="F494" s="41" t="n"/>
      <c r="G494" s="42" t="n"/>
      <c r="H494" s="20" t="n"/>
      <c r="I494" s="20" t="n"/>
      <c r="J494" s="20" t="n"/>
    </row>
    <row r="495" ht="16.5" customFormat="1" customHeight="1" s="12">
      <c r="A495" s="17" t="n">
        <v>490</v>
      </c>
      <c r="B495" s="25" t="n"/>
      <c r="C495" s="141">
        <f>H495*I495</f>
        <v/>
      </c>
      <c r="D495" s="41" t="n"/>
      <c r="E495" s="41" t="n"/>
      <c r="F495" s="41" t="n"/>
      <c r="G495" s="42" t="n"/>
      <c r="H495" s="20" t="n"/>
      <c r="I495" s="20" t="n"/>
      <c r="J495" s="20" t="n"/>
    </row>
    <row r="496" ht="16.5" customFormat="1" customHeight="1" s="12">
      <c r="A496" s="17" t="n">
        <v>491</v>
      </c>
      <c r="B496" s="25" t="n"/>
      <c r="C496" s="141">
        <f>H496*I496</f>
        <v/>
      </c>
      <c r="D496" s="41" t="n"/>
      <c r="E496" s="41" t="n"/>
      <c r="F496" s="41" t="n"/>
      <c r="G496" s="42" t="n"/>
      <c r="H496" s="20" t="n"/>
      <c r="I496" s="20" t="n"/>
      <c r="J496" s="20" t="n"/>
    </row>
    <row r="497" ht="16.5" customFormat="1" customHeight="1" s="12">
      <c r="A497" s="17" t="n">
        <v>492</v>
      </c>
      <c r="B497" s="25" t="n"/>
      <c r="C497" s="141">
        <f>H497*I497</f>
        <v/>
      </c>
      <c r="D497" s="41" t="n"/>
      <c r="E497" s="41" t="n"/>
      <c r="F497" s="41" t="n"/>
      <c r="G497" s="42" t="n"/>
      <c r="H497" s="20" t="n"/>
      <c r="I497" s="20" t="n"/>
      <c r="J497" s="20" t="n"/>
    </row>
    <row r="498" ht="16.5" customFormat="1" customHeight="1" s="12">
      <c r="A498" s="17" t="n">
        <v>493</v>
      </c>
      <c r="B498" s="25" t="n"/>
      <c r="C498" s="141">
        <f>H498*I498</f>
        <v/>
      </c>
      <c r="D498" s="41" t="n"/>
      <c r="E498" s="41" t="n"/>
      <c r="F498" s="41" t="n"/>
      <c r="G498" s="42" t="n"/>
      <c r="H498" s="20" t="n"/>
      <c r="I498" s="20" t="n"/>
      <c r="J498" s="20" t="n"/>
    </row>
    <row r="499" ht="16.5" customFormat="1" customHeight="1" s="12">
      <c r="A499" s="17" t="n">
        <v>494</v>
      </c>
      <c r="B499" s="25" t="n"/>
      <c r="C499" s="141">
        <f>H499*I499</f>
        <v/>
      </c>
      <c r="D499" s="41" t="n"/>
      <c r="E499" s="41" t="n"/>
      <c r="F499" s="41" t="n"/>
      <c r="G499" s="42" t="n"/>
      <c r="H499" s="20" t="n"/>
      <c r="I499" s="20" t="n"/>
      <c r="J499" s="20" t="n"/>
    </row>
    <row r="500" ht="16.5" customFormat="1" customHeight="1" s="12">
      <c r="A500" s="17" t="n">
        <v>495</v>
      </c>
      <c r="B500" s="25" t="n"/>
      <c r="C500" s="141">
        <f>H500*I500</f>
        <v/>
      </c>
      <c r="D500" s="41" t="n"/>
      <c r="E500" s="41" t="n"/>
      <c r="F500" s="41" t="n"/>
      <c r="G500" s="42" t="n"/>
      <c r="H500" s="20" t="n"/>
      <c r="I500" s="20" t="n"/>
      <c r="J500" s="20" t="n"/>
    </row>
    <row r="501" ht="16.5" customFormat="1" customHeight="1" s="12">
      <c r="A501" s="17" t="n">
        <v>496</v>
      </c>
      <c r="B501" s="25" t="n"/>
      <c r="C501" s="141">
        <f>H501*I501</f>
        <v/>
      </c>
      <c r="D501" s="41" t="n"/>
      <c r="E501" s="41" t="n"/>
      <c r="F501" s="41" t="n"/>
      <c r="G501" s="42" t="n"/>
      <c r="H501" s="20" t="n"/>
      <c r="I501" s="20" t="n"/>
      <c r="J501" s="20" t="n"/>
    </row>
    <row r="502" ht="16.5" customFormat="1" customHeight="1" s="12">
      <c r="A502" s="17" t="n">
        <v>497</v>
      </c>
      <c r="B502" s="25" t="n"/>
      <c r="C502" s="141">
        <f>H502*I502</f>
        <v/>
      </c>
      <c r="D502" s="41" t="n"/>
      <c r="E502" s="41" t="n"/>
      <c r="F502" s="41" t="n"/>
      <c r="G502" s="42" t="n"/>
      <c r="H502" s="20" t="n"/>
      <c r="I502" s="20" t="n"/>
      <c r="J502" s="20" t="n"/>
    </row>
    <row r="503" ht="16.5" customFormat="1" customHeight="1" s="12">
      <c r="A503" s="17" t="n">
        <v>498</v>
      </c>
      <c r="B503" s="25" t="n"/>
      <c r="C503" s="141">
        <f>H503*I503</f>
        <v/>
      </c>
      <c r="D503" s="41" t="n"/>
      <c r="E503" s="41" t="n"/>
      <c r="F503" s="41" t="n"/>
      <c r="G503" s="42" t="n"/>
      <c r="H503" s="20" t="n"/>
      <c r="I503" s="20" t="n"/>
      <c r="J503" s="20" t="n"/>
    </row>
    <row r="504" ht="16.5" customFormat="1" customHeight="1" s="12">
      <c r="A504" s="17" t="n">
        <v>499</v>
      </c>
      <c r="B504" s="25" t="n"/>
      <c r="C504" s="141">
        <f>H504*I504</f>
        <v/>
      </c>
      <c r="D504" s="41" t="n"/>
      <c r="E504" s="41" t="n"/>
      <c r="F504" s="41" t="n"/>
      <c r="G504" s="42" t="n"/>
      <c r="H504" s="20" t="n"/>
      <c r="I504" s="20" t="n"/>
      <c r="J504" s="20" t="n"/>
    </row>
    <row r="505" ht="16.5" customFormat="1" customHeight="1" s="12">
      <c r="A505" s="17" t="n">
        <v>500</v>
      </c>
      <c r="B505" s="25" t="n"/>
      <c r="C505" s="141">
        <f>H505*I505</f>
        <v/>
      </c>
      <c r="D505" s="41" t="n"/>
      <c r="E505" s="41" t="n"/>
      <c r="F505" s="41" t="n"/>
      <c r="G505" s="42" t="n"/>
      <c r="H505" s="20" t="n"/>
      <c r="I505" s="20" t="n"/>
      <c r="J505" s="20" t="n"/>
    </row>
    <row r="506" ht="16.5" customFormat="1" customHeight="1" s="12">
      <c r="A506" s="11" t="n"/>
      <c r="B506" s="11" t="n"/>
      <c r="C506" s="23" t="n"/>
      <c r="D506" s="11" t="n"/>
      <c r="E506" s="11" t="n"/>
      <c r="F506" s="11" t="n"/>
      <c r="G506" s="1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517">
    <mergeCell ref="F237:G237"/>
    <mergeCell ref="F408:G408"/>
    <mergeCell ref="F473:G473"/>
    <mergeCell ref="F116:G116"/>
    <mergeCell ref="F16:G16"/>
    <mergeCell ref="F187:G187"/>
    <mergeCell ref="F485:G485"/>
    <mergeCell ref="F103:G103"/>
    <mergeCell ref="F423:G423"/>
    <mergeCell ref="F174:G174"/>
    <mergeCell ref="F108:G108"/>
    <mergeCell ref="F168:G168"/>
    <mergeCell ref="F339:G339"/>
    <mergeCell ref="F410:G410"/>
    <mergeCell ref="F466:G466"/>
    <mergeCell ref="F472:G472"/>
    <mergeCell ref="F143:G143"/>
    <mergeCell ref="F118:G118"/>
    <mergeCell ref="F403:G403"/>
    <mergeCell ref="F497:G497"/>
    <mergeCell ref="F326:G326"/>
    <mergeCell ref="F70:G70"/>
    <mergeCell ref="F263:G263"/>
    <mergeCell ref="F355:G355"/>
    <mergeCell ref="F134:G134"/>
    <mergeCell ref="F23:G23"/>
    <mergeCell ref="F121:G121"/>
    <mergeCell ref="F357:G357"/>
    <mergeCell ref="F96:G96"/>
    <mergeCell ref="F71:G71"/>
    <mergeCell ref="F332:G332"/>
    <mergeCell ref="F421:G421"/>
    <mergeCell ref="F98:G98"/>
    <mergeCell ref="F396:G396"/>
    <mergeCell ref="F175:G175"/>
    <mergeCell ref="F162:G162"/>
    <mergeCell ref="F398:G398"/>
    <mergeCell ref="F251:G251"/>
    <mergeCell ref="F322:G322"/>
    <mergeCell ref="F189:G189"/>
    <mergeCell ref="F18:G18"/>
    <mergeCell ref="F487:G487"/>
    <mergeCell ref="F238:G238"/>
    <mergeCell ref="F42:G42"/>
    <mergeCell ref="F45:G45"/>
    <mergeCell ref="F474:G474"/>
    <mergeCell ref="F66:G66"/>
    <mergeCell ref="F17:G17"/>
    <mergeCell ref="F126:G126"/>
    <mergeCell ref="F188:G188"/>
    <mergeCell ref="F253:G253"/>
    <mergeCell ref="F109:G109"/>
    <mergeCell ref="F351:G351"/>
    <mergeCell ref="F47:G47"/>
    <mergeCell ref="F240:G240"/>
    <mergeCell ref="F345:G345"/>
    <mergeCell ref="F411:G411"/>
    <mergeCell ref="F190:G190"/>
    <mergeCell ref="F46:G46"/>
    <mergeCell ref="F488:G488"/>
    <mergeCell ref="F317:G317"/>
    <mergeCell ref="F111:G111"/>
    <mergeCell ref="F409:G409"/>
    <mergeCell ref="F61:G61"/>
    <mergeCell ref="F48:G48"/>
    <mergeCell ref="F346:G346"/>
    <mergeCell ref="F477:G477"/>
    <mergeCell ref="F73:G73"/>
    <mergeCell ref="F266:G266"/>
    <mergeCell ref="F371:G371"/>
    <mergeCell ref="F442:G442"/>
    <mergeCell ref="F502:G502"/>
    <mergeCell ref="B6:E6"/>
    <mergeCell ref="F137:G137"/>
    <mergeCell ref="F208:G208"/>
    <mergeCell ref="F379:G379"/>
    <mergeCell ref="F124:G124"/>
    <mergeCell ref="F422:G422"/>
    <mergeCell ref="F360:G360"/>
    <mergeCell ref="F493:G493"/>
    <mergeCell ref="F201:G201"/>
    <mergeCell ref="F164:G164"/>
    <mergeCell ref="F139:G139"/>
    <mergeCell ref="F335:G335"/>
    <mergeCell ref="F406:G406"/>
    <mergeCell ref="F114:G114"/>
    <mergeCell ref="F424:G424"/>
    <mergeCell ref="F228:G228"/>
    <mergeCell ref="F203:G203"/>
    <mergeCell ref="F399:G399"/>
    <mergeCell ref="F470:G470"/>
    <mergeCell ref="F259:G259"/>
    <mergeCell ref="F495:G495"/>
    <mergeCell ref="F261:G261"/>
    <mergeCell ref="F117:G117"/>
    <mergeCell ref="F92:G92"/>
    <mergeCell ref="F353:G353"/>
    <mergeCell ref="F254:G254"/>
    <mergeCell ref="F496:G496"/>
    <mergeCell ref="F490:G490"/>
    <mergeCell ref="F119:G119"/>
    <mergeCell ref="F290:G290"/>
    <mergeCell ref="F417:G417"/>
    <mergeCell ref="F69:G69"/>
    <mergeCell ref="F367:G367"/>
    <mergeCell ref="F256:G256"/>
    <mergeCell ref="F427:G427"/>
    <mergeCell ref="F498:G498"/>
    <mergeCell ref="F112:G112"/>
    <mergeCell ref="F183:G183"/>
    <mergeCell ref="F354:G354"/>
    <mergeCell ref="F348:G348"/>
    <mergeCell ref="F419:G419"/>
    <mergeCell ref="F193:G193"/>
    <mergeCell ref="F127:G127"/>
    <mergeCell ref="F285:G285"/>
    <mergeCell ref="A3:A4"/>
    <mergeCell ref="F51:G51"/>
    <mergeCell ref="F145:G145"/>
    <mergeCell ref="F272:G272"/>
    <mergeCell ref="F443:G443"/>
    <mergeCell ref="I5:I6"/>
    <mergeCell ref="F38:G38"/>
    <mergeCell ref="F209:G209"/>
    <mergeCell ref="F380:G380"/>
    <mergeCell ref="F274:G274"/>
    <mergeCell ref="F445:G445"/>
    <mergeCell ref="F432:G432"/>
    <mergeCell ref="F140:G140"/>
    <mergeCell ref="F211:G211"/>
    <mergeCell ref="F382:G382"/>
    <mergeCell ref="F67:G67"/>
    <mergeCell ref="F338:G338"/>
    <mergeCell ref="F186:G186"/>
    <mergeCell ref="F82:G82"/>
    <mergeCell ref="F269:G269"/>
    <mergeCell ref="F440:G440"/>
    <mergeCell ref="F486:G486"/>
    <mergeCell ref="F206:G206"/>
    <mergeCell ref="F29:G29"/>
    <mergeCell ref="F300:G300"/>
    <mergeCell ref="F344:G344"/>
    <mergeCell ref="F158:G158"/>
    <mergeCell ref="F329:G329"/>
    <mergeCell ref="F133:G133"/>
    <mergeCell ref="F369:G369"/>
    <mergeCell ref="F418:G418"/>
    <mergeCell ref="F356:G356"/>
    <mergeCell ref="F160:G160"/>
    <mergeCell ref="F135:G135"/>
    <mergeCell ref="F433:G433"/>
    <mergeCell ref="F122:G122"/>
    <mergeCell ref="F153:G153"/>
    <mergeCell ref="F420:G420"/>
    <mergeCell ref="F224:G224"/>
    <mergeCell ref="F491:G491"/>
    <mergeCell ref="F72:G72"/>
    <mergeCell ref="F199:G199"/>
    <mergeCell ref="F370:G370"/>
    <mergeCell ref="F435:G435"/>
    <mergeCell ref="F484:G484"/>
    <mergeCell ref="F293:G293"/>
    <mergeCell ref="F88:G88"/>
    <mergeCell ref="F359:G359"/>
    <mergeCell ref="F148:G148"/>
    <mergeCell ref="F275:G275"/>
    <mergeCell ref="F446:G446"/>
    <mergeCell ref="F54:G54"/>
    <mergeCell ref="B3:B4"/>
    <mergeCell ref="F19:G19"/>
    <mergeCell ref="F212:G212"/>
    <mergeCell ref="F146:G146"/>
    <mergeCell ref="F388:G388"/>
    <mergeCell ref="F6:G6"/>
    <mergeCell ref="F277:G277"/>
    <mergeCell ref="F448:G448"/>
    <mergeCell ref="F304:G304"/>
    <mergeCell ref="F375:G375"/>
    <mergeCell ref="F83:G83"/>
    <mergeCell ref="F276:G276"/>
    <mergeCell ref="F214:G214"/>
    <mergeCell ref="F319:G319"/>
    <mergeCell ref="F368:G368"/>
    <mergeCell ref="F306:G306"/>
    <mergeCell ref="F20:G20"/>
    <mergeCell ref="F85:G85"/>
    <mergeCell ref="F383:G383"/>
    <mergeCell ref="F464:G464"/>
    <mergeCell ref="F303:G303"/>
    <mergeCell ref="F230:G230"/>
    <mergeCell ref="F401:G401"/>
    <mergeCell ref="F9:G9"/>
    <mergeCell ref="F167:G167"/>
    <mergeCell ref="F161:G161"/>
    <mergeCell ref="F459:G459"/>
    <mergeCell ref="F288:G288"/>
    <mergeCell ref="F136:G136"/>
    <mergeCell ref="F207:G207"/>
    <mergeCell ref="F225:G225"/>
    <mergeCell ref="F461:G461"/>
    <mergeCell ref="F271:G271"/>
    <mergeCell ref="F436:G436"/>
    <mergeCell ref="F227:G227"/>
    <mergeCell ref="F202:G202"/>
    <mergeCell ref="F283:G283"/>
    <mergeCell ref="F298:G298"/>
    <mergeCell ref="F154:G154"/>
    <mergeCell ref="F325:G325"/>
    <mergeCell ref="F390:G390"/>
    <mergeCell ref="F414:G414"/>
    <mergeCell ref="F291:G291"/>
    <mergeCell ref="F91:G91"/>
    <mergeCell ref="F389:G389"/>
    <mergeCell ref="F327:G327"/>
    <mergeCell ref="F156:G156"/>
    <mergeCell ref="F454:G454"/>
    <mergeCell ref="F180:G180"/>
    <mergeCell ref="H3:H4"/>
    <mergeCell ref="F416:G416"/>
    <mergeCell ref="J3:J4"/>
    <mergeCell ref="F22:G22"/>
    <mergeCell ref="F155:G155"/>
    <mergeCell ref="F93:G93"/>
    <mergeCell ref="F264:G264"/>
    <mergeCell ref="F149:G149"/>
    <mergeCell ref="F220:G220"/>
    <mergeCell ref="F391:G391"/>
    <mergeCell ref="F385:G385"/>
    <mergeCell ref="H5:H6"/>
    <mergeCell ref="J5:J6"/>
    <mergeCell ref="F151:G151"/>
    <mergeCell ref="F222:G222"/>
    <mergeCell ref="C1:E1"/>
    <mergeCell ref="F11:G11"/>
    <mergeCell ref="F182:G182"/>
    <mergeCell ref="F296:G296"/>
    <mergeCell ref="F467:G467"/>
    <mergeCell ref="F246:G246"/>
    <mergeCell ref="F40:G40"/>
    <mergeCell ref="F233:G233"/>
    <mergeCell ref="F469:G469"/>
    <mergeCell ref="F12:G12"/>
    <mergeCell ref="F177:G177"/>
    <mergeCell ref="F444:G444"/>
    <mergeCell ref="F248:G248"/>
    <mergeCell ref="F104:G104"/>
    <mergeCell ref="F297:G297"/>
    <mergeCell ref="F235:G235"/>
    <mergeCell ref="F340:G340"/>
    <mergeCell ref="F462:G462"/>
    <mergeCell ref="F41:G41"/>
    <mergeCell ref="F35:G35"/>
    <mergeCell ref="F302:G302"/>
    <mergeCell ref="F106:G106"/>
    <mergeCell ref="F404:G404"/>
    <mergeCell ref="F243:G243"/>
    <mergeCell ref="F366:G366"/>
    <mergeCell ref="F130:G130"/>
    <mergeCell ref="F480:G480"/>
    <mergeCell ref="F157:G157"/>
    <mergeCell ref="F132:G132"/>
    <mergeCell ref="F328:G328"/>
    <mergeCell ref="F455:G455"/>
    <mergeCell ref="F430:G430"/>
    <mergeCell ref="F234:G234"/>
    <mergeCell ref="F172:G172"/>
    <mergeCell ref="F221:G221"/>
    <mergeCell ref="F196:G196"/>
    <mergeCell ref="F463:G463"/>
    <mergeCell ref="F392:G392"/>
    <mergeCell ref="F25:G25"/>
    <mergeCell ref="F457:G457"/>
    <mergeCell ref="F236:G236"/>
    <mergeCell ref="F223:G223"/>
    <mergeCell ref="F394:G394"/>
    <mergeCell ref="F173:G173"/>
    <mergeCell ref="I3:I4"/>
    <mergeCell ref="F287:G287"/>
    <mergeCell ref="F458:G458"/>
    <mergeCell ref="F247:G247"/>
    <mergeCell ref="F125:G125"/>
    <mergeCell ref="F185:G185"/>
    <mergeCell ref="F318:G318"/>
    <mergeCell ref="F483:G483"/>
    <mergeCell ref="F312:G312"/>
    <mergeCell ref="F13:G13"/>
    <mergeCell ref="F56:G56"/>
    <mergeCell ref="F249:G249"/>
    <mergeCell ref="F105:G105"/>
    <mergeCell ref="F43:G43"/>
    <mergeCell ref="F176:G176"/>
    <mergeCell ref="F347:G347"/>
    <mergeCell ref="F170:G170"/>
    <mergeCell ref="F341:G341"/>
    <mergeCell ref="F412:G412"/>
    <mergeCell ref="F468:G468"/>
    <mergeCell ref="F120:G120"/>
    <mergeCell ref="F313:G313"/>
    <mergeCell ref="F278:G278"/>
    <mergeCell ref="F107:G107"/>
    <mergeCell ref="F349:G349"/>
    <mergeCell ref="F405:G405"/>
    <mergeCell ref="F57:G57"/>
    <mergeCell ref="F171:G171"/>
    <mergeCell ref="F407:G407"/>
    <mergeCell ref="F438:G438"/>
    <mergeCell ref="F267:G267"/>
    <mergeCell ref="F204:G204"/>
    <mergeCell ref="F33:G33"/>
    <mergeCell ref="D3:D4"/>
    <mergeCell ref="F198:G198"/>
    <mergeCell ref="F465:G465"/>
    <mergeCell ref="F489:G489"/>
    <mergeCell ref="F75:G75"/>
    <mergeCell ref="F231:G231"/>
    <mergeCell ref="F262:G262"/>
    <mergeCell ref="F62:G62"/>
    <mergeCell ref="F31:G31"/>
    <mergeCell ref="F273:G273"/>
    <mergeCell ref="F28:G28"/>
    <mergeCell ref="F239:G239"/>
    <mergeCell ref="F39:G39"/>
    <mergeCell ref="F337:G337"/>
    <mergeCell ref="F64:G64"/>
    <mergeCell ref="F257:G257"/>
    <mergeCell ref="F178:G178"/>
    <mergeCell ref="F476:G476"/>
    <mergeCell ref="F128:G128"/>
    <mergeCell ref="F426:G426"/>
    <mergeCell ref="F364:G364"/>
    <mergeCell ref="F413:G413"/>
    <mergeCell ref="F217:G217"/>
    <mergeCell ref="F478:G478"/>
    <mergeCell ref="F192:G192"/>
    <mergeCell ref="F21:G21"/>
    <mergeCell ref="F252:G252"/>
    <mergeCell ref="F428:G428"/>
    <mergeCell ref="F415:G415"/>
    <mergeCell ref="F194:G194"/>
    <mergeCell ref="F50:G50"/>
    <mergeCell ref="F492:G492"/>
    <mergeCell ref="F110:G110"/>
    <mergeCell ref="F181:G181"/>
    <mergeCell ref="F479:G479"/>
    <mergeCell ref="F141:G141"/>
    <mergeCell ref="F439:G439"/>
    <mergeCell ref="F504:G504"/>
    <mergeCell ref="F333:G333"/>
    <mergeCell ref="H1:J1"/>
    <mergeCell ref="F270:G270"/>
    <mergeCell ref="F441:G441"/>
    <mergeCell ref="F362:G362"/>
    <mergeCell ref="F245:G245"/>
    <mergeCell ref="F49:G49"/>
    <mergeCell ref="F14:G14"/>
    <mergeCell ref="F505:G505"/>
    <mergeCell ref="F1:G1"/>
    <mergeCell ref="F499:G499"/>
    <mergeCell ref="F299:G299"/>
    <mergeCell ref="F78:G78"/>
    <mergeCell ref="F205:G205"/>
    <mergeCell ref="F376:G376"/>
    <mergeCell ref="F265:G265"/>
    <mergeCell ref="F65:G65"/>
    <mergeCell ref="F314:G314"/>
    <mergeCell ref="F363:G363"/>
    <mergeCell ref="F55:G55"/>
    <mergeCell ref="F365:G365"/>
    <mergeCell ref="F169:G169"/>
    <mergeCell ref="F129:G129"/>
    <mergeCell ref="F200:G200"/>
    <mergeCell ref="F131:G131"/>
    <mergeCell ref="F258:G258"/>
    <mergeCell ref="F58:G58"/>
    <mergeCell ref="F429:G429"/>
    <mergeCell ref="F500:G500"/>
    <mergeCell ref="F52:G52"/>
    <mergeCell ref="F494:G494"/>
    <mergeCell ref="F294:G294"/>
    <mergeCell ref="F350:G350"/>
    <mergeCell ref="F37:G37"/>
    <mergeCell ref="F481:G481"/>
    <mergeCell ref="F195:G195"/>
    <mergeCell ref="F260:G260"/>
    <mergeCell ref="F60:G60"/>
    <mergeCell ref="F431:G431"/>
    <mergeCell ref="F358:G358"/>
    <mergeCell ref="F352:G352"/>
    <mergeCell ref="F197:G197"/>
    <mergeCell ref="F53:G53"/>
    <mergeCell ref="F289:G289"/>
    <mergeCell ref="F482:G482"/>
    <mergeCell ref="F68:G68"/>
    <mergeCell ref="F3:F4"/>
    <mergeCell ref="F84:G84"/>
    <mergeCell ref="F320:G320"/>
    <mergeCell ref="F447:G447"/>
    <mergeCell ref="F434:G434"/>
    <mergeCell ref="F15:G15"/>
    <mergeCell ref="F86:G86"/>
    <mergeCell ref="F142:G142"/>
    <mergeCell ref="F213:G213"/>
    <mergeCell ref="F384:G384"/>
    <mergeCell ref="F80:G80"/>
    <mergeCell ref="F378:G378"/>
    <mergeCell ref="F449:G449"/>
    <mergeCell ref="F79:G79"/>
    <mergeCell ref="F321:G321"/>
    <mergeCell ref="F144:G144"/>
    <mergeCell ref="F315:G315"/>
    <mergeCell ref="F215:G215"/>
    <mergeCell ref="F386:G386"/>
    <mergeCell ref="F373:G373"/>
    <mergeCell ref="F81:G81"/>
    <mergeCell ref="F460:G460"/>
    <mergeCell ref="F210:G210"/>
    <mergeCell ref="F381:G381"/>
    <mergeCell ref="F226:G226"/>
    <mergeCell ref="F437:G437"/>
    <mergeCell ref="F241:G241"/>
    <mergeCell ref="F284:G284"/>
    <mergeCell ref="F10:G10"/>
    <mergeCell ref="F63:G63"/>
    <mergeCell ref="F501:G501"/>
    <mergeCell ref="F34:G34"/>
    <mergeCell ref="F99:G99"/>
    <mergeCell ref="F292:G292"/>
    <mergeCell ref="F397:G397"/>
    <mergeCell ref="F286:G286"/>
    <mergeCell ref="F74:G74"/>
    <mergeCell ref="F372:G372"/>
    <mergeCell ref="F310:G310"/>
    <mergeCell ref="F503:G503"/>
    <mergeCell ref="F30:G30"/>
    <mergeCell ref="F5:G5"/>
    <mergeCell ref="F138:G138"/>
    <mergeCell ref="F76:G76"/>
    <mergeCell ref="F374:G374"/>
    <mergeCell ref="F94:G94"/>
    <mergeCell ref="F361:G361"/>
    <mergeCell ref="F150:G150"/>
    <mergeCell ref="F475:G475"/>
    <mergeCell ref="F152:G152"/>
    <mergeCell ref="F323:G323"/>
    <mergeCell ref="F279:G279"/>
    <mergeCell ref="F450:G450"/>
    <mergeCell ref="C3:C4"/>
    <mergeCell ref="E3:E4"/>
    <mergeCell ref="F216:G216"/>
    <mergeCell ref="F387:G387"/>
    <mergeCell ref="F343:G343"/>
    <mergeCell ref="F281:G281"/>
    <mergeCell ref="F452:G452"/>
    <mergeCell ref="F87:G87"/>
    <mergeCell ref="F147:G147"/>
    <mergeCell ref="F280:G280"/>
    <mergeCell ref="F218:G218"/>
    <mergeCell ref="F451:G451"/>
    <mergeCell ref="F89:G89"/>
    <mergeCell ref="F309:G309"/>
    <mergeCell ref="F7:G7"/>
    <mergeCell ref="F305:G305"/>
    <mergeCell ref="F242:G242"/>
    <mergeCell ref="F36:G36"/>
    <mergeCell ref="F307:G307"/>
    <mergeCell ref="F163:G163"/>
    <mergeCell ref="F334:G334"/>
    <mergeCell ref="F101:G101"/>
    <mergeCell ref="F8:G8"/>
    <mergeCell ref="F244:G244"/>
    <mergeCell ref="F100:G100"/>
    <mergeCell ref="F342:G342"/>
    <mergeCell ref="F165:G165"/>
    <mergeCell ref="F336:G336"/>
    <mergeCell ref="F311:G311"/>
    <mergeCell ref="F115:G115"/>
    <mergeCell ref="F308:G308"/>
    <mergeCell ref="F102:G102"/>
    <mergeCell ref="F425:G425"/>
    <mergeCell ref="F400:G400"/>
    <mergeCell ref="F229:G229"/>
    <mergeCell ref="F77:G77"/>
    <mergeCell ref="F166:G166"/>
    <mergeCell ref="F402:G402"/>
    <mergeCell ref="F377:G377"/>
    <mergeCell ref="F191:G191"/>
    <mergeCell ref="F255:G255"/>
    <mergeCell ref="F316:G316"/>
    <mergeCell ref="F59:G59"/>
    <mergeCell ref="F301:G301"/>
    <mergeCell ref="F24:G24"/>
    <mergeCell ref="F295:G295"/>
    <mergeCell ref="F95:G95"/>
    <mergeCell ref="F393:G393"/>
    <mergeCell ref="F331:G331"/>
    <mergeCell ref="F282:G282"/>
    <mergeCell ref="F453:G453"/>
    <mergeCell ref="F113:G113"/>
    <mergeCell ref="F232:G232"/>
    <mergeCell ref="F32:G32"/>
    <mergeCell ref="F26:G26"/>
    <mergeCell ref="F330:G330"/>
    <mergeCell ref="F268:G268"/>
    <mergeCell ref="F97:G97"/>
    <mergeCell ref="F219:G219"/>
    <mergeCell ref="F395:G395"/>
    <mergeCell ref="F159:G159"/>
    <mergeCell ref="F324:G324"/>
    <mergeCell ref="F90:G90"/>
    <mergeCell ref="F184:G184"/>
    <mergeCell ref="F27:G27"/>
    <mergeCell ref="F456:G456"/>
    <mergeCell ref="F471:G471"/>
    <mergeCell ref="F123:G123"/>
    <mergeCell ref="F179:G179"/>
    <mergeCell ref="F250:G250"/>
    <mergeCell ref="F44:G44"/>
  </mergeCells>
  <conditionalFormatting sqref="G3:G4">
    <cfRule type="cellIs" priority="2" operator="lessThan" dxfId="1">
      <formula>0</formula>
    </cfRule>
    <cfRule type="cellIs" priority="3" operator="greaterThanOrEqual" dxfId="0">
      <formula>0</formula>
    </cfRule>
  </conditionalFormatting>
  <pageMargins left="0.25" right="0.25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2026-10-21T12:09:07Z</dcterms:modified>
  <cp:lastModifiedBy>劉祐廷</cp:lastModifiedBy>
  <cp:revision>39</cp:revision>
  <cp:lastPrinted>2024-02-22T01:18:13Z</cp:lastPrinted>
</cp:coreProperties>
</file>