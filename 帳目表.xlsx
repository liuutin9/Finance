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0" fontId="8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10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0" fontId="11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11" fillId="12" borderId="5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11" fillId="29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9" fillId="10" borderId="5" applyAlignment="1" applyProtection="1" pivotButton="0" quotePrefix="0" xfId="0">
      <alignment horizontal="center" vertical="center"/>
      <protection locked="0" hidden="0"/>
    </xf>
    <xf numFmtId="40" fontId="10" fillId="18" borderId="10" applyAlignment="1" pivotButton="0" quotePrefix="0" xfId="0">
      <alignment horizontal="right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8" borderId="3" applyAlignment="1" applyProtection="1" pivotButton="0" quotePrefix="0" xfId="0">
      <alignment horizontal="center" vertical="center"/>
      <protection locked="0" hidden="0"/>
    </xf>
    <xf numFmtId="40" fontId="10" fillId="9" borderId="2" applyAlignment="1" pivotButton="0" quotePrefix="0" xfId="0">
      <alignment horizontal="right" vertical="center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11" fillId="29" borderId="5" applyAlignment="1" pivotButton="0" quotePrefix="0" xfId="0">
      <alignment horizontal="center" vertical="center"/>
    </xf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0" fontId="8" fillId="6" borderId="2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40" fontId="10" fillId="13" borderId="4" applyAlignment="1" applyProtection="1" pivotButton="0" quotePrefix="0" xfId="0">
      <alignment horizontal="right" vertical="center"/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0" fontId="8" fillId="2" borderId="1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1" fillId="26" borderId="11" applyAlignment="1" applyProtection="1" pivotButton="0" quotePrefix="0" xfId="0">
      <alignment horizontal="center" vertical="center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7194.648999999999</v>
                </pt>
                <pt idx="2">
                  <v>409311.0719</v>
                </pt>
                <pt idx="3">
                  <v>270373.0885833901</v>
                </pt>
                <pt idx="4">
                  <v>238252.414785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208486.7577</v>
                </pt>
                <pt idx="1">
                  <v>200824.3142</v>
                </pt>
                <pt idx="2">
                  <v>264897.5083380934</v>
                </pt>
                <pt idx="3">
                  <v>70238.80941</v>
                </pt>
                <pt idx="4">
                  <v>7576.32029</v>
                </pt>
                <pt idx="5">
                  <v>9995.722659999999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04" t="inlineStr">
        <is>
          <t>新台幣</t>
        </is>
      </c>
      <c r="B1" s="60" t="n"/>
      <c r="C1" s="60" t="n"/>
      <c r="D1" s="52" t="n"/>
      <c r="E1" s="98" t="inlineStr">
        <is>
          <t>美元</t>
        </is>
      </c>
      <c r="F1" s="60" t="n"/>
      <c r="G1" s="60" t="n"/>
      <c r="H1" s="52" t="n"/>
      <c r="I1" s="95" t="inlineStr">
        <is>
          <t>台股</t>
        </is>
      </c>
      <c r="J1" s="60" t="n"/>
      <c r="K1" s="60" t="n"/>
      <c r="L1" s="52" t="n"/>
      <c r="M1" s="59" t="inlineStr">
        <is>
          <t>美股</t>
        </is>
      </c>
      <c r="N1" s="60" t="n"/>
      <c r="O1" s="60" t="n"/>
      <c r="P1" s="52" t="n"/>
      <c r="Q1" s="77" t="inlineStr">
        <is>
          <t>加密貨幣</t>
        </is>
      </c>
      <c r="R1" s="60" t="n"/>
      <c r="S1" s="60" t="n"/>
      <c r="T1" s="52" t="n"/>
    </row>
    <row r="2" ht="17.25" customHeight="1">
      <c r="A2" s="74" t="inlineStr">
        <is>
          <t>永豐大戶活存</t>
        </is>
      </c>
      <c r="B2" s="46" t="n"/>
      <c r="C2" s="41" t="n">
        <v>201256</v>
      </c>
      <c r="D2" s="42" t="n"/>
      <c r="E2" s="45" t="inlineStr">
        <is>
          <t>美元活存</t>
        </is>
      </c>
      <c r="F2" s="46" t="n"/>
      <c r="G2" s="81" t="n">
        <v>220</v>
      </c>
      <c r="H2" s="42" t="n"/>
      <c r="I2" s="82" t="inlineStr">
        <is>
          <t>006208</t>
        </is>
      </c>
      <c r="J2" s="83" t="n"/>
      <c r="K2" s="96">
        <f>'006208'!D3*'006208'!C3*0.997</f>
        <v/>
      </c>
      <c r="L2" s="42" t="n"/>
      <c r="M2" s="87" t="inlineStr">
        <is>
          <t>VT</t>
        </is>
      </c>
      <c r="N2" s="83" t="n"/>
      <c r="O2" s="100">
        <f>VT!H3*VT!D3</f>
        <v/>
      </c>
      <c r="P2" s="42" t="n"/>
      <c r="Q2" s="101" t="inlineStr">
        <is>
          <t>BTC</t>
        </is>
      </c>
      <c r="R2" s="83" t="n"/>
      <c r="S2" s="67">
        <f>(682.1+1166.72+328.25)*投資!G2</f>
        <v/>
      </c>
      <c r="T2" s="42" t="n"/>
    </row>
    <row r="3" ht="17.25" customHeight="1">
      <c r="A3" s="62" t="inlineStr">
        <is>
          <t>玉山銀行活存</t>
        </is>
      </c>
      <c r="B3" s="44" t="n"/>
      <c r="C3" s="64" t="n">
        <v>11601</v>
      </c>
      <c r="D3" s="50" t="n"/>
      <c r="E3" s="65" t="inlineStr">
        <is>
          <t>Chase</t>
        </is>
      </c>
      <c r="F3" s="44" t="n"/>
      <c r="G3" s="49" t="n">
        <v>0</v>
      </c>
      <c r="H3" s="50" t="n"/>
      <c r="I3" s="57" t="inlineStr">
        <is>
          <t>2890</t>
        </is>
      </c>
      <c r="J3" s="56" t="n"/>
      <c r="K3" s="58">
        <f>'2890'!D3*'2890'!C3*0.997</f>
        <v/>
      </c>
      <c r="L3" s="50" t="n"/>
      <c r="M3" s="55" t="inlineStr">
        <is>
          <t>VOO</t>
        </is>
      </c>
      <c r="N3" s="56" t="n"/>
      <c r="O3" s="88">
        <f>VOO!C3*VOO!D3</f>
        <v/>
      </c>
      <c r="P3" s="50" t="n"/>
      <c r="Q3" s="89" t="inlineStr">
        <is>
          <t>ETH</t>
        </is>
      </c>
      <c r="R3" s="56" t="n"/>
      <c r="S3" s="63">
        <f>234.83*投資!G2</f>
        <v/>
      </c>
      <c r="T3" s="50" t="n"/>
    </row>
    <row r="4" ht="15.75" customHeight="1">
      <c r="A4" s="62" t="inlineStr">
        <is>
          <t>一銀iLeo活存</t>
        </is>
      </c>
      <c r="B4" s="44" t="n"/>
      <c r="C4" s="64" t="n">
        <v>150039</v>
      </c>
      <c r="D4" s="50" t="n"/>
      <c r="E4" s="65" t="inlineStr">
        <is>
          <t>Ether.fi</t>
        </is>
      </c>
      <c r="F4" s="44" t="n"/>
      <c r="G4" s="49" t="n">
        <v>3</v>
      </c>
      <c r="H4" s="50" t="n"/>
      <c r="I4" s="57" t="n"/>
      <c r="J4" s="56" t="n"/>
      <c r="K4" s="58" t="n"/>
      <c r="L4" s="50" t="n"/>
      <c r="M4" s="55" t="n"/>
      <c r="N4" s="56" t="n"/>
      <c r="O4" s="88" t="n"/>
      <c r="P4" s="50" t="n"/>
      <c r="Q4" s="89" t="inlineStr">
        <is>
          <t>SOL</t>
        </is>
      </c>
      <c r="R4" s="56" t="n"/>
      <c r="S4" s="63">
        <f>309.82*投資!G2</f>
        <v/>
      </c>
      <c r="T4" s="50" t="n"/>
    </row>
    <row r="5" ht="16.5" customHeight="1">
      <c r="A5" s="62" t="inlineStr">
        <is>
          <t>中華郵政活存</t>
        </is>
      </c>
      <c r="B5" s="44" t="n"/>
      <c r="C5" s="64" t="n">
        <v>550</v>
      </c>
      <c r="D5" s="50" t="n"/>
      <c r="E5" s="65" t="n"/>
      <c r="F5" s="44" t="n"/>
      <c r="G5" s="49" t="n"/>
      <c r="H5" s="50" t="n"/>
      <c r="I5" s="51" t="n"/>
      <c r="J5" s="44" t="n"/>
      <c r="K5" s="58" t="n"/>
      <c r="L5" s="50" t="n"/>
      <c r="M5" s="55" t="n"/>
      <c r="N5" s="56" t="n"/>
      <c r="O5" s="88" t="n"/>
      <c r="P5" s="50" t="n"/>
      <c r="Q5" s="89" t="inlineStr">
        <is>
          <t>SUI</t>
        </is>
      </c>
      <c r="R5" s="56" t="n"/>
      <c r="S5" s="63">
        <f>15.45*投資!G2</f>
        <v/>
      </c>
      <c r="T5" s="50" t="n"/>
    </row>
    <row r="6" ht="17.25" customHeight="1">
      <c r="A6" s="62" t="inlineStr">
        <is>
          <t>中國信託活存</t>
        </is>
      </c>
      <c r="B6" s="44" t="n"/>
      <c r="C6" s="64" t="n">
        <v>700</v>
      </c>
      <c r="D6" s="50" t="n"/>
      <c r="E6" s="65" t="n"/>
      <c r="F6" s="44" t="n"/>
      <c r="G6" s="49" t="n"/>
      <c r="H6" s="50" t="n"/>
      <c r="I6" s="51" t="n"/>
      <c r="J6" s="44" t="n"/>
      <c r="K6" s="58" t="n"/>
      <c r="L6" s="50" t="n"/>
      <c r="M6" s="43" t="n"/>
      <c r="N6" s="44" t="n"/>
      <c r="O6" s="88" t="n"/>
      <c r="P6" s="50" t="n"/>
      <c r="Q6" s="61" t="inlineStr">
        <is>
          <t>USDT</t>
        </is>
      </c>
      <c r="R6" s="44" t="n"/>
      <c r="S6" s="63">
        <f>(502.19+483.32+301.6+2206.02+151.975)*投資!G2</f>
        <v/>
      </c>
      <c r="T6" s="50" t="n"/>
    </row>
    <row r="7" ht="17.25" customHeight="1">
      <c r="A7" s="62" t="inlineStr">
        <is>
          <t>華南Sny活存</t>
        </is>
      </c>
      <c r="B7" s="44" t="n"/>
      <c r="C7" s="64" t="n">
        <v>100189</v>
      </c>
      <c r="D7" s="50" t="n"/>
      <c r="E7" s="65" t="n"/>
      <c r="F7" s="44" t="n"/>
      <c r="G7" s="49" t="n"/>
      <c r="H7" s="50" t="n"/>
      <c r="I7" s="51" t="n"/>
      <c r="J7" s="44" t="n"/>
      <c r="K7" s="58" t="n"/>
      <c r="L7" s="50" t="n"/>
      <c r="M7" s="43" t="n"/>
      <c r="N7" s="44" t="n"/>
      <c r="O7" s="88" t="n"/>
      <c r="P7" s="50" t="n"/>
      <c r="Q7" s="61" t="inlineStr">
        <is>
          <t>USDC</t>
        </is>
      </c>
      <c r="R7" s="44" t="n"/>
      <c r="S7" s="63">
        <f>(501.74+500.68)*投資!G2</f>
        <v/>
      </c>
      <c r="T7" s="50" t="n"/>
    </row>
    <row r="8" ht="17.25" customHeight="1">
      <c r="A8" s="62" t="inlineStr">
        <is>
          <t>定存</t>
        </is>
      </c>
      <c r="B8" s="44" t="n"/>
      <c r="C8" s="64" t="n">
        <v>60000</v>
      </c>
      <c r="D8" s="50" t="n"/>
      <c r="E8" s="65" t="n"/>
      <c r="F8" s="44" t="n"/>
      <c r="G8" s="49" t="n"/>
      <c r="H8" s="50" t="n"/>
      <c r="I8" s="51" t="n"/>
      <c r="J8" s="44" t="n"/>
      <c r="K8" s="58" t="n"/>
      <c r="L8" s="50" t="n"/>
      <c r="M8" s="43" t="n"/>
      <c r="N8" s="44" t="n"/>
      <c r="O8" s="88" t="n"/>
      <c r="P8" s="50" t="n"/>
      <c r="Q8" s="61" t="n"/>
      <c r="R8" s="44" t="n"/>
      <c r="S8" s="63" t="n"/>
      <c r="T8" s="50" t="n"/>
    </row>
    <row r="9" ht="17.25" customHeight="1" thickBot="1">
      <c r="A9" s="102" t="inlineStr">
        <is>
          <t>錢包</t>
        </is>
      </c>
      <c r="B9" s="103" t="n"/>
      <c r="C9" s="70" t="n">
        <v>800</v>
      </c>
      <c r="D9" s="71" t="n"/>
      <c r="E9" s="72" t="n"/>
      <c r="F9" s="73" t="n"/>
      <c r="G9" s="78" t="n"/>
      <c r="H9" s="79" t="n"/>
      <c r="I9" s="80" t="n"/>
      <c r="J9" s="73" t="n"/>
      <c r="K9" s="84" t="n"/>
      <c r="L9" s="79" t="n"/>
      <c r="M9" s="85" t="n"/>
      <c r="N9" s="73" t="n"/>
      <c r="O9" s="86" t="n"/>
      <c r="P9" s="79" t="n"/>
      <c r="Q9" s="97" t="n"/>
      <c r="R9" s="73" t="n"/>
      <c r="S9" s="99" t="n"/>
      <c r="T9" s="79" t="n"/>
    </row>
    <row r="10" ht="17.25" customHeight="1" thickBot="1">
      <c r="A10" s="68" t="inlineStr">
        <is>
          <t>總計</t>
        </is>
      </c>
      <c r="B10" s="69" t="n"/>
      <c r="C10" s="66">
        <f>SUM(C2:D9)</f>
        <v/>
      </c>
      <c r="D10" s="48" t="n"/>
      <c r="E10" s="68" t="inlineStr">
        <is>
          <t>總計</t>
        </is>
      </c>
      <c r="F10" s="69" t="n"/>
      <c r="G10" s="66">
        <f>SUM(G2:H9)*投資!G2</f>
        <v/>
      </c>
      <c r="H10" s="48" t="n"/>
      <c r="I10" s="68" t="inlineStr">
        <is>
          <t>總計</t>
        </is>
      </c>
      <c r="J10" s="69" t="n"/>
      <c r="K10" s="66">
        <f>SUM(K2:L9)</f>
        <v/>
      </c>
      <c r="L10" s="48" t="n"/>
      <c r="M10" s="68" t="inlineStr">
        <is>
          <t>總計</t>
        </is>
      </c>
      <c r="N10" s="69" t="n"/>
      <c r="O10" s="66">
        <f>SUM(O2:P9)</f>
        <v/>
      </c>
      <c r="P10" s="48" t="n"/>
      <c r="Q10" s="68" t="inlineStr">
        <is>
          <t>總計</t>
        </is>
      </c>
      <c r="R10" s="69" t="n"/>
      <c r="S10" s="66">
        <f>SUM(S2:T9)</f>
        <v/>
      </c>
      <c r="T10" s="48" t="n"/>
    </row>
    <row r="11" ht="31.5" customHeight="1" thickBot="1">
      <c r="A11" s="94" t="inlineStr">
        <is>
          <t>總資產</t>
        </is>
      </c>
      <c r="B11" s="48" t="n"/>
      <c r="C11" s="47" t="inlineStr">
        <is>
          <t>負債</t>
        </is>
      </c>
      <c r="D11" s="48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5">
        <f>C10+G10+K10+O10+S10</f>
        <v/>
      </c>
      <c r="B12" s="52" t="n"/>
      <c r="C12" s="90">
        <f>12012</f>
        <v/>
      </c>
      <c r="D12" s="91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3" t="n"/>
      <c r="B13" s="54" t="n"/>
      <c r="C13" s="92" t="n"/>
      <c r="D13" s="93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4" t="inlineStr">
        <is>
          <t>淨資產</t>
        </is>
      </c>
      <c r="B14" s="52" t="n"/>
      <c r="C14" s="47" t="inlineStr">
        <is>
          <t>負債率</t>
        </is>
      </c>
      <c r="D14" s="52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3" t="n"/>
      <c r="B15" s="54" t="n"/>
      <c r="C15" s="53" t="n"/>
      <c r="D15" s="54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75">
        <f>A12-C12</f>
        <v/>
      </c>
      <c r="B16" s="52" t="n"/>
      <c r="C16" s="76">
        <f>C12/A12</f>
        <v/>
      </c>
      <c r="D16" s="52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3" t="n"/>
      <c r="B17" s="54" t="n"/>
      <c r="C17" s="53" t="n"/>
      <c r="D17" s="54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32.307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60" sqref="C60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006208.TW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n">
        <v>238.25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109" t="n">
        <v>0</v>
      </c>
      <c r="E16" s="109" t="n">
        <v>0</v>
      </c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109" t="n">
        <v>0</v>
      </c>
      <c r="E27" s="109" t="n">
        <v>0</v>
      </c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109" t="n">
        <v>0</v>
      </c>
      <c r="E33" s="109" t="n">
        <v>0</v>
      </c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109" t="n">
        <v>0</v>
      </c>
      <c r="E44" s="109" t="n">
        <v>0</v>
      </c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109" t="n">
        <v>0</v>
      </c>
      <c r="E50" s="109" t="n">
        <v>0</v>
      </c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109" t="n">
        <v>0</v>
      </c>
      <c r="E60" s="109" t="n">
        <v>0</v>
      </c>
      <c r="F60" s="109" t="n">
        <v>4175</v>
      </c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9" sqref="F59:G59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2890.TW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27" t="n">
        <v>39.55</v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109" t="n">
        <v>103</v>
      </c>
      <c r="E56" s="109" t="n">
        <v>0</v>
      </c>
      <c r="F56" s="109" t="n">
        <v>5687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VT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5183.65815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VOO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10">
        <f>H3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>
        <v>22905.01686</v>
      </c>
      <c r="I3" s="140">
        <f>投資!G2</f>
        <v/>
      </c>
      <c r="J3" s="119">
        <f>SUM(J7:J505)</f>
        <v/>
      </c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5:G45"/>
    <mergeCell ref="F487:G487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00692.TW</t>
        </is>
      </c>
      <c r="G1" s="44" t="n"/>
      <c r="H1" s="115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n"/>
      <c r="I2" s="120" t="n"/>
      <c r="J2" s="19" t="n"/>
    </row>
    <row r="3" ht="18.75" customHeight="1">
      <c r="A3" s="125">
        <f>(E3-F3)/D3</f>
        <v/>
      </c>
      <c r="B3" s="123">
        <f>E3/D3</f>
        <v/>
      </c>
      <c r="C3" s="110" t="inlineStr">
        <is>
          <t>61.25</t>
        </is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n"/>
      <c r="I3" s="135" t="n"/>
      <c r="J3" s="119" t="n"/>
    </row>
    <row r="4" ht="18.75" customHeight="1">
      <c r="A4" s="108" t="n"/>
      <c r="B4" s="108" t="n"/>
      <c r="C4" s="111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n"/>
      <c r="I5" s="120" t="n"/>
      <c r="J5" s="120" t="n"/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7" t="inlineStr">
        <is>
          <t>存股統計專用表格</t>
        </is>
      </c>
      <c r="D1" s="118" t="n"/>
      <c r="E1" s="118" t="n"/>
      <c r="F1" s="114" t="inlineStr">
        <is>
          <t>BND</t>
        </is>
      </c>
      <c r="G1" s="44" t="n"/>
      <c r="H1" s="115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20" t="inlineStr">
        <is>
          <t>目前市價</t>
        </is>
      </c>
      <c r="I2" s="120" t="inlineStr">
        <is>
          <t>目前匯率</t>
        </is>
      </c>
      <c r="J2" s="120" t="inlineStr">
        <is>
          <t>總成本</t>
        </is>
      </c>
    </row>
    <row r="3" ht="18.75" customHeight="1">
      <c r="A3" s="125">
        <f>(E3-F3)/D3</f>
        <v/>
      </c>
      <c r="B3" s="123">
        <f>E3/D3</f>
        <v/>
      </c>
      <c r="C3" s="127">
        <f>H3*I3</f>
        <v/>
      </c>
      <c r="D3" s="116">
        <f>SUM(D7:D505)</f>
        <v/>
      </c>
      <c r="E3" s="112">
        <f>SUM(E7:E505)</f>
        <v/>
      </c>
      <c r="F3" s="112">
        <f>SUM(F6:G505)</f>
        <v/>
      </c>
      <c r="G3" s="7">
        <f>G4/E3</f>
        <v/>
      </c>
      <c r="H3" s="122" t="inlineStr">
        <is>
          <t>74.18</t>
        </is>
      </c>
      <c r="I3" s="135">
        <f>投資!G2</f>
        <v/>
      </c>
      <c r="J3" s="119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1" t="n"/>
      <c r="I4" s="111" t="n"/>
      <c r="J4" s="111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13" t="inlineStr">
        <is>
          <t>股利</t>
        </is>
      </c>
      <c r="G5" s="44" t="n"/>
      <c r="H5" s="120" t="inlineStr">
        <is>
          <t>購入價格</t>
        </is>
      </c>
      <c r="I5" s="120" t="inlineStr">
        <is>
          <t>購入匯率</t>
        </is>
      </c>
      <c r="J5" s="120" t="inlineStr">
        <is>
          <t>購入金額</t>
        </is>
      </c>
    </row>
    <row r="6">
      <c r="A6" s="17" t="n">
        <v>1</v>
      </c>
      <c r="B6" s="126" t="inlineStr">
        <is>
          <t>借券收入</t>
        </is>
      </c>
      <c r="C6" s="106" t="n"/>
      <c r="D6" s="106" t="n"/>
      <c r="E6" s="44" t="n"/>
      <c r="F6" s="124" t="n"/>
      <c r="G6" s="44" t="n"/>
      <c r="H6" s="111" t="n"/>
      <c r="I6" s="111" t="n"/>
      <c r="J6" s="111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189:G189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2026-08-05T09:18:00Z</dcterms:modified>
  <cp:lastModifiedBy>劉祐廷</cp:lastModifiedBy>
  <cp:revision>39</cp:revision>
  <cp:lastPrinted>2024-02-22T01:18:13Z</cp:lastPrinted>
</cp:coreProperties>
</file>