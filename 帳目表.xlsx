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C6B79EE4-2A0F-4891-9538-75425566217D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G4" i="6" s="1"/>
  <c r="G3" i="6" s="1"/>
  <c r="D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C49" i="5" s="1"/>
  <c r="E49" i="5"/>
  <c r="E3" i="5" s="1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C3" i="5" s="1"/>
  <c r="D3" i="5"/>
  <c r="F3" i="4"/>
  <c r="E3" i="4"/>
  <c r="D3" i="4"/>
  <c r="G4" i="4" s="1"/>
  <c r="G3" i="4" s="1"/>
  <c r="F3" i="3"/>
  <c r="E3" i="3"/>
  <c r="D3" i="3"/>
  <c r="K2" i="1" s="1"/>
  <c r="B3" i="3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B3" i="4" l="1"/>
  <c r="A3" i="3"/>
  <c r="G4" i="3"/>
  <c r="G3" i="3" s="1"/>
  <c r="G4" i="5"/>
  <c r="G3" i="5" s="1"/>
  <c r="B3" i="5"/>
  <c r="A10" i="2"/>
  <c r="A3" i="5"/>
  <c r="O2" i="1"/>
  <c r="O10" i="1" s="1"/>
  <c r="B10" i="2" s="1"/>
  <c r="C11" i="2" s="1"/>
  <c r="C10" i="2" s="1"/>
  <c r="K3" i="1"/>
  <c r="K10" i="1" s="1"/>
  <c r="A3" i="6"/>
  <c r="A3" i="2"/>
  <c r="E10" i="2" s="1"/>
  <c r="A3" i="4"/>
  <c r="B3" i="6"/>
  <c r="A3" i="7"/>
  <c r="B3" i="2" l="1"/>
  <c r="A12" i="1"/>
  <c r="A16" i="1" l="1"/>
  <c r="C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<sst xmlns="http://schemas.openxmlformats.org/spreadsheetml/2006/main" count="375" uniqueCount="157">
  <si>
    <t>台股</t>
  </si>
  <si>
    <t>折讓款</t>
  </si>
  <si>
    <t>交易稅</t>
  </si>
  <si>
    <t>匯率</t>
  </si>
  <si>
    <t>總成本</t>
  </si>
  <si>
    <t>總現值</t>
  </si>
  <si>
    <t>報酬率(含息)</t>
  </si>
  <si>
    <t>美股</t>
  </si>
  <si>
    <t>Total</t>
  </si>
  <si>
    <t>加密貨幣</t>
  </si>
  <si>
    <t>新台幣</t>
  </si>
  <si>
    <t>美元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</si>
  <si>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</si>
  <si>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</si>
  <si>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</si>
  <si>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</si>
  <si>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</si>
  <si>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</si>
  <si>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</si>
  <si>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</si>
  <si>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</si>
  <si>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</si>
  <si>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</si>
  <si>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</si>
  <si>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</si>
  <si>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</si>
  <si>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</si>
  <si>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</si>
  <si>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</si>
  <si>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</si>
  <si>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</si>
  <si>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</si>
  <si>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</si>
  <si>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</si>
  <si>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</si>
  <si>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</si>
  <si>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</si>
  <si>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</si>
  <si>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</si>
  <si>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</si>
  <si>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</si>
  <si>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</si>
  <si>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</si>
  <si>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</si>
  <si>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</si>
  <si>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</si>
  <si>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</si>
  <si>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</si>
  <si>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</si>
  <si>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</si>
  <si>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</si>
  <si>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</si>
  <si>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</si>
  <si>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</si>
  <si>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</si>
  <si>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</si>
  <si>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</si>
  <si>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</si>
  <si>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</si>
  <si>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</si>
  <si>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</si>
  <si>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</si>
  <si>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</si>
  <si>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</si>
  <si>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</si>
  <si>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</si>
  <si>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</si>
  <si>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</si>
  <si>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</si>
  <si>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</si>
  <si>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</si>
  <si>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</si>
  <si>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</si>
  <si>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</si>
  <si>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</si>
  <si>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</si>
  <si>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</si>
  <si>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</si>
  <si>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</si>
  <si>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</si>
  <si>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</si>
  <si>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</si>
  <si>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</si>
  <si>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</si>
  <si>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</si>
  <si>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</si>
  <si>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</si>
  <si>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</si>
  <si>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</si>
  <si>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</si>
  <si>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</si>
  <si>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</si>
  <si>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</si>
  <si>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</si>
  <si>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</si>
  <si>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</si>
  <si>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</si>
  <si>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</si>
  <si>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</si>
  <si>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</si>
  <si>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</si>
  <si>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</si>
  <si>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</si>
  <si>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</si>
  <si>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</si>
  <si>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</si>
  <si>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</si>
  <si>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</si>
  <si>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</si>
  <si>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</si>
  <si>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</si>
  <si>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</si>
  <si>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</si>
  <si>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</si>
  <si>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</si>
  <si>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</si>
  <si>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</si>
  <si>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</si>
  <si>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</si>
  <si>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</si>
  <si>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</si>
  <si>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</si>
  <si>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</si>
  <si>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</si>
  <si>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</si>
  <si>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</si>
  <si>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</si>
  <si>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</si>
  <si>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</si>
  <si>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</si>
  <si>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</si>
  <si>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</si>
  <si>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</si>
  <si>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</si>
  <si>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</si>
  <si>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</si>
  <si>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</si>
  <si>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</si>
  <si>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</si>
  <si>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</si>
  <si>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</si>
  <si>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</si>
  <si>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</si>
  <si>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</si>
  <si>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</si>
  <si>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</si>
  <si>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</si>
  <si>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</si>
  <si>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</si>
  <si>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</si>
  <si>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</si>
  <si>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</si>
  <si>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</si>
  <si>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</si>
  <si>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</si>
  <si>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</si>
  <si>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2026.03.06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</si>
</sst>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B8A-4DF4-B690-F90405FFD2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B8A-4DF4-B690-F90405FFD2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B8A-4DF4-B690-F90405FFD2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B8A-4DF4-B690-F90405FFD2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B8A-4DF4-B690-F90405FFD24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534120</c:v>
                </c:pt>
                <c:pt idx="1">
                  <c:v>133867.63710000002</c:v>
                </c:pt>
                <c:pt idx="2">
                  <c:v>307133.92569999996</c:v>
                </c:pt>
                <c:pt idx="3">
                  <c:v>227472.25907750399</c:v>
                </c:pt>
                <c:pt idx="4">
                  <c:v>138416.652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8A-4DF4-B690-F90405FFD24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FB-407F-9FF2-351BD633E2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FB-407F-9FF2-351BD633E2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FB-407F-9FF2-351BD633E2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FB-407F-9FF2-351BD633E2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FB-407F-9FF2-351BD633E2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FB-407F-9FF2-351BD633E24D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146108.7548</c:v>
                </c:pt>
                <c:pt idx="1">
                  <c:v>161025.17089999997</c:v>
                </c:pt>
                <c:pt idx="2">
                  <c:v>227472.25907750399</c:v>
                </c:pt>
                <c:pt idx="3">
                  <c:v>65851.281900000002</c:v>
                </c:pt>
                <c:pt idx="4">
                  <c:v>6520.4248500000003</c:v>
                </c:pt>
                <c:pt idx="5">
                  <c:v>9085.5868499999997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FB-407F-9FF2-351BD633E24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topLeftCell="H1" zoomScaleNormal="100" workbookViewId="0">
      <selection activeCell="S7" sqref="S7:T7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7" t="s">
        <v>10</v>
      </c>
      <c r="B1" s="51"/>
      <c r="C1" s="51"/>
      <c r="D1" s="52"/>
      <c r="E1" s="64" t="s">
        <v>11</v>
      </c>
      <c r="F1" s="51"/>
      <c r="G1" s="51"/>
      <c r="H1" s="52"/>
      <c r="I1" s="50" t="s">
        <v>0</v>
      </c>
      <c r="J1" s="51"/>
      <c r="K1" s="51"/>
      <c r="L1" s="52"/>
      <c r="M1" s="98" t="s">
        <v>7</v>
      </c>
      <c r="N1" s="51"/>
      <c r="O1" s="51"/>
      <c r="P1" s="52"/>
      <c r="Q1" s="86" t="s">
        <v>9</v>
      </c>
      <c r="R1" s="51"/>
      <c r="S1" s="51"/>
      <c r="T1" s="52"/>
    </row>
    <row r="2" spans="1:26" ht="17.25" customHeight="1">
      <c r="A2" s="104" t="s">
        <v>12</v>
      </c>
      <c r="B2" s="105"/>
      <c r="C2" s="106">
        <v>222392</v>
      </c>
      <c r="D2" s="61"/>
      <c r="E2" s="107" t="s">
        <v>13</v>
      </c>
      <c r="F2" s="105"/>
      <c r="G2" s="90">
        <v>4.5999999999999996</v>
      </c>
      <c r="H2" s="61"/>
      <c r="I2" s="91" t="s">
        <v>14</v>
      </c>
      <c r="J2" s="70"/>
      <c r="K2" s="60">
        <f>'006208'!D3*'006208'!C3*0.997</f>
        <v>146108.7548</v>
      </c>
      <c r="L2" s="61"/>
      <c r="M2" s="96" t="s">
        <v>15</v>
      </c>
      <c r="N2" s="70"/>
      <c r="O2" s="68">
        <f>VT!H3*VT!D3</f>
        <v>227472.25907750399</v>
      </c>
      <c r="P2" s="61"/>
      <c r="Q2" s="69" t="s">
        <v>16</v>
      </c>
      <c r="R2" s="70"/>
      <c r="S2" s="99">
        <f>(1009.71+712.13+342.14)*投資!G2</f>
        <v>65851.281900000002</v>
      </c>
      <c r="T2" s="61"/>
    </row>
    <row r="3" spans="1:26" ht="17.25" customHeight="1">
      <c r="A3" s="54" t="s">
        <v>17</v>
      </c>
      <c r="B3" s="43"/>
      <c r="C3" s="49">
        <v>25651</v>
      </c>
      <c r="D3" s="47"/>
      <c r="E3" s="53" t="s">
        <v>18</v>
      </c>
      <c r="F3" s="43"/>
      <c r="G3" s="84">
        <v>4191.22</v>
      </c>
      <c r="H3" s="47"/>
      <c r="I3" s="103" t="s">
        <v>19</v>
      </c>
      <c r="J3" s="82"/>
      <c r="K3" s="87">
        <f>'2890'!D3*'2890'!C3*0.997</f>
        <v>161025.17089999997</v>
      </c>
      <c r="L3" s="47"/>
      <c r="M3" s="94"/>
      <c r="N3" s="82"/>
      <c r="O3" s="46"/>
      <c r="P3" s="47"/>
      <c r="Q3" s="81" t="s">
        <v>20</v>
      </c>
      <c r="R3" s="82"/>
      <c r="S3" s="55">
        <f>204.37*投資!G2</f>
        <v>6520.4248500000003</v>
      </c>
      <c r="T3" s="47"/>
    </row>
    <row r="4" spans="1:26" ht="15.75" customHeight="1">
      <c r="A4" s="54" t="s">
        <v>21</v>
      </c>
      <c r="B4" s="43"/>
      <c r="C4" s="49">
        <v>120075</v>
      </c>
      <c r="D4" s="47"/>
      <c r="E4" s="53"/>
      <c r="F4" s="43"/>
      <c r="G4" s="84"/>
      <c r="H4" s="47"/>
      <c r="I4" s="103"/>
      <c r="J4" s="82"/>
      <c r="K4" s="87"/>
      <c r="L4" s="47"/>
      <c r="M4" s="94"/>
      <c r="N4" s="82"/>
      <c r="O4" s="46"/>
      <c r="P4" s="47"/>
      <c r="Q4" s="81" t="s">
        <v>22</v>
      </c>
      <c r="R4" s="82"/>
      <c r="S4" s="55">
        <f>284.77*投資!G2</f>
        <v>9085.5868499999997</v>
      </c>
      <c r="T4" s="47"/>
    </row>
    <row r="5" spans="1:26" ht="16.5" customHeight="1">
      <c r="A5" s="54" t="s">
        <v>23</v>
      </c>
      <c r="B5" s="43"/>
      <c r="C5" s="49">
        <v>0</v>
      </c>
      <c r="D5" s="47"/>
      <c r="E5" s="53"/>
      <c r="F5" s="43"/>
      <c r="G5" s="84"/>
      <c r="H5" s="47"/>
      <c r="I5" s="80"/>
      <c r="J5" s="43"/>
      <c r="K5" s="87"/>
      <c r="L5" s="47"/>
      <c r="M5" s="94"/>
      <c r="N5" s="82"/>
      <c r="O5" s="46"/>
      <c r="P5" s="47"/>
      <c r="Q5" s="81" t="s">
        <v>24</v>
      </c>
      <c r="R5" s="82"/>
      <c r="S5" s="55">
        <f>8.52*投資!G2</f>
        <v>271.8306</v>
      </c>
      <c r="T5" s="47"/>
    </row>
    <row r="6" spans="1:26" ht="17.25" customHeight="1">
      <c r="A6" s="54" t="s">
        <v>25</v>
      </c>
      <c r="B6" s="43"/>
      <c r="C6" s="49">
        <v>2</v>
      </c>
      <c r="D6" s="47"/>
      <c r="E6" s="53"/>
      <c r="F6" s="43"/>
      <c r="G6" s="84"/>
      <c r="H6" s="47"/>
      <c r="I6" s="80"/>
      <c r="J6" s="43"/>
      <c r="K6" s="87"/>
      <c r="L6" s="47"/>
      <c r="M6" s="67"/>
      <c r="N6" s="43"/>
      <c r="O6" s="46"/>
      <c r="P6" s="47"/>
      <c r="Q6" s="48" t="s">
        <v>26</v>
      </c>
      <c r="R6" s="43"/>
      <c r="S6" s="55">
        <f>(365.09+507.87+295.29)*投資!G2</f>
        <v>37273.016250000001</v>
      </c>
      <c r="T6" s="47"/>
    </row>
    <row r="7" spans="1:26" ht="17.25" customHeight="1">
      <c r="A7" s="54" t="s">
        <v>27</v>
      </c>
      <c r="B7" s="43"/>
      <c r="C7" s="49">
        <v>100000</v>
      </c>
      <c r="D7" s="47"/>
      <c r="E7" s="53"/>
      <c r="F7" s="43"/>
      <c r="G7" s="84"/>
      <c r="H7" s="47"/>
      <c r="I7" s="80"/>
      <c r="J7" s="43"/>
      <c r="K7" s="87"/>
      <c r="L7" s="47"/>
      <c r="M7" s="67"/>
      <c r="N7" s="43"/>
      <c r="O7" s="46"/>
      <c r="P7" s="47"/>
      <c r="Q7" s="48" t="s">
        <v>28</v>
      </c>
      <c r="R7" s="43"/>
      <c r="S7" s="55">
        <f>(502.41+106.1)*投資!G2</f>
        <v>19414.511549999999</v>
      </c>
      <c r="T7" s="47"/>
    </row>
    <row r="8" spans="1:26" ht="17.25" customHeight="1">
      <c r="A8" s="54" t="s">
        <v>29</v>
      </c>
      <c r="B8" s="43"/>
      <c r="C8" s="49">
        <v>60000</v>
      </c>
      <c r="D8" s="47"/>
      <c r="E8" s="53"/>
      <c r="F8" s="43"/>
      <c r="G8" s="84"/>
      <c r="H8" s="47"/>
      <c r="I8" s="80"/>
      <c r="J8" s="43"/>
      <c r="K8" s="87"/>
      <c r="L8" s="47"/>
      <c r="M8" s="67"/>
      <c r="N8" s="43"/>
      <c r="O8" s="46"/>
      <c r="P8" s="47"/>
      <c r="Q8" s="48"/>
      <c r="R8" s="43"/>
      <c r="S8" s="55"/>
      <c r="T8" s="47"/>
    </row>
    <row r="9" spans="1:26" ht="17.25" customHeight="1" thickBot="1">
      <c r="A9" s="71" t="s">
        <v>30</v>
      </c>
      <c r="B9" s="72"/>
      <c r="C9" s="100">
        <v>6000</v>
      </c>
      <c r="D9" s="101"/>
      <c r="E9" s="102"/>
      <c r="F9" s="63"/>
      <c r="G9" s="88"/>
      <c r="H9" s="66"/>
      <c r="I9" s="89"/>
      <c r="J9" s="63"/>
      <c r="K9" s="92"/>
      <c r="L9" s="66"/>
      <c r="M9" s="93"/>
      <c r="N9" s="63"/>
      <c r="O9" s="95"/>
      <c r="P9" s="66"/>
      <c r="Q9" s="62"/>
      <c r="R9" s="63"/>
      <c r="S9" s="65"/>
      <c r="T9" s="66"/>
    </row>
    <row r="10" spans="1:26" ht="17.25" customHeight="1" thickBot="1">
      <c r="A10" s="56" t="s">
        <v>31</v>
      </c>
      <c r="B10" s="57"/>
      <c r="C10" s="58">
        <f>SUM(C2:D9)</f>
        <v>534120</v>
      </c>
      <c r="D10" s="59"/>
      <c r="E10" s="56" t="s">
        <v>31</v>
      </c>
      <c r="F10" s="57"/>
      <c r="G10" s="58">
        <f>SUM(G2:H9)*投資!G2</f>
        <v>133867.63710000002</v>
      </c>
      <c r="H10" s="59"/>
      <c r="I10" s="56" t="s">
        <v>31</v>
      </c>
      <c r="J10" s="57"/>
      <c r="K10" s="58">
        <f>SUM(K2:L9)</f>
        <v>307133.92569999996</v>
      </c>
      <c r="L10" s="59"/>
      <c r="M10" s="56" t="s">
        <v>31</v>
      </c>
      <c r="N10" s="57"/>
      <c r="O10" s="58">
        <f>SUM(O2:P9)</f>
        <v>227472.25907750399</v>
      </c>
      <c r="P10" s="59"/>
      <c r="Q10" s="56" t="s">
        <v>31</v>
      </c>
      <c r="R10" s="57"/>
      <c r="S10" s="58">
        <f>SUM(S2:T9)</f>
        <v>138416.652</v>
      </c>
      <c r="T10" s="59"/>
    </row>
    <row r="11" spans="1:26" ht="31.5" customHeight="1" thickBot="1">
      <c r="A11" s="83" t="s">
        <v>32</v>
      </c>
      <c r="B11" s="59"/>
      <c r="C11" s="108" t="s">
        <v>33</v>
      </c>
      <c r="D11" s="59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73">
        <f>C10+G10+K10+O10+S10</f>
        <v>1341010.473877504</v>
      </c>
      <c r="B12" s="52"/>
      <c r="C12" s="76">
        <f>23010+9528</f>
        <v>32538</v>
      </c>
      <c r="D12" s="77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4"/>
      <c r="B13" s="75"/>
      <c r="C13" s="78"/>
      <c r="D13" s="79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83" t="s">
        <v>34</v>
      </c>
      <c r="B14" s="52"/>
      <c r="C14" s="108" t="s">
        <v>35</v>
      </c>
      <c r="D14" s="52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4"/>
      <c r="B15" s="75"/>
      <c r="C15" s="74"/>
      <c r="D15" s="75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73">
        <f>A12-C12</f>
        <v>1308472.473877504</v>
      </c>
      <c r="B16" s="52"/>
      <c r="C16" s="85">
        <f>C12/A12</f>
        <v>2.4263792590610459E-2</v>
      </c>
      <c r="D16" s="5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4"/>
      <c r="B17" s="75"/>
      <c r="C17" s="74"/>
      <c r="D17" s="75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D18" sqref="D18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41" t="s">
        <v>0</v>
      </c>
      <c r="B1" s="42"/>
      <c r="C1" s="43"/>
      <c r="D1" s="3"/>
      <c r="E1" s="40" t="s">
        <v>1</v>
      </c>
      <c r="F1" s="40" t="s">
        <v>2</v>
      </c>
      <c r="G1" s="40" t="s">
        <v>3</v>
      </c>
    </row>
    <row r="2" spans="1:10" ht="21.75" customHeight="1">
      <c r="A2" s="4" t="s">
        <v>4</v>
      </c>
      <c r="B2" s="4" t="s">
        <v>5</v>
      </c>
      <c r="C2" s="4" t="s">
        <v>6</v>
      </c>
      <c r="D2" s="5"/>
      <c r="E2" s="6">
        <v>304</v>
      </c>
      <c r="F2" s="6">
        <v>0</v>
      </c>
      <c r="G2" s="28">
        <v>31.905000000000001</v>
      </c>
    </row>
    <row r="3" spans="1:10" ht="17.25" customHeight="1">
      <c r="A3" s="44">
        <f>('006208'!E3+'00692'!E3+'2890'!E3)-('006208'!F3+'00692'!F3+'2890'!F3)-E2+7345</f>
        <v>137866</v>
      </c>
      <c r="B3" s="44">
        <f>總資產!K10</f>
        <v>307133.92569999996</v>
      </c>
      <c r="C3" s="7">
        <f>C4/A3</f>
        <v>1.227771355519127</v>
      </c>
      <c r="D3" s="8"/>
      <c r="E3" s="9"/>
      <c r="F3" s="9"/>
      <c r="G3" s="9"/>
    </row>
    <row r="4" spans="1:10" ht="17.25" customHeight="1">
      <c r="A4" s="45"/>
      <c r="B4" s="45"/>
      <c r="C4" s="29">
        <f>B3-A3</f>
        <v>169267.92569999996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41" t="s">
        <v>7</v>
      </c>
      <c r="B8" s="42"/>
      <c r="C8" s="43"/>
      <c r="D8" s="5"/>
      <c r="E8" s="41" t="s">
        <v>8</v>
      </c>
      <c r="F8" s="42"/>
      <c r="G8" s="43"/>
    </row>
    <row r="9" spans="1:10" ht="15" customHeight="1">
      <c r="A9" s="4" t="s">
        <v>4</v>
      </c>
      <c r="B9" s="4" t="s">
        <v>5</v>
      </c>
      <c r="C9" s="4" t="s">
        <v>6</v>
      </c>
      <c r="D9" s="5"/>
      <c r="E9" s="4" t="s">
        <v>4</v>
      </c>
      <c r="F9" s="4" t="s">
        <v>5</v>
      </c>
      <c r="G9" s="4" t="s">
        <v>6</v>
      </c>
    </row>
    <row r="10" spans="1:10" ht="18" customHeight="1">
      <c r="A10" s="44">
        <f>(BND!E3+VT!E3)-(BND!F3+VT!F3)</f>
        <v>181750.45933000001</v>
      </c>
      <c r="B10" s="44">
        <f>總資產!O10</f>
        <v>227472.25907750399</v>
      </c>
      <c r="C10" s="7">
        <f>C11/A10</f>
        <v>0.25156359943216422</v>
      </c>
      <c r="D10" s="5"/>
      <c r="E10" s="44">
        <f>A3+A10+A17</f>
        <v>478697.45932999998</v>
      </c>
      <c r="F10" s="44">
        <f>B3+B10+B17</f>
        <v>673022.83677750395</v>
      </c>
      <c r="G10" s="7">
        <f>G11/E10</f>
        <v>0.40594612246216616</v>
      </c>
    </row>
    <row r="11" spans="1:10" ht="18" customHeight="1">
      <c r="A11" s="45"/>
      <c r="B11" s="45"/>
      <c r="C11" s="29">
        <f>B10-A10</f>
        <v>45721.799747503974</v>
      </c>
      <c r="D11" s="5"/>
      <c r="E11" s="45"/>
      <c r="F11" s="45"/>
      <c r="G11" s="31">
        <f>F10-E10</f>
        <v>194325.37744750397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41" t="s">
        <v>9</v>
      </c>
      <c r="B15" s="42"/>
      <c r="C15" s="43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4</v>
      </c>
      <c r="B16" s="4" t="s">
        <v>5</v>
      </c>
      <c r="C16" s="4" t="s">
        <v>6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44">
        <v>159081</v>
      </c>
      <c r="B17" s="44">
        <f>總資產!S10</f>
        <v>138416.652</v>
      </c>
      <c r="C17" s="7">
        <f>C18/A17</f>
        <v>-0.12989827823561581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45"/>
      <c r="B18" s="45"/>
      <c r="C18" s="29">
        <f>B17-A17</f>
        <v>-20664.347999999998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48" sqref="I4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36</v>
      </c>
      <c r="D1" s="119"/>
      <c r="E1" s="119"/>
      <c r="F1" s="123" t="s">
        <v>37</v>
      </c>
      <c r="G1" s="43"/>
      <c r="H1" s="122"/>
      <c r="I1" s="42"/>
      <c r="J1" s="43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>
        <f>(E3-F3)/D3</f>
        <v>98.787621359223294</v>
      </c>
      <c r="B3" s="114">
        <f>E3/D3</f>
        <v>103.60436893203884</v>
      </c>
      <c r="C3" s="126">
        <v>177.85</v>
      </c>
      <c r="D3" s="121">
        <f>SUM(D7:D505)</f>
        <v>824</v>
      </c>
      <c r="E3" s="124">
        <f>SUM(E7:E505)</f>
        <v>85370</v>
      </c>
      <c r="F3" s="124">
        <f>SUM(F6:G505)</f>
        <v>3969</v>
      </c>
      <c r="G3" s="7">
        <f>G4/E3</f>
        <v>0.76311819140213177</v>
      </c>
      <c r="H3" s="116"/>
      <c r="I3" s="120"/>
      <c r="J3" s="117"/>
    </row>
    <row r="4" spans="1:10" ht="18.75" customHeight="1">
      <c r="A4" s="45"/>
      <c r="B4" s="45"/>
      <c r="C4" s="113"/>
      <c r="D4" s="45"/>
      <c r="E4" s="45"/>
      <c r="F4" s="45"/>
      <c r="G4" s="32">
        <f>D3*C3-E3+F3</f>
        <v>65147.399999999994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3"/>
      <c r="H5" s="112"/>
      <c r="I5" s="112"/>
      <c r="J5" s="112"/>
    </row>
    <row r="6" spans="1:10">
      <c r="A6" s="17">
        <v>1</v>
      </c>
      <c r="B6" s="110" t="s">
        <v>49</v>
      </c>
      <c r="C6" s="42"/>
      <c r="D6" s="42"/>
      <c r="E6" s="43"/>
      <c r="F6" s="115"/>
      <c r="G6" s="43"/>
      <c r="H6" s="113"/>
      <c r="I6" s="113"/>
      <c r="J6" s="113"/>
    </row>
    <row r="7" spans="1:10">
      <c r="A7" s="17">
        <v>2</v>
      </c>
      <c r="B7" s="25" t="s">
        <v>50</v>
      </c>
      <c r="C7" s="33">
        <v>76.47</v>
      </c>
      <c r="D7" s="26">
        <v>6</v>
      </c>
      <c r="E7" s="26">
        <v>459</v>
      </c>
      <c r="F7" s="109"/>
      <c r="G7" s="43"/>
      <c r="H7" s="20"/>
      <c r="I7" s="20"/>
      <c r="J7" s="20"/>
    </row>
    <row r="8" spans="1:10">
      <c r="A8" s="17">
        <v>3</v>
      </c>
      <c r="B8" s="25" t="s">
        <v>51</v>
      </c>
      <c r="C8" s="33">
        <v>73.650000000000006</v>
      </c>
      <c r="D8" s="26">
        <v>20</v>
      </c>
      <c r="E8" s="26">
        <v>1475</v>
      </c>
      <c r="F8" s="109"/>
      <c r="G8" s="43"/>
      <c r="H8" s="20"/>
      <c r="I8" s="20"/>
      <c r="J8" s="20"/>
    </row>
    <row r="9" spans="1:10">
      <c r="A9" s="17">
        <v>4</v>
      </c>
      <c r="B9" s="25" t="s">
        <v>52</v>
      </c>
      <c r="C9" s="33">
        <v>74.3</v>
      </c>
      <c r="D9" s="26">
        <v>40</v>
      </c>
      <c r="E9" s="26">
        <v>2976</v>
      </c>
      <c r="F9" s="109"/>
      <c r="G9" s="43"/>
      <c r="H9" s="20"/>
      <c r="I9" s="20"/>
      <c r="J9" s="20"/>
    </row>
    <row r="10" spans="1:10">
      <c r="A10" s="17">
        <v>5</v>
      </c>
      <c r="B10" s="25" t="s">
        <v>53</v>
      </c>
      <c r="C10" s="33">
        <v>73.56</v>
      </c>
      <c r="D10" s="26">
        <v>20</v>
      </c>
      <c r="E10" s="26">
        <v>1472</v>
      </c>
      <c r="F10" s="109"/>
      <c r="G10" s="43"/>
      <c r="H10" s="20"/>
      <c r="I10" s="20"/>
      <c r="J10" s="20"/>
    </row>
    <row r="11" spans="1:10">
      <c r="A11" s="17">
        <v>6</v>
      </c>
      <c r="B11" s="25" t="s">
        <v>54</v>
      </c>
      <c r="C11" s="33">
        <v>71.61</v>
      </c>
      <c r="D11" s="26">
        <v>21</v>
      </c>
      <c r="E11" s="26">
        <v>1505</v>
      </c>
      <c r="F11" s="109"/>
      <c r="G11" s="43"/>
      <c r="H11" s="20"/>
      <c r="I11" s="20"/>
      <c r="J11" s="20"/>
    </row>
    <row r="12" spans="1:10">
      <c r="A12" s="17">
        <v>7</v>
      </c>
      <c r="B12" s="25" t="s">
        <v>55</v>
      </c>
      <c r="C12" s="33">
        <v>71.849999999999994</v>
      </c>
      <c r="D12" s="26">
        <v>21</v>
      </c>
      <c r="E12" s="26">
        <v>1510</v>
      </c>
      <c r="F12" s="109"/>
      <c r="G12" s="43"/>
      <c r="H12" s="20"/>
      <c r="I12" s="20"/>
      <c r="J12" s="20"/>
    </row>
    <row r="13" spans="1:10">
      <c r="A13" s="17">
        <v>8</v>
      </c>
      <c r="B13" s="25" t="s">
        <v>56</v>
      </c>
      <c r="C13" s="33">
        <v>70.75</v>
      </c>
      <c r="D13" s="26">
        <v>30</v>
      </c>
      <c r="E13" s="26">
        <v>2125</v>
      </c>
      <c r="F13" s="109"/>
      <c r="G13" s="43"/>
      <c r="H13" s="20"/>
      <c r="I13" s="20"/>
      <c r="J13" s="20"/>
    </row>
    <row r="14" spans="1:10">
      <c r="A14" s="17">
        <v>9</v>
      </c>
      <c r="B14" s="25" t="s">
        <v>57</v>
      </c>
      <c r="C14" s="33">
        <v>73.23</v>
      </c>
      <c r="D14" s="26">
        <v>21</v>
      </c>
      <c r="E14" s="18">
        <v>1539</v>
      </c>
      <c r="F14" s="109"/>
      <c r="G14" s="43"/>
      <c r="H14" s="20"/>
      <c r="I14" s="20"/>
      <c r="J14" s="20"/>
    </row>
    <row r="15" spans="1:10">
      <c r="A15" s="17">
        <v>10</v>
      </c>
      <c r="B15" s="25" t="s">
        <v>58</v>
      </c>
      <c r="C15" s="33">
        <v>74.8</v>
      </c>
      <c r="D15" s="26">
        <v>20</v>
      </c>
      <c r="E15" s="26">
        <v>1497</v>
      </c>
      <c r="F15" s="109"/>
      <c r="G15" s="43"/>
      <c r="H15" s="20"/>
      <c r="I15" s="20"/>
      <c r="J15" s="20"/>
    </row>
    <row r="16" spans="1:10">
      <c r="A16" s="17">
        <v>11</v>
      </c>
      <c r="B16" s="25" t="s">
        <v>59</v>
      </c>
      <c r="C16" s="33"/>
      <c r="D16" s="26"/>
      <c r="E16" s="26"/>
      <c r="F16" s="109">
        <v>152</v>
      </c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3">
        <v>75.150000000000006</v>
      </c>
      <c r="D17" s="26">
        <v>20</v>
      </c>
      <c r="E17" s="26">
        <v>1505</v>
      </c>
      <c r="F17" s="109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60</v>
      </c>
      <c r="C18" s="33">
        <v>75.95</v>
      </c>
      <c r="D18" s="26">
        <v>20</v>
      </c>
      <c r="E18" s="26">
        <v>1520</v>
      </c>
      <c r="F18" s="109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33">
        <v>78.150000000000006</v>
      </c>
      <c r="D19" s="26">
        <v>20</v>
      </c>
      <c r="E19" s="26">
        <v>1565</v>
      </c>
      <c r="F19" s="109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3">
        <v>82.89</v>
      </c>
      <c r="D20" s="26">
        <v>19</v>
      </c>
      <c r="E20" s="26">
        <v>1576</v>
      </c>
      <c r="F20" s="109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3">
        <v>86.59</v>
      </c>
      <c r="D21" s="26">
        <v>17</v>
      </c>
      <c r="E21" s="26">
        <v>1473</v>
      </c>
      <c r="F21" s="109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3">
        <v>93.25</v>
      </c>
      <c r="D22" s="26">
        <v>16</v>
      </c>
      <c r="E22" s="26">
        <v>1493</v>
      </c>
      <c r="F22" s="109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3">
        <v>93.53</v>
      </c>
      <c r="D23" s="26">
        <v>17</v>
      </c>
      <c r="E23" s="26">
        <v>1591</v>
      </c>
      <c r="F23" s="109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3">
        <v>101.93</v>
      </c>
      <c r="D24" s="26">
        <v>15</v>
      </c>
      <c r="E24" s="26">
        <v>1530</v>
      </c>
      <c r="F24" s="109"/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67</v>
      </c>
      <c r="C25" s="33">
        <v>115.31</v>
      </c>
      <c r="D25" s="26">
        <v>13</v>
      </c>
      <c r="E25" s="26">
        <v>1500</v>
      </c>
      <c r="F25" s="109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3">
        <v>97.13</v>
      </c>
      <c r="D26" s="26">
        <v>16</v>
      </c>
      <c r="E26" s="26">
        <v>1555</v>
      </c>
      <c r="F26" s="109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69</v>
      </c>
      <c r="C27" s="33"/>
      <c r="D27" s="26"/>
      <c r="E27" s="26"/>
      <c r="F27" s="109">
        <v>279</v>
      </c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70</v>
      </c>
      <c r="C28" s="33">
        <v>107</v>
      </c>
      <c r="D28" s="26">
        <v>1</v>
      </c>
      <c r="E28" s="26">
        <v>108</v>
      </c>
      <c r="F28" s="109"/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3">
        <v>102.07</v>
      </c>
      <c r="D29" s="26">
        <v>15</v>
      </c>
      <c r="E29" s="26">
        <v>1532</v>
      </c>
      <c r="F29" s="109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72</v>
      </c>
      <c r="C30" s="33">
        <v>109.64</v>
      </c>
      <c r="D30" s="26">
        <v>14</v>
      </c>
      <c r="E30" s="26">
        <v>1535</v>
      </c>
      <c r="F30" s="109"/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73</v>
      </c>
      <c r="C31" s="33">
        <v>114.77</v>
      </c>
      <c r="D31" s="26">
        <v>13</v>
      </c>
      <c r="E31" s="26">
        <v>1493</v>
      </c>
      <c r="F31" s="109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3">
        <v>113.64</v>
      </c>
      <c r="D32" s="26">
        <v>14</v>
      </c>
      <c r="E32" s="26">
        <v>1592</v>
      </c>
      <c r="F32" s="109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33"/>
      <c r="D33" s="26"/>
      <c r="E33" s="26"/>
      <c r="F33" s="109">
        <v>374</v>
      </c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3">
        <v>112.5</v>
      </c>
      <c r="D34" s="26">
        <v>2</v>
      </c>
      <c r="E34" s="26">
        <v>226</v>
      </c>
      <c r="F34" s="109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3">
        <v>116.46</v>
      </c>
      <c r="D35" s="26">
        <v>13</v>
      </c>
      <c r="E35" s="26">
        <v>1515</v>
      </c>
      <c r="F35" s="109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3">
        <v>116.15</v>
      </c>
      <c r="D36" s="26">
        <v>13</v>
      </c>
      <c r="E36" s="26">
        <v>1511</v>
      </c>
      <c r="F36" s="109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78</v>
      </c>
      <c r="C37" s="33">
        <v>116.35</v>
      </c>
      <c r="D37" s="26">
        <v>100</v>
      </c>
      <c r="E37" s="26">
        <v>10814</v>
      </c>
      <c r="F37" s="109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79</v>
      </c>
      <c r="C38" s="33">
        <v>110.44</v>
      </c>
      <c r="D38" s="26">
        <v>18</v>
      </c>
      <c r="E38" s="26">
        <v>1989</v>
      </c>
      <c r="F38" s="109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80</v>
      </c>
      <c r="C39" s="33">
        <v>93.32</v>
      </c>
      <c r="D39" s="26">
        <v>22</v>
      </c>
      <c r="E39" s="26">
        <v>2054</v>
      </c>
      <c r="F39" s="109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81</v>
      </c>
      <c r="C40" s="33">
        <v>100.5</v>
      </c>
      <c r="D40" s="26">
        <v>20</v>
      </c>
      <c r="E40" s="26">
        <v>2011</v>
      </c>
      <c r="F40" s="109"/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82</v>
      </c>
      <c r="C41" s="33">
        <v>107</v>
      </c>
      <c r="D41" s="26">
        <v>19</v>
      </c>
      <c r="E41" s="26">
        <v>2034</v>
      </c>
      <c r="F41" s="109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83</v>
      </c>
      <c r="C42" s="33">
        <v>114</v>
      </c>
      <c r="D42" s="26">
        <v>18</v>
      </c>
      <c r="E42" s="26">
        <v>2053</v>
      </c>
      <c r="F42" s="109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84</v>
      </c>
      <c r="C43" s="33">
        <v>119.24</v>
      </c>
      <c r="D43" s="26">
        <v>17</v>
      </c>
      <c r="E43" s="26">
        <v>2028</v>
      </c>
      <c r="F43" s="109"/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85</v>
      </c>
      <c r="C44" s="33"/>
      <c r="D44" s="26"/>
      <c r="E44" s="26"/>
      <c r="F44" s="109">
        <v>647</v>
      </c>
      <c r="G44" s="43"/>
      <c r="H44" s="20"/>
      <c r="I44" s="20"/>
      <c r="J44" s="20"/>
    </row>
    <row r="45" spans="1:10" s="12" customFormat="1" ht="16.5" customHeight="1">
      <c r="A45" s="17">
        <v>40</v>
      </c>
      <c r="B45" s="25" t="s">
        <v>86</v>
      </c>
      <c r="C45" s="33">
        <v>124.5</v>
      </c>
      <c r="D45" s="26">
        <v>4</v>
      </c>
      <c r="E45" s="26">
        <v>499</v>
      </c>
      <c r="F45" s="109"/>
      <c r="G45" s="43"/>
      <c r="H45" s="20"/>
      <c r="I45" s="20"/>
      <c r="J45" s="20"/>
    </row>
    <row r="46" spans="1:10" s="12" customFormat="1" ht="16.5" customHeight="1">
      <c r="A46" s="17">
        <v>41</v>
      </c>
      <c r="B46" s="25" t="s">
        <v>87</v>
      </c>
      <c r="C46" s="33">
        <v>124.69</v>
      </c>
      <c r="D46" s="26">
        <v>16</v>
      </c>
      <c r="E46" s="26">
        <v>1996</v>
      </c>
      <c r="F46" s="109"/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88</v>
      </c>
      <c r="C47" s="33">
        <v>143.57</v>
      </c>
      <c r="D47" s="26">
        <v>21</v>
      </c>
      <c r="E47" s="26">
        <v>3016</v>
      </c>
      <c r="F47" s="109"/>
      <c r="G47" s="43"/>
      <c r="H47" s="20"/>
      <c r="I47" s="20"/>
      <c r="J47" s="20"/>
    </row>
    <row r="48" spans="1:10" s="12" customFormat="1" ht="16.5" customHeight="1">
      <c r="A48" s="17">
        <v>43</v>
      </c>
      <c r="B48" s="25" t="s">
        <v>89</v>
      </c>
      <c r="C48" s="33">
        <v>148.5</v>
      </c>
      <c r="D48" s="26">
        <v>20</v>
      </c>
      <c r="E48" s="26">
        <v>2971</v>
      </c>
      <c r="F48" s="109"/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90</v>
      </c>
      <c r="C49" s="33">
        <v>145.24</v>
      </c>
      <c r="D49" s="26">
        <v>21</v>
      </c>
      <c r="E49" s="26">
        <v>3051</v>
      </c>
      <c r="F49" s="109"/>
      <c r="G49" s="43"/>
      <c r="H49" s="20"/>
      <c r="I49" s="20"/>
      <c r="J49" s="20"/>
    </row>
    <row r="50" spans="1:10" s="12" customFormat="1" ht="16.5" customHeight="1">
      <c r="A50" s="17">
        <v>45</v>
      </c>
      <c r="B50" s="25" t="s">
        <v>91</v>
      </c>
      <c r="C50" s="33"/>
      <c r="D50" s="26"/>
      <c r="E50" s="26"/>
      <c r="F50" s="109">
        <v>2517</v>
      </c>
      <c r="G50" s="43"/>
      <c r="H50" s="20"/>
      <c r="I50" s="20"/>
      <c r="J50" s="20"/>
    </row>
    <row r="51" spans="1:10" s="12" customFormat="1" ht="16.5" customHeight="1">
      <c r="A51" s="17">
        <v>46</v>
      </c>
      <c r="B51" s="25" t="s">
        <v>92</v>
      </c>
      <c r="C51" s="33">
        <v>141.82</v>
      </c>
      <c r="D51" s="26">
        <v>17</v>
      </c>
      <c r="E51" s="26">
        <v>2412</v>
      </c>
      <c r="F51" s="109"/>
      <c r="G51" s="43"/>
      <c r="H51" s="20"/>
      <c r="I51" s="20"/>
      <c r="J51" s="20"/>
    </row>
    <row r="52" spans="1:10" s="12" customFormat="1" ht="16.5" customHeight="1">
      <c r="A52" s="17">
        <v>47</v>
      </c>
      <c r="B52" s="25" t="s">
        <v>93</v>
      </c>
      <c r="C52" s="33">
        <v>159.37</v>
      </c>
      <c r="D52" s="26">
        <v>19</v>
      </c>
      <c r="E52" s="26">
        <v>3029</v>
      </c>
      <c r="F52" s="109"/>
      <c r="G52" s="43"/>
      <c r="H52" s="20"/>
      <c r="I52" s="20"/>
      <c r="J52" s="20"/>
    </row>
    <row r="53" spans="1:10" s="12" customFormat="1" ht="16.5" customHeight="1">
      <c r="A53" s="17">
        <v>48</v>
      </c>
      <c r="B53" s="25" t="s">
        <v>94</v>
      </c>
      <c r="C53" s="33">
        <v>166.67</v>
      </c>
      <c r="D53" s="26">
        <v>18</v>
      </c>
      <c r="E53" s="26">
        <v>3001</v>
      </c>
      <c r="F53" s="109"/>
      <c r="G53" s="43"/>
      <c r="H53" s="20"/>
      <c r="I53" s="20"/>
      <c r="J53" s="20"/>
    </row>
    <row r="54" spans="1:10" s="12" customFormat="1" ht="16.5" customHeight="1">
      <c r="A54" s="17">
        <v>49</v>
      </c>
      <c r="B54" s="25" t="s">
        <v>156</v>
      </c>
      <c r="C54" s="33">
        <v>178.41</v>
      </c>
      <c r="D54" s="26">
        <v>17</v>
      </c>
      <c r="E54" s="26">
        <v>3034</v>
      </c>
      <c r="F54" s="109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1" sqref="E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36</v>
      </c>
      <c r="D1" s="119"/>
      <c r="E1" s="119"/>
      <c r="F1" s="123" t="s">
        <v>95</v>
      </c>
      <c r="G1" s="43"/>
      <c r="H1" s="122"/>
      <c r="I1" s="42"/>
      <c r="J1" s="43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>
        <f>(E3-F3)/D3</f>
        <v>16.98163144380802</v>
      </c>
      <c r="B3" s="114">
        <f>E3/D3</f>
        <v>18.599644479557575</v>
      </c>
      <c r="C3" s="127">
        <v>31.9</v>
      </c>
      <c r="D3" s="121">
        <f>SUM(D7:D505)</f>
        <v>5063</v>
      </c>
      <c r="E3" s="124">
        <f>SUM(E7:E505)</f>
        <v>94170</v>
      </c>
      <c r="F3" s="124">
        <f>SUM(F6:G505)</f>
        <v>8192</v>
      </c>
      <c r="G3" s="7">
        <f>G4/E3</f>
        <v>0.80207815652543257</v>
      </c>
      <c r="H3" s="116"/>
      <c r="I3" s="120"/>
      <c r="J3" s="117"/>
    </row>
    <row r="4" spans="1:10" ht="18.75" customHeight="1">
      <c r="A4" s="45"/>
      <c r="B4" s="45"/>
      <c r="C4" s="128"/>
      <c r="D4" s="45"/>
      <c r="E4" s="45"/>
      <c r="F4" s="45"/>
      <c r="G4" s="32">
        <f>D3*C3-E3+F3</f>
        <v>75531.699999999983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3"/>
      <c r="H5" s="112"/>
      <c r="I5" s="112"/>
      <c r="J5" s="112"/>
    </row>
    <row r="6" spans="1:10">
      <c r="A6" s="17">
        <v>1</v>
      </c>
      <c r="B6" s="110" t="s">
        <v>49</v>
      </c>
      <c r="C6" s="42"/>
      <c r="D6" s="42"/>
      <c r="E6" s="43"/>
      <c r="F6" s="115"/>
      <c r="G6" s="43"/>
      <c r="H6" s="113"/>
      <c r="I6" s="113"/>
      <c r="J6" s="113"/>
    </row>
    <row r="7" spans="1:10">
      <c r="A7" s="17">
        <v>2</v>
      </c>
      <c r="B7" s="25" t="s">
        <v>52</v>
      </c>
      <c r="C7" s="34">
        <v>18.7</v>
      </c>
      <c r="D7" s="26">
        <v>2000</v>
      </c>
      <c r="E7" s="26">
        <v>37453</v>
      </c>
      <c r="F7" s="109"/>
      <c r="G7" s="43"/>
      <c r="H7" s="20"/>
      <c r="I7" s="20"/>
      <c r="J7" s="20"/>
    </row>
    <row r="8" spans="1:10">
      <c r="A8" s="17">
        <v>3</v>
      </c>
      <c r="B8" s="25" t="s">
        <v>53</v>
      </c>
      <c r="C8" s="34">
        <v>18</v>
      </c>
      <c r="D8" s="26">
        <v>65</v>
      </c>
      <c r="E8" s="26">
        <v>1171</v>
      </c>
      <c r="F8" s="109"/>
      <c r="G8" s="43"/>
      <c r="H8" s="20"/>
      <c r="I8" s="20"/>
      <c r="J8" s="20"/>
    </row>
    <row r="9" spans="1:10">
      <c r="A9" s="17">
        <v>4</v>
      </c>
      <c r="B9" s="25" t="s">
        <v>53</v>
      </c>
      <c r="C9" s="34">
        <v>17.93</v>
      </c>
      <c r="D9" s="26">
        <v>50</v>
      </c>
      <c r="E9" s="26">
        <v>897</v>
      </c>
      <c r="F9" s="109"/>
      <c r="G9" s="43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3"/>
      <c r="H10" s="20"/>
      <c r="I10" s="20"/>
      <c r="J10" s="20"/>
    </row>
    <row r="11" spans="1:10">
      <c r="A11" s="17">
        <v>6</v>
      </c>
      <c r="B11" s="25" t="s">
        <v>54</v>
      </c>
      <c r="C11" s="34">
        <v>17.260000000000002</v>
      </c>
      <c r="D11" s="26">
        <v>50</v>
      </c>
      <c r="E11" s="26">
        <v>864</v>
      </c>
      <c r="F11" s="109"/>
      <c r="G11" s="43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3"/>
      <c r="H12" s="20"/>
      <c r="I12" s="20"/>
      <c r="J12" s="20"/>
    </row>
    <row r="13" spans="1:10">
      <c r="A13" s="17">
        <v>8</v>
      </c>
      <c r="B13" s="25" t="s">
        <v>55</v>
      </c>
      <c r="C13" s="34">
        <v>17.62</v>
      </c>
      <c r="D13" s="26">
        <v>50</v>
      </c>
      <c r="E13" s="26">
        <v>882</v>
      </c>
      <c r="F13" s="109"/>
      <c r="G13" s="43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3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3"/>
      <c r="H15" s="20"/>
      <c r="I15" s="20"/>
      <c r="J15" s="20"/>
    </row>
    <row r="16" spans="1:10">
      <c r="A16" s="17">
        <v>11</v>
      </c>
      <c r="B16" s="25" t="s">
        <v>57</v>
      </c>
      <c r="C16" s="34">
        <v>18.510000000000002</v>
      </c>
      <c r="D16" s="26">
        <v>47</v>
      </c>
      <c r="E16" s="26">
        <v>871</v>
      </c>
      <c r="F16" s="109"/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4">
        <v>19.29</v>
      </c>
      <c r="D17" s="26">
        <v>45</v>
      </c>
      <c r="E17" s="26">
        <v>869</v>
      </c>
      <c r="F17" s="109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4">
        <v>19.61</v>
      </c>
      <c r="D19" s="26">
        <v>44</v>
      </c>
      <c r="E19" s="26">
        <v>864</v>
      </c>
      <c r="F19" s="109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4">
        <v>19.420000000000002</v>
      </c>
      <c r="D20" s="26">
        <v>45</v>
      </c>
      <c r="E20" s="26">
        <v>875</v>
      </c>
      <c r="F20" s="109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4">
        <v>20.05</v>
      </c>
      <c r="D21" s="26">
        <v>43</v>
      </c>
      <c r="E21" s="26">
        <v>863</v>
      </c>
      <c r="F21" s="109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4">
        <v>21.44</v>
      </c>
      <c r="D22" s="26">
        <v>41</v>
      </c>
      <c r="E22" s="26">
        <v>880</v>
      </c>
      <c r="F22" s="109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4">
        <v>22.51</v>
      </c>
      <c r="D23" s="26">
        <v>39</v>
      </c>
      <c r="E23" s="26">
        <v>879</v>
      </c>
      <c r="F23" s="109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4">
        <v>23.21</v>
      </c>
      <c r="D24" s="26">
        <v>38</v>
      </c>
      <c r="E24" s="26">
        <v>883</v>
      </c>
      <c r="F24" s="109"/>
      <c r="G24" s="43"/>
      <c r="H24" s="20"/>
      <c r="I24" s="20"/>
      <c r="J24" s="20"/>
    </row>
    <row r="25" spans="1:10" s="12" customFormat="1" ht="16.5" customHeight="1">
      <c r="A25" s="17">
        <v>20</v>
      </c>
      <c r="B25" s="20" t="s">
        <v>67</v>
      </c>
      <c r="C25" s="35">
        <v>26.48</v>
      </c>
      <c r="D25" s="20">
        <v>33</v>
      </c>
      <c r="E25" s="20">
        <v>875</v>
      </c>
      <c r="F25" s="109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4">
        <v>24.78</v>
      </c>
      <c r="D26" s="26">
        <v>36</v>
      </c>
      <c r="E26" s="26">
        <v>893</v>
      </c>
      <c r="F26" s="109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34">
        <v>23.5</v>
      </c>
      <c r="D27" s="26">
        <v>38</v>
      </c>
      <c r="E27" s="26">
        <v>894</v>
      </c>
      <c r="F27" s="109"/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72</v>
      </c>
      <c r="C29" s="34">
        <v>24.08</v>
      </c>
      <c r="D29" s="26">
        <v>37</v>
      </c>
      <c r="E29" s="26">
        <v>891</v>
      </c>
      <c r="F29" s="109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4">
        <v>22.77</v>
      </c>
      <c r="D32" s="26">
        <v>39</v>
      </c>
      <c r="E32" s="26">
        <v>889</v>
      </c>
      <c r="F32" s="109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4">
        <v>24.42</v>
      </c>
      <c r="D33" s="26">
        <v>36</v>
      </c>
      <c r="E33" s="26">
        <v>880</v>
      </c>
      <c r="F33" s="109"/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77</v>
      </c>
      <c r="C34" s="34">
        <v>23.11</v>
      </c>
      <c r="D34" s="26">
        <v>38</v>
      </c>
      <c r="E34" s="26">
        <v>879</v>
      </c>
      <c r="F34" s="109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78</v>
      </c>
      <c r="C35" s="34">
        <v>22.54</v>
      </c>
      <c r="D35" s="26">
        <v>39</v>
      </c>
      <c r="E35" s="26">
        <v>880</v>
      </c>
      <c r="F35" s="109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4">
        <v>22.74</v>
      </c>
      <c r="D36" s="26">
        <v>39</v>
      </c>
      <c r="E36" s="26">
        <v>888</v>
      </c>
      <c r="F36" s="109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80</v>
      </c>
      <c r="C37" s="34">
        <v>20.3</v>
      </c>
      <c r="D37" s="26">
        <v>44</v>
      </c>
      <c r="E37" s="26">
        <v>894</v>
      </c>
      <c r="F37" s="109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81</v>
      </c>
      <c r="C38" s="34">
        <v>21.88</v>
      </c>
      <c r="D38" s="26">
        <v>41</v>
      </c>
      <c r="E38" s="26">
        <v>898</v>
      </c>
      <c r="F38" s="109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82</v>
      </c>
      <c r="C39" s="34">
        <v>23</v>
      </c>
      <c r="D39" s="26">
        <v>39</v>
      </c>
      <c r="E39" s="26">
        <v>898</v>
      </c>
      <c r="F39" s="109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4">
        <v>24.53</v>
      </c>
      <c r="D40" s="26">
        <v>36</v>
      </c>
      <c r="E40" s="26">
        <v>884</v>
      </c>
      <c r="F40" s="109"/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84</v>
      </c>
      <c r="C41" s="34">
        <v>26.21</v>
      </c>
      <c r="D41" s="26">
        <v>34</v>
      </c>
      <c r="E41" s="26">
        <v>892</v>
      </c>
      <c r="F41" s="109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34">
        <v>24.64</v>
      </c>
      <c r="D42" s="26">
        <v>36</v>
      </c>
      <c r="E42" s="26">
        <v>888</v>
      </c>
      <c r="F42" s="109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3"/>
      <c r="H44" s="20"/>
      <c r="I44" s="20"/>
      <c r="J44" s="20"/>
    </row>
    <row r="45" spans="1:10" s="12" customFormat="1" ht="16.5" customHeight="1">
      <c r="A45" s="17">
        <v>40</v>
      </c>
      <c r="B45" s="25" t="s">
        <v>88</v>
      </c>
      <c r="C45" s="34">
        <v>25.62</v>
      </c>
      <c r="D45" s="26">
        <v>34</v>
      </c>
      <c r="E45" s="26">
        <v>872</v>
      </c>
      <c r="F45" s="109"/>
      <c r="G45" s="43"/>
      <c r="H45" s="20"/>
      <c r="I45" s="20"/>
      <c r="J45" s="20"/>
    </row>
    <row r="46" spans="1:10" s="12" customFormat="1" ht="16.5" customHeight="1">
      <c r="A46" s="17">
        <v>41</v>
      </c>
      <c r="B46" s="25" t="s">
        <v>89</v>
      </c>
      <c r="C46" s="34">
        <v>26.45</v>
      </c>
      <c r="D46" s="26">
        <v>33</v>
      </c>
      <c r="E46" s="26">
        <v>874</v>
      </c>
      <c r="F46" s="109"/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90</v>
      </c>
      <c r="C47" s="34">
        <v>27.41</v>
      </c>
      <c r="D47" s="26">
        <v>32</v>
      </c>
      <c r="E47" s="26">
        <v>878</v>
      </c>
      <c r="F47" s="109"/>
      <c r="G47" s="43"/>
      <c r="H47" s="20"/>
      <c r="I47" s="20"/>
      <c r="J47" s="20"/>
    </row>
    <row r="48" spans="1:10" s="12" customFormat="1" ht="16.5" customHeight="1">
      <c r="A48" s="17">
        <v>43</v>
      </c>
      <c r="B48" s="25" t="s">
        <v>93</v>
      </c>
      <c r="C48" s="34">
        <v>28.97</v>
      </c>
      <c r="D48" s="26">
        <v>31</v>
      </c>
      <c r="E48" s="26">
        <v>899</v>
      </c>
      <c r="F48" s="109"/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94</v>
      </c>
      <c r="C49" s="34">
        <v>29.37</v>
      </c>
      <c r="D49" s="26">
        <v>30</v>
      </c>
      <c r="E49" s="26">
        <v>882</v>
      </c>
      <c r="F49" s="109"/>
      <c r="G49" s="43"/>
      <c r="H49" s="20"/>
      <c r="I49" s="20"/>
      <c r="J49" s="20"/>
    </row>
    <row r="50" spans="1:10" s="12" customFormat="1" ht="16.5" customHeight="1">
      <c r="A50" s="17">
        <v>45</v>
      </c>
      <c r="B50" s="25" t="s">
        <v>156</v>
      </c>
      <c r="C50" s="34">
        <v>31.64</v>
      </c>
      <c r="D50" s="26">
        <v>28</v>
      </c>
      <c r="E50" s="26">
        <v>887</v>
      </c>
      <c r="F50" s="109"/>
      <c r="G50" s="43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3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F52" sqref="F52:G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36</v>
      </c>
      <c r="D1" s="119"/>
      <c r="E1" s="119"/>
      <c r="F1" s="123" t="s">
        <v>15</v>
      </c>
      <c r="G1" s="43"/>
      <c r="H1" s="122" t="s">
        <v>106</v>
      </c>
      <c r="I1" s="42"/>
      <c r="J1" s="43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11">
        <f>(E3-F3)/D3</f>
        <v>3655.2795071093933</v>
      </c>
      <c r="B3" s="114">
        <f>E3/D3</f>
        <v>3723.3592468248894</v>
      </c>
      <c r="C3" s="126">
        <f>H3*I3</f>
        <v>145604.56773600003</v>
      </c>
      <c r="D3" s="121">
        <f>SUM(D7:D505)</f>
        <v>49.843919999999997</v>
      </c>
      <c r="E3" s="124">
        <f>SUM(E7:E505)</f>
        <v>185586.82043000002</v>
      </c>
      <c r="F3" s="124">
        <f>SUM(F6:G505)</f>
        <v>3393.3611000000001</v>
      </c>
      <c r="G3" s="7">
        <f>G4/E3</f>
        <v>38.12398396688112</v>
      </c>
      <c r="H3" s="116">
        <v>4563.6912000000002</v>
      </c>
      <c r="I3" s="129">
        <f>投資!G2</f>
        <v>31.905000000000001</v>
      </c>
      <c r="J3" s="117">
        <f>SUM(J7:J505)</f>
        <v>5866.8400000000011</v>
      </c>
    </row>
    <row r="4" spans="1:10" ht="18.75" customHeight="1">
      <c r="A4" s="45"/>
      <c r="B4" s="45"/>
      <c r="C4" s="113"/>
      <c r="D4" s="45"/>
      <c r="E4" s="45"/>
      <c r="F4" s="45"/>
      <c r="G4" s="32">
        <f>D3*C3-E3+F3</f>
        <v>7075308.9665377662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3"/>
      <c r="H5" s="112" t="s">
        <v>45</v>
      </c>
      <c r="I5" s="112" t="s">
        <v>108</v>
      </c>
      <c r="J5" s="112" t="s">
        <v>109</v>
      </c>
    </row>
    <row r="6" spans="1:10">
      <c r="A6" s="17">
        <v>1</v>
      </c>
      <c r="B6" s="110" t="s">
        <v>49</v>
      </c>
      <c r="C6" s="42"/>
      <c r="D6" s="42"/>
      <c r="E6" s="43"/>
      <c r="F6" s="115"/>
      <c r="G6" s="43"/>
      <c r="H6" s="113"/>
      <c r="I6" s="113"/>
      <c r="J6" s="113"/>
    </row>
    <row r="7" spans="1:10">
      <c r="A7" s="17">
        <v>2</v>
      </c>
      <c r="B7" s="25" t="s">
        <v>50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3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110</v>
      </c>
      <c r="C8" s="36">
        <f t="shared" si="0"/>
        <v>3071.5083</v>
      </c>
      <c r="D8" s="26">
        <v>0.32553500000000002</v>
      </c>
      <c r="E8" s="26">
        <v>1000</v>
      </c>
      <c r="F8" s="109"/>
      <c r="G8" s="43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111</v>
      </c>
      <c r="C9" s="36">
        <f t="shared" si="0"/>
        <v>3114.2246399999999</v>
      </c>
      <c r="D9" s="26">
        <v>0.321135</v>
      </c>
      <c r="E9" s="26">
        <v>1000</v>
      </c>
      <c r="F9" s="109"/>
      <c r="G9" s="43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111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3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112</v>
      </c>
      <c r="C11" s="36">
        <f t="shared" si="0"/>
        <v>0</v>
      </c>
      <c r="D11" s="26"/>
      <c r="E11" s="26"/>
      <c r="F11" s="109">
        <v>126</v>
      </c>
      <c r="G11" s="43"/>
      <c r="H11" s="20"/>
      <c r="I11" s="20"/>
      <c r="J11" s="20"/>
    </row>
    <row r="12" spans="1:10">
      <c r="A12" s="17">
        <v>7</v>
      </c>
      <c r="B12" s="25" t="s">
        <v>55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3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57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3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58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3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113</v>
      </c>
      <c r="C15" s="36">
        <f t="shared" si="0"/>
        <v>0</v>
      </c>
      <c r="D15" s="26"/>
      <c r="E15" s="26"/>
      <c r="F15" s="109">
        <v>254</v>
      </c>
      <c r="G15" s="43"/>
      <c r="H15" s="20"/>
      <c r="I15" s="20"/>
      <c r="J15" s="20"/>
    </row>
    <row r="16" spans="1:10">
      <c r="A16" s="17">
        <v>11</v>
      </c>
      <c r="B16" s="25" t="s">
        <v>60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3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114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3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63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3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115</v>
      </c>
      <c r="C19" s="36">
        <f t="shared" si="0"/>
        <v>0</v>
      </c>
      <c r="D19" s="26"/>
      <c r="E19" s="26"/>
      <c r="F19" s="109">
        <v>148</v>
      </c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3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65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3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66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3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116</v>
      </c>
      <c r="C23" s="36">
        <f t="shared" si="0"/>
        <v>0</v>
      </c>
      <c r="D23" s="26"/>
      <c r="E23" s="26"/>
      <c r="F23" s="109">
        <v>217</v>
      </c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3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68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3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71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3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3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73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3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74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3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117</v>
      </c>
      <c r="C31" s="36">
        <f t="shared" si="0"/>
        <v>0</v>
      </c>
      <c r="D31" s="26"/>
      <c r="E31" s="26"/>
      <c r="F31" s="109">
        <v>568</v>
      </c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3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78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3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79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3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118</v>
      </c>
      <c r="C35" s="36">
        <f t="shared" si="0"/>
        <v>0</v>
      </c>
      <c r="D35" s="26"/>
      <c r="E35" s="26"/>
      <c r="F35" s="109">
        <v>273</v>
      </c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3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81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3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82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3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119</v>
      </c>
      <c r="C39" s="36">
        <f t="shared" si="0"/>
        <v>0</v>
      </c>
      <c r="D39" s="26"/>
      <c r="E39" s="26"/>
      <c r="F39" s="109">
        <v>398</v>
      </c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3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84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3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120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3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121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3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122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3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123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3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89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3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90</v>
      </c>
      <c r="C47" s="36">
        <f t="shared" si="0"/>
        <v>4430.625</v>
      </c>
      <c r="D47" s="26">
        <v>0.91691</v>
      </c>
      <c r="E47" s="26">
        <v>4075</v>
      </c>
      <c r="F47" s="109"/>
      <c r="G47" s="43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09">
        <f>36.62*投資!G2</f>
        <v>1168.3610999999999</v>
      </c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125</v>
      </c>
      <c r="C49" s="36">
        <f t="shared" si="0"/>
        <v>4553.8006500000001</v>
      </c>
      <c r="D49" s="26">
        <v>0.21018000000000001</v>
      </c>
      <c r="E49" s="26">
        <f>30.01*投資!G2</f>
        <v>957.46905000000004</v>
      </c>
      <c r="F49" s="109"/>
      <c r="G49" s="43"/>
      <c r="H49" s="20">
        <v>142.72999999999999</v>
      </c>
      <c r="I49" s="20">
        <f>投資!G2</f>
        <v>31.905000000000001</v>
      </c>
      <c r="J49" s="20">
        <v>30.01</v>
      </c>
    </row>
    <row r="50" spans="1:10" s="12" customFormat="1" ht="16.5" customHeight="1">
      <c r="A50" s="17">
        <v>45</v>
      </c>
      <c r="B50" s="25" t="s">
        <v>93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3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94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3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156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3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36</v>
      </c>
      <c r="D1" s="119"/>
      <c r="E1" s="119"/>
      <c r="F1" s="123" t="s">
        <v>126</v>
      </c>
      <c r="G1" s="43"/>
      <c r="H1" s="122"/>
      <c r="I1" s="42"/>
      <c r="J1" s="43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127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45"/>
      <c r="B4" s="45"/>
      <c r="C4" s="113"/>
      <c r="D4" s="45"/>
      <c r="E4" s="45"/>
      <c r="F4" s="45"/>
      <c r="G4" s="32">
        <f>D3*C3-E3+F3</f>
        <v>36554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3"/>
      <c r="H5" s="112"/>
      <c r="I5" s="112"/>
      <c r="J5" s="112"/>
    </row>
    <row r="6" spans="1:10">
      <c r="A6" s="17">
        <v>1</v>
      </c>
      <c r="B6" s="110" t="s">
        <v>49</v>
      </c>
      <c r="C6" s="42"/>
      <c r="D6" s="42"/>
      <c r="E6" s="43"/>
      <c r="F6" s="115"/>
      <c r="G6" s="43"/>
      <c r="H6" s="113"/>
      <c r="I6" s="113"/>
      <c r="J6" s="113"/>
    </row>
    <row r="7" spans="1:10">
      <c r="A7" s="17">
        <v>2</v>
      </c>
      <c r="B7" s="25" t="s">
        <v>53</v>
      </c>
      <c r="C7" s="26">
        <v>31.92</v>
      </c>
      <c r="D7" s="26">
        <v>30</v>
      </c>
      <c r="E7" s="26">
        <v>958</v>
      </c>
      <c r="F7" s="109"/>
      <c r="G7" s="43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3"/>
      <c r="H8" s="20"/>
      <c r="I8" s="20"/>
      <c r="J8" s="20"/>
    </row>
    <row r="9" spans="1:10">
      <c r="A9" s="17">
        <v>4</v>
      </c>
      <c r="B9" s="25" t="s">
        <v>54</v>
      </c>
      <c r="C9" s="26">
        <v>31.03</v>
      </c>
      <c r="D9" s="26">
        <v>30</v>
      </c>
      <c r="E9" s="26">
        <v>932</v>
      </c>
      <c r="F9" s="109"/>
      <c r="G9" s="43"/>
      <c r="H9" s="20"/>
      <c r="I9" s="20"/>
      <c r="J9" s="20"/>
    </row>
    <row r="10" spans="1:10">
      <c r="A10" s="17">
        <v>5</v>
      </c>
      <c r="B10" s="25" t="s">
        <v>55</v>
      </c>
      <c r="C10" s="26">
        <v>31.12</v>
      </c>
      <c r="D10" s="26">
        <v>31</v>
      </c>
      <c r="E10" s="18">
        <v>966</v>
      </c>
      <c r="F10" s="109"/>
      <c r="G10" s="43"/>
      <c r="H10" s="20"/>
      <c r="I10" s="20"/>
      <c r="J10" s="20"/>
    </row>
    <row r="11" spans="1:10">
      <c r="A11" s="17">
        <v>6</v>
      </c>
      <c r="B11" s="25" t="s">
        <v>128</v>
      </c>
      <c r="C11" s="26">
        <v>30.79</v>
      </c>
      <c r="D11" s="26">
        <v>50</v>
      </c>
      <c r="E11" s="26">
        <v>1541</v>
      </c>
      <c r="F11" s="109"/>
      <c r="G11" s="43"/>
      <c r="H11" s="20"/>
      <c r="I11" s="20"/>
      <c r="J11" s="20"/>
    </row>
    <row r="12" spans="1:10">
      <c r="A12" s="17">
        <v>7</v>
      </c>
      <c r="B12" s="25" t="s">
        <v>57</v>
      </c>
      <c r="C12" s="26">
        <v>31.67</v>
      </c>
      <c r="D12" s="26">
        <v>30</v>
      </c>
      <c r="E12" s="26">
        <v>951</v>
      </c>
      <c r="F12" s="109"/>
      <c r="G12" s="43"/>
      <c r="H12" s="20"/>
      <c r="I12" s="20"/>
      <c r="J12" s="20"/>
    </row>
    <row r="13" spans="1:10">
      <c r="A13" s="17">
        <v>8</v>
      </c>
      <c r="B13" s="25" t="s">
        <v>58</v>
      </c>
      <c r="C13" s="26">
        <v>31.67</v>
      </c>
      <c r="D13" s="26">
        <v>30</v>
      </c>
      <c r="E13" s="26">
        <v>951</v>
      </c>
      <c r="F13" s="109"/>
      <c r="G13" s="43"/>
      <c r="H13" s="20"/>
      <c r="I13" s="20"/>
      <c r="J13" s="20"/>
    </row>
    <row r="14" spans="1:10">
      <c r="A14" s="17">
        <v>9</v>
      </c>
      <c r="B14" s="25" t="s">
        <v>59</v>
      </c>
      <c r="C14" s="26"/>
      <c r="D14" s="26"/>
      <c r="E14" s="26"/>
      <c r="F14" s="109">
        <v>1234</v>
      </c>
      <c r="G14" s="43"/>
      <c r="H14" s="20"/>
      <c r="I14" s="20"/>
      <c r="J14" s="20"/>
    </row>
    <row r="15" spans="1:10">
      <c r="A15" s="17">
        <v>10</v>
      </c>
      <c r="B15" s="25" t="s">
        <v>60</v>
      </c>
      <c r="C15" s="26">
        <v>32.1</v>
      </c>
      <c r="D15" s="26">
        <v>30</v>
      </c>
      <c r="E15" s="26">
        <v>964</v>
      </c>
      <c r="F15" s="109"/>
      <c r="G15" s="43"/>
      <c r="H15" s="20"/>
      <c r="I15" s="20"/>
      <c r="J15" s="20"/>
    </row>
    <row r="16" spans="1:10">
      <c r="A16" s="17">
        <v>11</v>
      </c>
      <c r="B16" s="25" t="s">
        <v>129</v>
      </c>
      <c r="C16" s="26">
        <v>31.57</v>
      </c>
      <c r="D16" s="26">
        <v>50</v>
      </c>
      <c r="E16" s="26">
        <v>1580</v>
      </c>
      <c r="F16" s="109"/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62</v>
      </c>
      <c r="C17" s="26">
        <v>34.36</v>
      </c>
      <c r="D17" s="26">
        <v>28</v>
      </c>
      <c r="E17" s="26">
        <v>863</v>
      </c>
      <c r="F17" s="109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63</v>
      </c>
      <c r="C18" s="26">
        <v>35.65</v>
      </c>
      <c r="D18" s="26">
        <v>26</v>
      </c>
      <c r="E18" s="26">
        <v>928</v>
      </c>
      <c r="F18" s="109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64</v>
      </c>
      <c r="C19" s="26">
        <v>38.24</v>
      </c>
      <c r="D19" s="26">
        <v>25</v>
      </c>
      <c r="E19" s="26">
        <v>957</v>
      </c>
      <c r="F19" s="109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65</v>
      </c>
      <c r="C20" s="26">
        <v>38.520000000000003</v>
      </c>
      <c r="D20" s="26">
        <v>25</v>
      </c>
      <c r="E20" s="26">
        <v>964</v>
      </c>
      <c r="F20" s="109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66</v>
      </c>
      <c r="C21" s="26">
        <v>41.65</v>
      </c>
      <c r="D21" s="26">
        <v>23</v>
      </c>
      <c r="E21" s="26">
        <v>959</v>
      </c>
      <c r="F21" s="109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67</v>
      </c>
      <c r="C22" s="26">
        <v>46.29</v>
      </c>
      <c r="D22" s="26">
        <v>21</v>
      </c>
      <c r="E22" s="26">
        <v>973</v>
      </c>
      <c r="F22" s="109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68</v>
      </c>
      <c r="C23" s="26">
        <v>39.24</v>
      </c>
      <c r="D23" s="26">
        <v>25</v>
      </c>
      <c r="E23" s="26">
        <v>982</v>
      </c>
      <c r="F23" s="109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69</v>
      </c>
      <c r="C24" s="26"/>
      <c r="D24" s="26"/>
      <c r="E24" s="26"/>
      <c r="F24" s="109">
        <v>593</v>
      </c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70</v>
      </c>
      <c r="C25" s="26">
        <v>43</v>
      </c>
      <c r="D25" s="26">
        <v>11</v>
      </c>
      <c r="E25" s="26">
        <v>474</v>
      </c>
      <c r="F25" s="109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71</v>
      </c>
      <c r="C26" s="26">
        <v>41.04</v>
      </c>
      <c r="D26" s="26">
        <v>24</v>
      </c>
      <c r="E26" s="26">
        <v>986</v>
      </c>
      <c r="F26" s="109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72</v>
      </c>
      <c r="C27" s="26">
        <v>43.86</v>
      </c>
      <c r="D27" s="26">
        <v>22</v>
      </c>
      <c r="E27" s="26">
        <v>965</v>
      </c>
      <c r="F27" s="109"/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26">
        <v>45.76</v>
      </c>
      <c r="D28" s="26">
        <v>21</v>
      </c>
      <c r="E28" s="26">
        <v>962</v>
      </c>
      <c r="F28" s="109"/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74</v>
      </c>
      <c r="C29" s="26">
        <v>44.95</v>
      </c>
      <c r="D29" s="26">
        <v>22</v>
      </c>
      <c r="E29" s="26">
        <v>990</v>
      </c>
      <c r="F29" s="109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75</v>
      </c>
      <c r="C30" s="26"/>
      <c r="D30" s="26"/>
      <c r="E30" s="26"/>
      <c r="F30" s="109">
        <v>919</v>
      </c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76</v>
      </c>
      <c r="C31" s="26">
        <v>44.45</v>
      </c>
      <c r="D31" s="26">
        <v>20</v>
      </c>
      <c r="E31" s="26">
        <v>890</v>
      </c>
      <c r="F31" s="109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26">
        <v>45.95</v>
      </c>
      <c r="D32" s="26">
        <v>21</v>
      </c>
      <c r="E32" s="26">
        <v>966</v>
      </c>
      <c r="F32" s="109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78</v>
      </c>
      <c r="C33" s="26">
        <v>45.67</v>
      </c>
      <c r="D33" s="26">
        <v>21</v>
      </c>
      <c r="E33" s="26">
        <v>960</v>
      </c>
      <c r="F33" s="109"/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79</v>
      </c>
      <c r="C34" s="26">
        <v>43.82</v>
      </c>
      <c r="D34" s="26">
        <v>22</v>
      </c>
      <c r="E34" s="26">
        <v>965</v>
      </c>
      <c r="F34" s="109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80</v>
      </c>
      <c r="C35" s="26">
        <v>37.08</v>
      </c>
      <c r="D35" s="26">
        <v>26</v>
      </c>
      <c r="E35" s="26">
        <v>965</v>
      </c>
      <c r="F35" s="109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26">
        <v>39.92</v>
      </c>
      <c r="D36" s="26">
        <v>24</v>
      </c>
      <c r="E36" s="26">
        <v>959</v>
      </c>
      <c r="F36" s="109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82</v>
      </c>
      <c r="C37" s="26">
        <v>42.22</v>
      </c>
      <c r="D37" s="26">
        <v>23</v>
      </c>
      <c r="E37" s="26">
        <v>972</v>
      </c>
      <c r="F37" s="109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83</v>
      </c>
      <c r="C38" s="26">
        <v>44.82</v>
      </c>
      <c r="D38" s="26">
        <v>22</v>
      </c>
      <c r="E38" s="26">
        <v>987</v>
      </c>
      <c r="F38" s="109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84</v>
      </c>
      <c r="C39" s="26">
        <v>46.48</v>
      </c>
      <c r="D39" s="26">
        <v>21</v>
      </c>
      <c r="E39" s="26">
        <v>977</v>
      </c>
      <c r="F39" s="109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85</v>
      </c>
      <c r="C40" s="26"/>
      <c r="D40" s="26"/>
      <c r="E40" s="26"/>
      <c r="F40" s="109">
        <v>1088</v>
      </c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86</v>
      </c>
      <c r="C41" s="26">
        <v>48.25</v>
      </c>
      <c r="D41" s="26">
        <v>20</v>
      </c>
      <c r="E41" s="26">
        <v>966</v>
      </c>
      <c r="F41" s="109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26">
        <v>48.6</v>
      </c>
      <c r="D42" s="26">
        <v>20</v>
      </c>
      <c r="E42" s="26">
        <v>973</v>
      </c>
      <c r="F42" s="109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130</v>
      </c>
      <c r="C43" s="26">
        <v>48.75</v>
      </c>
      <c r="D43" s="26">
        <v>-1794</v>
      </c>
      <c r="E43" s="26"/>
      <c r="F43" s="109">
        <v>94370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3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3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3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3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3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3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3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3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36</v>
      </c>
      <c r="D1" s="119"/>
      <c r="E1" s="119"/>
      <c r="F1" s="123" t="s">
        <v>131</v>
      </c>
      <c r="G1" s="43"/>
      <c r="H1" s="122" t="s">
        <v>106</v>
      </c>
      <c r="I1" s="42"/>
      <c r="J1" s="43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2366.7129000000004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132</v>
      </c>
      <c r="I3" s="120">
        <f>投資!G2</f>
        <v>31.905000000000001</v>
      </c>
      <c r="J3" s="117">
        <f>SUM(J7:J505)</f>
        <v>-41.149999999999864</v>
      </c>
    </row>
    <row r="4" spans="1:10" ht="18.75" customHeight="1">
      <c r="A4" s="45"/>
      <c r="B4" s="45"/>
      <c r="C4" s="128"/>
      <c r="D4" s="45"/>
      <c r="E4" s="45"/>
      <c r="F4" s="45"/>
      <c r="G4" s="32">
        <f>D3*C3-E3+F3</f>
        <v>443</v>
      </c>
      <c r="H4" s="113"/>
      <c r="I4" s="113"/>
      <c r="J4" s="113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25" t="s">
        <v>48</v>
      </c>
      <c r="G5" s="43"/>
      <c r="H5" s="112" t="s">
        <v>45</v>
      </c>
      <c r="I5" s="112" t="s">
        <v>108</v>
      </c>
      <c r="J5" s="112" t="s">
        <v>109</v>
      </c>
    </row>
    <row r="6" spans="1:10">
      <c r="A6" s="17">
        <v>1</v>
      </c>
      <c r="B6" s="110" t="s">
        <v>49</v>
      </c>
      <c r="C6" s="42"/>
      <c r="D6" s="42"/>
      <c r="E6" s="43"/>
      <c r="F6" s="115"/>
      <c r="G6" s="43"/>
      <c r="H6" s="113"/>
      <c r="I6" s="113"/>
      <c r="J6" s="113"/>
    </row>
    <row r="7" spans="1:10">
      <c r="A7" s="17">
        <v>2</v>
      </c>
      <c r="B7" s="25" t="s">
        <v>50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3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133</v>
      </c>
      <c r="C8" s="36">
        <f t="shared" si="0"/>
        <v>0</v>
      </c>
      <c r="D8" s="26"/>
      <c r="E8" s="26"/>
      <c r="F8" s="109">
        <v>2</v>
      </c>
      <c r="G8" s="43"/>
      <c r="H8" s="20"/>
      <c r="I8" s="20"/>
      <c r="J8" s="20"/>
    </row>
    <row r="9" spans="1:10">
      <c r="A9" s="17">
        <v>4</v>
      </c>
      <c r="B9" s="25" t="s">
        <v>110</v>
      </c>
      <c r="C9" s="36">
        <f t="shared" si="0"/>
        <v>2267.0656499999996</v>
      </c>
      <c r="D9" s="26">
        <v>0.441048</v>
      </c>
      <c r="E9" s="26">
        <v>1000</v>
      </c>
      <c r="F9" s="109"/>
      <c r="G9" s="43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3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3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3"/>
      <c r="H12" s="20"/>
      <c r="I12" s="20"/>
      <c r="J12" s="20"/>
    </row>
    <row r="13" spans="1:10">
      <c r="A13" s="17">
        <v>8</v>
      </c>
      <c r="B13" s="25" t="s">
        <v>55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3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135</v>
      </c>
      <c r="C14" s="36">
        <f t="shared" si="0"/>
        <v>0</v>
      </c>
      <c r="D14" s="26"/>
      <c r="E14" s="26"/>
      <c r="F14" s="109">
        <v>25</v>
      </c>
      <c r="G14" s="43"/>
      <c r="H14" s="20"/>
      <c r="I14" s="20"/>
      <c r="J14" s="20"/>
    </row>
    <row r="15" spans="1:10">
      <c r="A15" s="17">
        <v>10</v>
      </c>
      <c r="B15" s="25" t="s">
        <v>57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3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136</v>
      </c>
      <c r="C16" s="36">
        <f t="shared" si="0"/>
        <v>0</v>
      </c>
      <c r="D16" s="26"/>
      <c r="E16" s="26"/>
      <c r="F16" s="109">
        <v>28</v>
      </c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3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59</v>
      </c>
      <c r="C18" s="36">
        <f t="shared" si="0"/>
        <v>0</v>
      </c>
      <c r="D18" s="26"/>
      <c r="E18" s="26"/>
      <c r="F18" s="109">
        <v>29</v>
      </c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137</v>
      </c>
      <c r="C19" s="36">
        <f t="shared" si="0"/>
        <v>0</v>
      </c>
      <c r="D19" s="26"/>
      <c r="E19" s="26"/>
      <c r="F19" s="109">
        <v>32</v>
      </c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60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3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114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3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138</v>
      </c>
      <c r="C22" s="36">
        <f t="shared" si="0"/>
        <v>0</v>
      </c>
      <c r="D22" s="26"/>
      <c r="E22" s="26"/>
      <c r="F22" s="109">
        <v>35</v>
      </c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63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3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139</v>
      </c>
      <c r="C24" s="36">
        <f t="shared" si="0"/>
        <v>0</v>
      </c>
      <c r="D24" s="26"/>
      <c r="E24" s="26"/>
      <c r="F24" s="109">
        <v>35</v>
      </c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64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3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140</v>
      </c>
      <c r="C26" s="36">
        <f t="shared" si="0"/>
        <v>0</v>
      </c>
      <c r="D26" s="26"/>
      <c r="E26" s="26"/>
      <c r="F26" s="109">
        <v>41</v>
      </c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65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3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141</v>
      </c>
      <c r="C28" s="36">
        <f t="shared" si="0"/>
        <v>0</v>
      </c>
      <c r="D28" s="26"/>
      <c r="E28" s="26"/>
      <c r="F28" s="109">
        <v>43</v>
      </c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66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3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142</v>
      </c>
      <c r="C30" s="36">
        <f t="shared" si="0"/>
        <v>0</v>
      </c>
      <c r="D30" s="26"/>
      <c r="E30" s="26"/>
      <c r="F30" s="109">
        <v>46</v>
      </c>
      <c r="G30" s="43"/>
      <c r="H30" s="20"/>
      <c r="I30" s="20"/>
      <c r="J30" s="20"/>
    </row>
    <row r="31" spans="1:10" s="12" customFormat="1" ht="16.5" customHeight="1">
      <c r="A31" s="17">
        <v>26</v>
      </c>
      <c r="B31" s="12" t="s">
        <v>67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3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143</v>
      </c>
      <c r="C32" s="36">
        <f t="shared" si="0"/>
        <v>0</v>
      </c>
      <c r="D32" s="26"/>
      <c r="E32" s="26"/>
      <c r="F32" s="109">
        <v>48</v>
      </c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68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3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144</v>
      </c>
      <c r="C34" s="36">
        <f t="shared" si="0"/>
        <v>0</v>
      </c>
      <c r="D34" s="26"/>
      <c r="E34" s="26"/>
      <c r="F34" s="109">
        <v>51</v>
      </c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71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3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145</v>
      </c>
      <c r="C36" s="36">
        <f t="shared" si="0"/>
        <v>0</v>
      </c>
      <c r="D36" s="26"/>
      <c r="E36" s="26"/>
      <c r="F36" s="109">
        <v>53</v>
      </c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72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3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146</v>
      </c>
      <c r="C38" s="36">
        <f t="shared" si="0"/>
        <v>0</v>
      </c>
      <c r="D38" s="26"/>
      <c r="E38" s="26"/>
      <c r="F38" s="109">
        <v>54</v>
      </c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73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3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147</v>
      </c>
      <c r="C40" s="36">
        <f t="shared" si="0"/>
        <v>0</v>
      </c>
      <c r="D40" s="26"/>
      <c r="E40" s="26"/>
      <c r="F40" s="109">
        <v>58</v>
      </c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74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3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148</v>
      </c>
      <c r="C42" s="36">
        <f t="shared" si="0"/>
        <v>0</v>
      </c>
      <c r="D42" s="26"/>
      <c r="E42" s="26"/>
      <c r="F42" s="109">
        <v>60</v>
      </c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149</v>
      </c>
      <c r="C43" s="36">
        <f t="shared" si="0"/>
        <v>0</v>
      </c>
      <c r="D43" s="26"/>
      <c r="E43" s="26"/>
      <c r="F43" s="109">
        <v>65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77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3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78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3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150</v>
      </c>
      <c r="C46" s="36">
        <f t="shared" si="0"/>
        <v>0</v>
      </c>
      <c r="D46" s="26"/>
      <c r="E46" s="26"/>
      <c r="F46" s="109">
        <v>68</v>
      </c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79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3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151</v>
      </c>
      <c r="C48" s="36">
        <f t="shared" si="0"/>
        <v>0</v>
      </c>
      <c r="D48" s="26"/>
      <c r="E48" s="26"/>
      <c r="F48" s="109">
        <v>66</v>
      </c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80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3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152</v>
      </c>
      <c r="C50" s="36">
        <f t="shared" si="0"/>
        <v>0</v>
      </c>
      <c r="D50" s="26"/>
      <c r="E50" s="26"/>
      <c r="F50" s="109">
        <v>246</v>
      </c>
      <c r="G50" s="43"/>
      <c r="H50" s="20"/>
      <c r="I50" s="20"/>
      <c r="J50" s="20"/>
    </row>
    <row r="51" spans="1:10" s="12" customFormat="1" ht="16.5" customHeight="1">
      <c r="A51" s="17">
        <v>46</v>
      </c>
      <c r="B51" s="25" t="s">
        <v>81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3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153</v>
      </c>
      <c r="C52" s="36">
        <f t="shared" si="0"/>
        <v>0</v>
      </c>
      <c r="D52" s="26"/>
      <c r="E52" s="26"/>
      <c r="F52" s="109">
        <v>69</v>
      </c>
      <c r="G52" s="43"/>
      <c r="H52" s="20"/>
      <c r="I52" s="20"/>
      <c r="J52" s="20"/>
    </row>
    <row r="53" spans="1:10" s="12" customFormat="1" ht="16.5" customHeight="1">
      <c r="A53" s="17">
        <v>48</v>
      </c>
      <c r="B53" s="25" t="s">
        <v>82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3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154</v>
      </c>
      <c r="C54" s="36">
        <f t="shared" si="0"/>
        <v>0</v>
      </c>
      <c r="D54" s="26"/>
      <c r="E54" s="26"/>
      <c r="F54" s="109">
        <v>72</v>
      </c>
      <c r="G54" s="43"/>
      <c r="H54" s="20"/>
      <c r="I54" s="20"/>
      <c r="J54" s="20"/>
    </row>
    <row r="55" spans="1:10" s="12" customFormat="1" ht="16.5" customHeight="1">
      <c r="A55" s="17">
        <v>50</v>
      </c>
      <c r="B55" s="25" t="s">
        <v>155</v>
      </c>
      <c r="C55" s="36">
        <f t="shared" si="0"/>
        <v>0</v>
      </c>
      <c r="D55" s="26"/>
      <c r="E55" s="26"/>
      <c r="F55" s="109">
        <v>71</v>
      </c>
      <c r="G55" s="43"/>
      <c r="H55" s="20"/>
      <c r="I55" s="20"/>
      <c r="J55" s="20"/>
    </row>
    <row r="56" spans="1:10" s="12" customFormat="1" ht="16.5" customHeight="1">
      <c r="A56" s="17">
        <v>51</v>
      </c>
      <c r="B56" s="25" t="s">
        <v>85</v>
      </c>
      <c r="C56" s="36">
        <f t="shared" si="0"/>
        <v>0</v>
      </c>
      <c r="D56" s="26"/>
      <c r="E56" s="26"/>
      <c r="F56" s="109">
        <v>74</v>
      </c>
      <c r="G56" s="43"/>
      <c r="H56" s="20"/>
      <c r="I56" s="20"/>
      <c r="J56" s="20"/>
    </row>
    <row r="57" spans="1:10" s="12" customFormat="1" ht="16.5" customHeight="1">
      <c r="A57" s="17">
        <v>52</v>
      </c>
      <c r="B57" s="25" t="s">
        <v>120</v>
      </c>
      <c r="C57" s="36">
        <f t="shared" si="0"/>
        <v>0</v>
      </c>
      <c r="D57" s="26"/>
      <c r="E57" s="26"/>
      <c r="F57" s="109">
        <v>76</v>
      </c>
      <c r="G57" s="43"/>
      <c r="H57" s="20"/>
      <c r="I57" s="20"/>
      <c r="J57" s="20"/>
    </row>
    <row r="58" spans="1:10" s="12" customFormat="1" ht="16.5" customHeight="1">
      <c r="A58" s="17">
        <v>53</v>
      </c>
      <c r="B58" s="25" t="s">
        <v>121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3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2026-03-16T02:18:23Z</dcterms:modified>
  <dc:language>en-US</dc:language>
</cp:coreProperties>
</file>