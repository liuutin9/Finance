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19850.84375</v>
                </pt>
                <pt idx="2">
                  <v>322244.40785</v>
                </pt>
                <pt idx="3">
                  <v>234416.2459523625</v>
                </pt>
                <pt idx="4">
                  <v>235017.918375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154237.84415</v>
                </pt>
                <pt idx="1">
                  <v>168006.5637</v>
                </pt>
                <pt idx="2">
                  <v>234416.2459523625</v>
                </pt>
                <pt idx="3">
                  <v>69285.25275</v>
                </pt>
                <pt idx="4">
                  <v>7473.46475</v>
                </pt>
                <pt idx="5">
                  <v>9860.021499999999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4" t="inlineStr">
        <is>
          <t>新台幣</t>
        </is>
      </c>
      <c r="B1" s="68" t="n"/>
      <c r="C1" s="68" t="n"/>
      <c r="D1" s="69" t="n"/>
      <c r="E1" s="81" t="inlineStr">
        <is>
          <t>美元</t>
        </is>
      </c>
      <c r="F1" s="68" t="n"/>
      <c r="G1" s="68" t="n"/>
      <c r="H1" s="69" t="n"/>
      <c r="I1" s="67" t="inlineStr">
        <is>
          <t>台股</t>
        </is>
      </c>
      <c r="J1" s="68" t="n"/>
      <c r="K1" s="68" t="n"/>
      <c r="L1" s="69" t="n"/>
      <c r="M1" s="115" t="inlineStr">
        <is>
          <t>美股</t>
        </is>
      </c>
      <c r="N1" s="68" t="n"/>
      <c r="O1" s="68" t="n"/>
      <c r="P1" s="69" t="n"/>
      <c r="Q1" s="103" t="inlineStr">
        <is>
          <t>加密貨幣</t>
        </is>
      </c>
      <c r="R1" s="68" t="n"/>
      <c r="S1" s="68" t="n"/>
      <c r="T1" s="69" t="n"/>
    </row>
    <row r="2" ht="17.25" customHeight="1">
      <c r="A2" s="121" t="inlineStr">
        <is>
          <t>永豐大戶活存</t>
        </is>
      </c>
      <c r="B2" s="122" t="n"/>
      <c r="C2" s="123" t="n">
        <v>224827</v>
      </c>
      <c r="D2" s="78" t="n"/>
      <c r="E2" s="124" t="inlineStr">
        <is>
          <t>美元活存</t>
        </is>
      </c>
      <c r="F2" s="122" t="n"/>
      <c r="G2" s="107" t="n">
        <v>4.72</v>
      </c>
      <c r="H2" s="78" t="n"/>
      <c r="I2" s="108" t="inlineStr">
        <is>
          <t>006208</t>
        </is>
      </c>
      <c r="J2" s="87" t="n"/>
      <c r="K2" s="77">
        <f>'006208'!D3*'006208'!C3*0.997</f>
        <v/>
      </c>
      <c r="L2" s="78" t="n"/>
      <c r="M2" s="113" t="inlineStr">
        <is>
          <t>VT</t>
        </is>
      </c>
      <c r="N2" s="87" t="n"/>
      <c r="O2" s="85">
        <f>VT!H3*VT!D3</f>
        <v/>
      </c>
      <c r="P2" s="78" t="n"/>
      <c r="Q2" s="86" t="inlineStr">
        <is>
          <t>BTC</t>
        </is>
      </c>
      <c r="R2" s="87" t="n"/>
      <c r="S2" s="116">
        <f>(682.1+1166.72+328.25)*投資!G2</f>
        <v/>
      </c>
      <c r="T2" s="78" t="n"/>
    </row>
    <row r="3" ht="17.25" customHeight="1">
      <c r="A3" s="71" t="inlineStr">
        <is>
          <t>玉山銀行活存</t>
        </is>
      </c>
      <c r="B3" s="42" t="n"/>
      <c r="C3" s="66" t="n">
        <v>11601</v>
      </c>
      <c r="D3" s="64" t="n"/>
      <c r="E3" s="70" t="inlineStr">
        <is>
          <t>Chase</t>
        </is>
      </c>
      <c r="F3" s="42" t="n"/>
      <c r="G3" s="101" t="n">
        <v>521.76</v>
      </c>
      <c r="H3" s="64" t="n"/>
      <c r="I3" s="120" t="inlineStr">
        <is>
          <t>2890</t>
        </is>
      </c>
      <c r="J3" s="99" t="n"/>
      <c r="K3" s="104">
        <f>'2890'!D3*'2890'!C3*0.997</f>
        <v/>
      </c>
      <c r="L3" s="64" t="n"/>
      <c r="M3" s="111" t="n"/>
      <c r="N3" s="99" t="n"/>
      <c r="O3" s="63" t="n"/>
      <c r="P3" s="64" t="n"/>
      <c r="Q3" s="98" t="inlineStr">
        <is>
          <t>ETH</t>
        </is>
      </c>
      <c r="R3" s="99" t="n"/>
      <c r="S3" s="72">
        <f>234.83*投資!G2</f>
        <v/>
      </c>
      <c r="T3" s="64" t="n"/>
    </row>
    <row r="4" ht="15.75" customHeight="1">
      <c r="A4" s="71" t="inlineStr">
        <is>
          <t>一銀iLeo活存</t>
        </is>
      </c>
      <c r="B4" s="42" t="n"/>
      <c r="C4" s="66" t="n">
        <v>120075</v>
      </c>
      <c r="D4" s="64" t="n"/>
      <c r="E4" s="70" t="inlineStr">
        <is>
          <t>Ether.fi</t>
        </is>
      </c>
      <c r="F4" s="42" t="n"/>
      <c r="G4" s="101" t="n">
        <v>97.27</v>
      </c>
      <c r="H4" s="64" t="n"/>
      <c r="I4" s="120" t="n"/>
      <c r="J4" s="99" t="n"/>
      <c r="K4" s="104" t="n"/>
      <c r="L4" s="64" t="n"/>
      <c r="M4" s="111" t="n"/>
      <c r="N4" s="99" t="n"/>
      <c r="O4" s="63" t="n"/>
      <c r="P4" s="64" t="n"/>
      <c r="Q4" s="98" t="inlineStr">
        <is>
          <t>SOL</t>
        </is>
      </c>
      <c r="R4" s="99" t="n"/>
      <c r="S4" s="72">
        <f>309.82*投資!G2</f>
        <v/>
      </c>
      <c r="T4" s="64" t="n"/>
    </row>
    <row r="5" ht="16.5" customHeight="1">
      <c r="A5" s="71" t="inlineStr">
        <is>
          <t>中華郵政活存</t>
        </is>
      </c>
      <c r="B5" s="42" t="n"/>
      <c r="C5" s="66" t="n">
        <v>0</v>
      </c>
      <c r="D5" s="64" t="n"/>
      <c r="E5" s="70" t="n"/>
      <c r="F5" s="42" t="n"/>
      <c r="G5" s="101" t="n"/>
      <c r="H5" s="64" t="n"/>
      <c r="I5" s="97" t="n"/>
      <c r="J5" s="42" t="n"/>
      <c r="K5" s="104" t="n"/>
      <c r="L5" s="64" t="n"/>
      <c r="M5" s="111" t="n"/>
      <c r="N5" s="99" t="n"/>
      <c r="O5" s="63" t="n"/>
      <c r="P5" s="64" t="n"/>
      <c r="Q5" s="98" t="inlineStr">
        <is>
          <t>SUI</t>
        </is>
      </c>
      <c r="R5" s="99" t="n"/>
      <c r="S5" s="72">
        <f>15.45*投資!G2</f>
        <v/>
      </c>
      <c r="T5" s="64" t="n"/>
    </row>
    <row r="6" ht="17.25" customHeight="1">
      <c r="A6" s="71" t="inlineStr">
        <is>
          <t>中國信託活存</t>
        </is>
      </c>
      <c r="B6" s="42" t="n"/>
      <c r="C6" s="66" t="n">
        <v>2</v>
      </c>
      <c r="D6" s="64" t="n"/>
      <c r="E6" s="70" t="n"/>
      <c r="F6" s="42" t="n"/>
      <c r="G6" s="101" t="n"/>
      <c r="H6" s="64" t="n"/>
      <c r="I6" s="97" t="n"/>
      <c r="J6" s="42" t="n"/>
      <c r="K6" s="104" t="n"/>
      <c r="L6" s="64" t="n"/>
      <c r="M6" s="84" t="n"/>
      <c r="N6" s="42" t="n"/>
      <c r="O6" s="63" t="n"/>
      <c r="P6" s="64" t="n"/>
      <c r="Q6" s="65" t="inlineStr">
        <is>
          <t>USDT</t>
        </is>
      </c>
      <c r="R6" s="42" t="n"/>
      <c r="S6" s="72">
        <f>(502.19+483.32+301.6+2206.02+151.975)*投資!G2</f>
        <v/>
      </c>
      <c r="T6" s="64" t="n"/>
    </row>
    <row r="7" ht="17.25" customHeight="1">
      <c r="A7" s="71" t="inlineStr">
        <is>
          <t>華南Sny活存</t>
        </is>
      </c>
      <c r="B7" s="42" t="n"/>
      <c r="C7" s="66" t="n">
        <v>100000</v>
      </c>
      <c r="D7" s="64" t="n"/>
      <c r="E7" s="70" t="n"/>
      <c r="F7" s="42" t="n"/>
      <c r="G7" s="101" t="n"/>
      <c r="H7" s="64" t="n"/>
      <c r="I7" s="97" t="n"/>
      <c r="J7" s="42" t="n"/>
      <c r="K7" s="104" t="n"/>
      <c r="L7" s="64" t="n"/>
      <c r="M7" s="84" t="n"/>
      <c r="N7" s="42" t="n"/>
      <c r="O7" s="63" t="n"/>
      <c r="P7" s="64" t="n"/>
      <c r="Q7" s="65" t="inlineStr">
        <is>
          <t>USDC</t>
        </is>
      </c>
      <c r="R7" s="42" t="n"/>
      <c r="S7" s="72">
        <f>(501.74+500.68)*投資!G2</f>
        <v/>
      </c>
      <c r="T7" s="64" t="n"/>
    </row>
    <row r="8" ht="17.25" customHeight="1">
      <c r="A8" s="71" t="inlineStr">
        <is>
          <t>定存</t>
        </is>
      </c>
      <c r="B8" s="42" t="n"/>
      <c r="C8" s="66" t="n">
        <v>60000</v>
      </c>
      <c r="D8" s="64" t="n"/>
      <c r="E8" s="70" t="n"/>
      <c r="F8" s="42" t="n"/>
      <c r="G8" s="101" t="n"/>
      <c r="H8" s="64" t="n"/>
      <c r="I8" s="97" t="n"/>
      <c r="J8" s="42" t="n"/>
      <c r="K8" s="104" t="n"/>
      <c r="L8" s="64" t="n"/>
      <c r="M8" s="84" t="n"/>
      <c r="N8" s="42" t="n"/>
      <c r="O8" s="63" t="n"/>
      <c r="P8" s="64" t="n"/>
      <c r="Q8" s="65" t="n"/>
      <c r="R8" s="42" t="n"/>
      <c r="S8" s="72" t="n"/>
      <c r="T8" s="64" t="n"/>
    </row>
    <row r="9" ht="17.25" customHeight="1" thickBot="1">
      <c r="A9" s="88" t="inlineStr">
        <is>
          <t>錢包</t>
        </is>
      </c>
      <c r="B9" s="89" t="n"/>
      <c r="C9" s="117" t="n">
        <v>800</v>
      </c>
      <c r="D9" s="118" t="n"/>
      <c r="E9" s="119" t="n"/>
      <c r="F9" s="80" t="n"/>
      <c r="G9" s="105" t="n"/>
      <c r="H9" s="83" t="n"/>
      <c r="I9" s="106" t="n"/>
      <c r="J9" s="80" t="n"/>
      <c r="K9" s="109" t="n"/>
      <c r="L9" s="83" t="n"/>
      <c r="M9" s="110" t="n"/>
      <c r="N9" s="80" t="n"/>
      <c r="O9" s="112" t="n"/>
      <c r="P9" s="83" t="n"/>
      <c r="Q9" s="79" t="n"/>
      <c r="R9" s="80" t="n"/>
      <c r="S9" s="82" t="n"/>
      <c r="T9" s="83" t="n"/>
    </row>
    <row r="10" ht="17.25" customHeight="1" thickBot="1">
      <c r="A10" s="73" t="inlineStr">
        <is>
          <t>總計</t>
        </is>
      </c>
      <c r="B10" s="74" t="n"/>
      <c r="C10" s="75">
        <f>SUM(C2:D9)</f>
        <v/>
      </c>
      <c r="D10" s="76" t="n"/>
      <c r="E10" s="73" t="inlineStr">
        <is>
          <t>總計</t>
        </is>
      </c>
      <c r="F10" s="74" t="n"/>
      <c r="G10" s="75">
        <f>SUM(G2:H9)*投資!G2</f>
        <v/>
      </c>
      <c r="H10" s="76" t="n"/>
      <c r="I10" s="73" t="inlineStr">
        <is>
          <t>總計</t>
        </is>
      </c>
      <c r="J10" s="74" t="n"/>
      <c r="K10" s="75">
        <f>SUM(K2:L9)</f>
        <v/>
      </c>
      <c r="L10" s="76" t="n"/>
      <c r="M10" s="73" t="inlineStr">
        <is>
          <t>總計</t>
        </is>
      </c>
      <c r="N10" s="74" t="n"/>
      <c r="O10" s="75">
        <f>SUM(O2:P9)</f>
        <v/>
      </c>
      <c r="P10" s="76" t="n"/>
      <c r="Q10" s="73" t="inlineStr">
        <is>
          <t>總計</t>
        </is>
      </c>
      <c r="R10" s="74" t="n"/>
      <c r="S10" s="75">
        <f>SUM(S2:T9)</f>
        <v/>
      </c>
      <c r="T10" s="76" t="n"/>
    </row>
    <row r="11" ht="31.5" customHeight="1" thickBot="1">
      <c r="A11" s="100" t="inlineStr">
        <is>
          <t>總資產</t>
        </is>
      </c>
      <c r="B11" s="76" t="n"/>
      <c r="C11" s="125" t="inlineStr">
        <is>
          <t>負債</t>
        </is>
      </c>
      <c r="D11" s="76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90">
        <f>C10+G10+K10+O10+S10</f>
        <v/>
      </c>
      <c r="B12" s="69" t="n"/>
      <c r="C12" s="93">
        <f>12012</f>
        <v/>
      </c>
      <c r="D12" s="94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1" t="n"/>
      <c r="B13" s="92" t="n"/>
      <c r="C13" s="95" t="n"/>
      <c r="D13" s="96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100" t="inlineStr">
        <is>
          <t>淨資產</t>
        </is>
      </c>
      <c r="B14" s="69" t="n"/>
      <c r="C14" s="125" t="inlineStr">
        <is>
          <t>負債率</t>
        </is>
      </c>
      <c r="D14" s="69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1" t="n"/>
      <c r="B15" s="92" t="n"/>
      <c r="C15" s="91" t="n"/>
      <c r="D15" s="92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90">
        <f>A12-C12</f>
        <v/>
      </c>
      <c r="B16" s="69" t="n"/>
      <c r="C16" s="102">
        <f>C12/A12</f>
        <v/>
      </c>
      <c r="D16" s="69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1" t="n"/>
      <c r="B17" s="92" t="n"/>
      <c r="C17" s="91" t="n"/>
      <c r="D17" s="92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6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31.705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6" t="inlineStr">
        <is>
          <t>美股</t>
        </is>
      </c>
      <c r="B8" s="44" t="n"/>
      <c r="C8" s="42" t="n"/>
      <c r="D8" s="5" t="n"/>
      <c r="E8" s="126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6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9" sqref="I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219.2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H52" sqref="H5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30.55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42" zoomScaleNormal="100" workbookViewId="0">
      <selection activeCell="F57" sqref="F57:G5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4773.5048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2026-05-04T22:00:21Z</dcterms:modified>
  <cp:lastModifiedBy>劉祐廷</cp:lastModifiedBy>
  <cp:revision>39</cp:revision>
  <cp:lastPrinted>2024-02-22T01:18:13Z</cp:lastPrinted>
</cp:coreProperties>
</file>