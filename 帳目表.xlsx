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54CDCD81-63B1-4BAC-9C3E-F8ABB46359B1}" xr6:coauthVersionLast="47" xr6:coauthVersionMax="47" xr10:uidLastSave="{00000000-0000-0000-0000-000000000000}"/>
  <bookViews>
    <workbookView xWindow="-110" yWindow="-110" windowWidth="19420" windowHeight="11500" tabRatio="679" activeTab="4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VOO" sheetId="6" r:id="rId6"/>
    <sheet name="00692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A10" i="2" s="1"/>
  <c r="D3" i="8"/>
  <c r="G4" i="8" s="1"/>
  <c r="G3" i="8" s="1"/>
  <c r="C3" i="8"/>
  <c r="B3" i="8"/>
  <c r="A3" i="8"/>
  <c r="F3" i="7"/>
  <c r="E3" i="7"/>
  <c r="D3" i="7"/>
  <c r="G4" i="7" s="1"/>
  <c r="G3" i="7" s="1"/>
  <c r="B3" i="7"/>
  <c r="A3" i="7"/>
  <c r="E505" i="6"/>
  <c r="C505" i="6"/>
  <c r="E504" i="6"/>
  <c r="C504" i="6"/>
  <c r="E503" i="6"/>
  <c r="C503" i="6"/>
  <c r="E502" i="6"/>
  <c r="C502" i="6"/>
  <c r="E501" i="6"/>
  <c r="C501" i="6"/>
  <c r="E500" i="6"/>
  <c r="C500" i="6"/>
  <c r="E499" i="6"/>
  <c r="C499" i="6"/>
  <c r="E498" i="6"/>
  <c r="C498" i="6"/>
  <c r="E497" i="6"/>
  <c r="C497" i="6"/>
  <c r="E496" i="6"/>
  <c r="C496" i="6"/>
  <c r="E495" i="6"/>
  <c r="C495" i="6"/>
  <c r="E494" i="6"/>
  <c r="C494" i="6"/>
  <c r="E493" i="6"/>
  <c r="C493" i="6"/>
  <c r="E492" i="6"/>
  <c r="C492" i="6"/>
  <c r="E491" i="6"/>
  <c r="C491" i="6"/>
  <c r="E490" i="6"/>
  <c r="C490" i="6"/>
  <c r="E489" i="6"/>
  <c r="C489" i="6"/>
  <c r="E488" i="6"/>
  <c r="C488" i="6"/>
  <c r="E487" i="6"/>
  <c r="C487" i="6"/>
  <c r="E486" i="6"/>
  <c r="C486" i="6"/>
  <c r="E485" i="6"/>
  <c r="C485" i="6"/>
  <c r="E484" i="6"/>
  <c r="C484" i="6"/>
  <c r="E483" i="6"/>
  <c r="C483" i="6"/>
  <c r="E482" i="6"/>
  <c r="C482" i="6"/>
  <c r="E481" i="6"/>
  <c r="C481" i="6"/>
  <c r="E480" i="6"/>
  <c r="C480" i="6"/>
  <c r="E479" i="6"/>
  <c r="C479" i="6"/>
  <c r="E478" i="6"/>
  <c r="C478" i="6"/>
  <c r="E477" i="6"/>
  <c r="C477" i="6"/>
  <c r="E476" i="6"/>
  <c r="C476" i="6"/>
  <c r="E475" i="6"/>
  <c r="C475" i="6"/>
  <c r="E474" i="6"/>
  <c r="C474" i="6"/>
  <c r="E473" i="6"/>
  <c r="C473" i="6"/>
  <c r="E472" i="6"/>
  <c r="C472" i="6"/>
  <c r="E471" i="6"/>
  <c r="C471" i="6"/>
  <c r="E470" i="6"/>
  <c r="C470" i="6"/>
  <c r="E469" i="6"/>
  <c r="C469" i="6"/>
  <c r="E468" i="6"/>
  <c r="C468" i="6"/>
  <c r="E467" i="6"/>
  <c r="C467" i="6"/>
  <c r="E466" i="6"/>
  <c r="C466" i="6"/>
  <c r="E465" i="6"/>
  <c r="C465" i="6"/>
  <c r="E464" i="6"/>
  <c r="C464" i="6"/>
  <c r="E463" i="6"/>
  <c r="C463" i="6"/>
  <c r="E462" i="6"/>
  <c r="C462" i="6"/>
  <c r="E461" i="6"/>
  <c r="C461" i="6"/>
  <c r="E460" i="6"/>
  <c r="C460" i="6"/>
  <c r="E459" i="6"/>
  <c r="C459" i="6"/>
  <c r="E458" i="6"/>
  <c r="C458" i="6"/>
  <c r="E457" i="6"/>
  <c r="C457" i="6"/>
  <c r="E456" i="6"/>
  <c r="C456" i="6"/>
  <c r="E455" i="6"/>
  <c r="C455" i="6"/>
  <c r="E454" i="6"/>
  <c r="C454" i="6"/>
  <c r="E453" i="6"/>
  <c r="C453" i="6"/>
  <c r="E452" i="6"/>
  <c r="C452" i="6"/>
  <c r="E451" i="6"/>
  <c r="C451" i="6"/>
  <c r="E450" i="6"/>
  <c r="C450" i="6"/>
  <c r="E449" i="6"/>
  <c r="C449" i="6"/>
  <c r="E448" i="6"/>
  <c r="C448" i="6"/>
  <c r="E447" i="6"/>
  <c r="C447" i="6"/>
  <c r="E446" i="6"/>
  <c r="C446" i="6"/>
  <c r="E445" i="6"/>
  <c r="C445" i="6"/>
  <c r="E444" i="6"/>
  <c r="C444" i="6"/>
  <c r="E443" i="6"/>
  <c r="C443" i="6"/>
  <c r="E442" i="6"/>
  <c r="C442" i="6"/>
  <c r="E441" i="6"/>
  <c r="C441" i="6"/>
  <c r="E440" i="6"/>
  <c r="C440" i="6"/>
  <c r="E439" i="6"/>
  <c r="C439" i="6"/>
  <c r="E438" i="6"/>
  <c r="C438" i="6"/>
  <c r="E437" i="6"/>
  <c r="C437" i="6"/>
  <c r="E436" i="6"/>
  <c r="C436" i="6"/>
  <c r="E435" i="6"/>
  <c r="C435" i="6"/>
  <c r="E434" i="6"/>
  <c r="C434" i="6"/>
  <c r="E433" i="6"/>
  <c r="C433" i="6"/>
  <c r="E432" i="6"/>
  <c r="C432" i="6"/>
  <c r="E431" i="6"/>
  <c r="C431" i="6"/>
  <c r="E430" i="6"/>
  <c r="C430" i="6"/>
  <c r="E429" i="6"/>
  <c r="C429" i="6"/>
  <c r="E428" i="6"/>
  <c r="C428" i="6"/>
  <c r="E427" i="6"/>
  <c r="C427" i="6"/>
  <c r="E426" i="6"/>
  <c r="C426" i="6"/>
  <c r="E425" i="6"/>
  <c r="C425" i="6"/>
  <c r="E424" i="6"/>
  <c r="C424" i="6"/>
  <c r="E423" i="6"/>
  <c r="C423" i="6"/>
  <c r="E422" i="6"/>
  <c r="C422" i="6"/>
  <c r="E421" i="6"/>
  <c r="C421" i="6"/>
  <c r="E420" i="6"/>
  <c r="C420" i="6"/>
  <c r="E419" i="6"/>
  <c r="C419" i="6"/>
  <c r="E418" i="6"/>
  <c r="C418" i="6"/>
  <c r="E417" i="6"/>
  <c r="C417" i="6"/>
  <c r="E416" i="6"/>
  <c r="C416" i="6"/>
  <c r="E415" i="6"/>
  <c r="C415" i="6"/>
  <c r="E414" i="6"/>
  <c r="C414" i="6"/>
  <c r="E413" i="6"/>
  <c r="C413" i="6"/>
  <c r="E412" i="6"/>
  <c r="C412" i="6"/>
  <c r="E411" i="6"/>
  <c r="C411" i="6"/>
  <c r="E410" i="6"/>
  <c r="C410" i="6"/>
  <c r="E409" i="6"/>
  <c r="C409" i="6"/>
  <c r="E408" i="6"/>
  <c r="C408" i="6"/>
  <c r="E407" i="6"/>
  <c r="C407" i="6"/>
  <c r="E406" i="6"/>
  <c r="C406" i="6"/>
  <c r="E405" i="6"/>
  <c r="C405" i="6"/>
  <c r="E404" i="6"/>
  <c r="C404" i="6"/>
  <c r="E403" i="6"/>
  <c r="C403" i="6"/>
  <c r="E402" i="6"/>
  <c r="C402" i="6"/>
  <c r="E401" i="6"/>
  <c r="C401" i="6"/>
  <c r="E400" i="6"/>
  <c r="C400" i="6"/>
  <c r="E399" i="6"/>
  <c r="C399" i="6"/>
  <c r="E398" i="6"/>
  <c r="C398" i="6"/>
  <c r="E397" i="6"/>
  <c r="C397" i="6"/>
  <c r="E396" i="6"/>
  <c r="C396" i="6"/>
  <c r="E395" i="6"/>
  <c r="C395" i="6"/>
  <c r="E394" i="6"/>
  <c r="C394" i="6"/>
  <c r="E393" i="6"/>
  <c r="C393" i="6"/>
  <c r="E392" i="6"/>
  <c r="C392" i="6"/>
  <c r="E391" i="6"/>
  <c r="C391" i="6"/>
  <c r="E390" i="6"/>
  <c r="C390" i="6"/>
  <c r="E389" i="6"/>
  <c r="C389" i="6"/>
  <c r="E388" i="6"/>
  <c r="C388" i="6"/>
  <c r="E387" i="6"/>
  <c r="C387" i="6"/>
  <c r="E386" i="6"/>
  <c r="C386" i="6"/>
  <c r="E385" i="6"/>
  <c r="C385" i="6"/>
  <c r="E384" i="6"/>
  <c r="C384" i="6"/>
  <c r="E383" i="6"/>
  <c r="C383" i="6"/>
  <c r="E382" i="6"/>
  <c r="C382" i="6"/>
  <c r="E381" i="6"/>
  <c r="C381" i="6"/>
  <c r="E380" i="6"/>
  <c r="C380" i="6"/>
  <c r="E379" i="6"/>
  <c r="C379" i="6"/>
  <c r="E378" i="6"/>
  <c r="C378" i="6"/>
  <c r="E377" i="6"/>
  <c r="C377" i="6"/>
  <c r="E376" i="6"/>
  <c r="C376" i="6"/>
  <c r="E375" i="6"/>
  <c r="C375" i="6"/>
  <c r="E374" i="6"/>
  <c r="C374" i="6"/>
  <c r="E373" i="6"/>
  <c r="C373" i="6"/>
  <c r="E372" i="6"/>
  <c r="C372" i="6"/>
  <c r="E371" i="6"/>
  <c r="C371" i="6"/>
  <c r="E370" i="6"/>
  <c r="C370" i="6"/>
  <c r="E369" i="6"/>
  <c r="C369" i="6"/>
  <c r="E368" i="6"/>
  <c r="C368" i="6"/>
  <c r="E367" i="6"/>
  <c r="C367" i="6"/>
  <c r="E366" i="6"/>
  <c r="C366" i="6"/>
  <c r="E365" i="6"/>
  <c r="C365" i="6"/>
  <c r="E364" i="6"/>
  <c r="C364" i="6"/>
  <c r="E363" i="6"/>
  <c r="C363" i="6"/>
  <c r="E362" i="6"/>
  <c r="C362" i="6"/>
  <c r="E361" i="6"/>
  <c r="C361" i="6"/>
  <c r="E360" i="6"/>
  <c r="C360" i="6"/>
  <c r="E359" i="6"/>
  <c r="C359" i="6"/>
  <c r="E358" i="6"/>
  <c r="C358" i="6"/>
  <c r="E357" i="6"/>
  <c r="C357" i="6"/>
  <c r="E356" i="6"/>
  <c r="C356" i="6"/>
  <c r="E355" i="6"/>
  <c r="C355" i="6"/>
  <c r="E354" i="6"/>
  <c r="C354" i="6"/>
  <c r="E353" i="6"/>
  <c r="C353" i="6"/>
  <c r="E352" i="6"/>
  <c r="C352" i="6"/>
  <c r="E351" i="6"/>
  <c r="C351" i="6"/>
  <c r="E350" i="6"/>
  <c r="C350" i="6"/>
  <c r="E349" i="6"/>
  <c r="C349" i="6"/>
  <c r="E348" i="6"/>
  <c r="C348" i="6"/>
  <c r="E347" i="6"/>
  <c r="C347" i="6"/>
  <c r="E346" i="6"/>
  <c r="C346" i="6"/>
  <c r="E345" i="6"/>
  <c r="C345" i="6"/>
  <c r="E344" i="6"/>
  <c r="C344" i="6"/>
  <c r="E343" i="6"/>
  <c r="C343" i="6"/>
  <c r="E342" i="6"/>
  <c r="C342" i="6"/>
  <c r="E341" i="6"/>
  <c r="C341" i="6"/>
  <c r="E340" i="6"/>
  <c r="C340" i="6"/>
  <c r="E339" i="6"/>
  <c r="C339" i="6"/>
  <c r="E338" i="6"/>
  <c r="C338" i="6"/>
  <c r="E337" i="6"/>
  <c r="C337" i="6"/>
  <c r="E336" i="6"/>
  <c r="C336" i="6"/>
  <c r="E335" i="6"/>
  <c r="C335" i="6"/>
  <c r="E334" i="6"/>
  <c r="C334" i="6"/>
  <c r="E333" i="6"/>
  <c r="C333" i="6"/>
  <c r="E332" i="6"/>
  <c r="C332" i="6"/>
  <c r="E331" i="6"/>
  <c r="C331" i="6"/>
  <c r="E330" i="6"/>
  <c r="C330" i="6"/>
  <c r="E329" i="6"/>
  <c r="C329" i="6"/>
  <c r="E328" i="6"/>
  <c r="C328" i="6"/>
  <c r="E327" i="6"/>
  <c r="C327" i="6"/>
  <c r="E326" i="6"/>
  <c r="C326" i="6"/>
  <c r="E325" i="6"/>
  <c r="C325" i="6"/>
  <c r="E324" i="6"/>
  <c r="C324" i="6"/>
  <c r="E323" i="6"/>
  <c r="C323" i="6"/>
  <c r="E322" i="6"/>
  <c r="C322" i="6"/>
  <c r="E321" i="6"/>
  <c r="C321" i="6"/>
  <c r="E320" i="6"/>
  <c r="C320" i="6"/>
  <c r="E319" i="6"/>
  <c r="C319" i="6"/>
  <c r="E318" i="6"/>
  <c r="C318" i="6"/>
  <c r="E317" i="6"/>
  <c r="C317" i="6"/>
  <c r="E316" i="6"/>
  <c r="C316" i="6"/>
  <c r="E315" i="6"/>
  <c r="C315" i="6"/>
  <c r="E314" i="6"/>
  <c r="C314" i="6"/>
  <c r="E313" i="6"/>
  <c r="C313" i="6"/>
  <c r="E312" i="6"/>
  <c r="C312" i="6"/>
  <c r="E311" i="6"/>
  <c r="C311" i="6"/>
  <c r="E310" i="6"/>
  <c r="C310" i="6"/>
  <c r="E309" i="6"/>
  <c r="C309" i="6"/>
  <c r="E308" i="6"/>
  <c r="C308" i="6"/>
  <c r="E307" i="6"/>
  <c r="C307" i="6"/>
  <c r="E306" i="6"/>
  <c r="C306" i="6"/>
  <c r="E305" i="6"/>
  <c r="C305" i="6"/>
  <c r="E304" i="6"/>
  <c r="C304" i="6"/>
  <c r="E303" i="6"/>
  <c r="C303" i="6"/>
  <c r="E302" i="6"/>
  <c r="C302" i="6"/>
  <c r="E301" i="6"/>
  <c r="C301" i="6"/>
  <c r="E300" i="6"/>
  <c r="C300" i="6"/>
  <c r="E299" i="6"/>
  <c r="C299" i="6"/>
  <c r="E298" i="6"/>
  <c r="C298" i="6"/>
  <c r="E297" i="6"/>
  <c r="C297" i="6"/>
  <c r="E296" i="6"/>
  <c r="C296" i="6"/>
  <c r="E295" i="6"/>
  <c r="C295" i="6"/>
  <c r="E294" i="6"/>
  <c r="C294" i="6"/>
  <c r="E293" i="6"/>
  <c r="C293" i="6"/>
  <c r="E292" i="6"/>
  <c r="C292" i="6"/>
  <c r="E291" i="6"/>
  <c r="C291" i="6"/>
  <c r="E290" i="6"/>
  <c r="C290" i="6"/>
  <c r="E289" i="6"/>
  <c r="C289" i="6"/>
  <c r="E288" i="6"/>
  <c r="C288" i="6"/>
  <c r="E287" i="6"/>
  <c r="C287" i="6"/>
  <c r="E286" i="6"/>
  <c r="C286" i="6"/>
  <c r="E285" i="6"/>
  <c r="C285" i="6"/>
  <c r="E284" i="6"/>
  <c r="C284" i="6"/>
  <c r="E283" i="6"/>
  <c r="C283" i="6"/>
  <c r="E282" i="6"/>
  <c r="C282" i="6"/>
  <c r="E281" i="6"/>
  <c r="C281" i="6"/>
  <c r="E280" i="6"/>
  <c r="C280" i="6"/>
  <c r="E279" i="6"/>
  <c r="C279" i="6"/>
  <c r="E278" i="6"/>
  <c r="C278" i="6"/>
  <c r="E277" i="6"/>
  <c r="C277" i="6"/>
  <c r="E276" i="6"/>
  <c r="C276" i="6"/>
  <c r="E275" i="6"/>
  <c r="C275" i="6"/>
  <c r="E274" i="6"/>
  <c r="C274" i="6"/>
  <c r="E273" i="6"/>
  <c r="C273" i="6"/>
  <c r="E272" i="6"/>
  <c r="C272" i="6"/>
  <c r="E271" i="6"/>
  <c r="C271" i="6"/>
  <c r="E270" i="6"/>
  <c r="C270" i="6"/>
  <c r="E269" i="6"/>
  <c r="C269" i="6"/>
  <c r="E268" i="6"/>
  <c r="C268" i="6"/>
  <c r="E267" i="6"/>
  <c r="C267" i="6"/>
  <c r="E266" i="6"/>
  <c r="C266" i="6"/>
  <c r="E265" i="6"/>
  <c r="C265" i="6"/>
  <c r="E264" i="6"/>
  <c r="C264" i="6"/>
  <c r="E263" i="6"/>
  <c r="C263" i="6"/>
  <c r="E262" i="6"/>
  <c r="C262" i="6"/>
  <c r="E261" i="6"/>
  <c r="C261" i="6"/>
  <c r="E260" i="6"/>
  <c r="C260" i="6"/>
  <c r="E259" i="6"/>
  <c r="C259" i="6"/>
  <c r="E258" i="6"/>
  <c r="C258" i="6"/>
  <c r="E257" i="6"/>
  <c r="C257" i="6"/>
  <c r="E256" i="6"/>
  <c r="C256" i="6"/>
  <c r="E255" i="6"/>
  <c r="C255" i="6"/>
  <c r="E254" i="6"/>
  <c r="C254" i="6"/>
  <c r="E253" i="6"/>
  <c r="C253" i="6"/>
  <c r="E252" i="6"/>
  <c r="C252" i="6"/>
  <c r="E251" i="6"/>
  <c r="C251" i="6"/>
  <c r="E250" i="6"/>
  <c r="C250" i="6"/>
  <c r="E249" i="6"/>
  <c r="C249" i="6"/>
  <c r="E248" i="6"/>
  <c r="C248" i="6"/>
  <c r="E247" i="6"/>
  <c r="C247" i="6"/>
  <c r="E246" i="6"/>
  <c r="C246" i="6"/>
  <c r="E245" i="6"/>
  <c r="C245" i="6"/>
  <c r="E244" i="6"/>
  <c r="C244" i="6"/>
  <c r="E243" i="6"/>
  <c r="C243" i="6"/>
  <c r="E242" i="6"/>
  <c r="C242" i="6"/>
  <c r="E241" i="6"/>
  <c r="C241" i="6"/>
  <c r="E240" i="6"/>
  <c r="C240" i="6"/>
  <c r="E239" i="6"/>
  <c r="C239" i="6"/>
  <c r="E238" i="6"/>
  <c r="C238" i="6"/>
  <c r="E237" i="6"/>
  <c r="C237" i="6"/>
  <c r="E236" i="6"/>
  <c r="C236" i="6"/>
  <c r="E235" i="6"/>
  <c r="C235" i="6"/>
  <c r="E234" i="6"/>
  <c r="C234" i="6"/>
  <c r="E233" i="6"/>
  <c r="C233" i="6"/>
  <c r="E232" i="6"/>
  <c r="C232" i="6"/>
  <c r="E231" i="6"/>
  <c r="C231" i="6"/>
  <c r="E230" i="6"/>
  <c r="C230" i="6"/>
  <c r="E229" i="6"/>
  <c r="C229" i="6"/>
  <c r="E228" i="6"/>
  <c r="C228" i="6"/>
  <c r="E227" i="6"/>
  <c r="C227" i="6"/>
  <c r="E226" i="6"/>
  <c r="C226" i="6"/>
  <c r="E225" i="6"/>
  <c r="C225" i="6"/>
  <c r="E224" i="6"/>
  <c r="C224" i="6"/>
  <c r="E223" i="6"/>
  <c r="C223" i="6"/>
  <c r="E222" i="6"/>
  <c r="C222" i="6"/>
  <c r="E221" i="6"/>
  <c r="C221" i="6"/>
  <c r="E220" i="6"/>
  <c r="C220" i="6"/>
  <c r="E219" i="6"/>
  <c r="C219" i="6"/>
  <c r="E218" i="6"/>
  <c r="C218" i="6"/>
  <c r="E217" i="6"/>
  <c r="C217" i="6"/>
  <c r="E216" i="6"/>
  <c r="C216" i="6"/>
  <c r="E215" i="6"/>
  <c r="C215" i="6"/>
  <c r="E214" i="6"/>
  <c r="C214" i="6"/>
  <c r="E213" i="6"/>
  <c r="C213" i="6"/>
  <c r="E212" i="6"/>
  <c r="C212" i="6"/>
  <c r="E211" i="6"/>
  <c r="C211" i="6"/>
  <c r="E210" i="6"/>
  <c r="C210" i="6"/>
  <c r="E209" i="6"/>
  <c r="C209" i="6"/>
  <c r="E208" i="6"/>
  <c r="C208" i="6"/>
  <c r="E207" i="6"/>
  <c r="C207" i="6"/>
  <c r="E206" i="6"/>
  <c r="C206" i="6"/>
  <c r="E205" i="6"/>
  <c r="C205" i="6"/>
  <c r="E204" i="6"/>
  <c r="C204" i="6"/>
  <c r="E203" i="6"/>
  <c r="C203" i="6"/>
  <c r="E202" i="6"/>
  <c r="C202" i="6"/>
  <c r="E201" i="6"/>
  <c r="C201" i="6"/>
  <c r="E200" i="6"/>
  <c r="C200" i="6"/>
  <c r="E199" i="6"/>
  <c r="C199" i="6"/>
  <c r="E198" i="6"/>
  <c r="C198" i="6"/>
  <c r="E197" i="6"/>
  <c r="C197" i="6"/>
  <c r="E196" i="6"/>
  <c r="C196" i="6"/>
  <c r="E195" i="6"/>
  <c r="C195" i="6"/>
  <c r="E194" i="6"/>
  <c r="C194" i="6"/>
  <c r="E193" i="6"/>
  <c r="C193" i="6"/>
  <c r="E192" i="6"/>
  <c r="C192" i="6"/>
  <c r="E191" i="6"/>
  <c r="C191" i="6"/>
  <c r="E190" i="6"/>
  <c r="C190" i="6"/>
  <c r="E189" i="6"/>
  <c r="C189" i="6"/>
  <c r="E188" i="6"/>
  <c r="C188" i="6"/>
  <c r="E187" i="6"/>
  <c r="C187" i="6"/>
  <c r="E186" i="6"/>
  <c r="C186" i="6"/>
  <c r="E185" i="6"/>
  <c r="C185" i="6"/>
  <c r="E184" i="6"/>
  <c r="C184" i="6"/>
  <c r="E183" i="6"/>
  <c r="C183" i="6"/>
  <c r="E182" i="6"/>
  <c r="C182" i="6"/>
  <c r="E181" i="6"/>
  <c r="C181" i="6"/>
  <c r="E180" i="6"/>
  <c r="C180" i="6"/>
  <c r="E179" i="6"/>
  <c r="C179" i="6"/>
  <c r="E178" i="6"/>
  <c r="C178" i="6"/>
  <c r="E177" i="6"/>
  <c r="C177" i="6"/>
  <c r="E176" i="6"/>
  <c r="C176" i="6"/>
  <c r="E175" i="6"/>
  <c r="C175" i="6"/>
  <c r="E174" i="6"/>
  <c r="C174" i="6"/>
  <c r="E173" i="6"/>
  <c r="C173" i="6"/>
  <c r="E172" i="6"/>
  <c r="C172" i="6"/>
  <c r="E171" i="6"/>
  <c r="C171" i="6"/>
  <c r="E170" i="6"/>
  <c r="C170" i="6"/>
  <c r="E169" i="6"/>
  <c r="C169" i="6"/>
  <c r="E168" i="6"/>
  <c r="C168" i="6"/>
  <c r="E167" i="6"/>
  <c r="C167" i="6"/>
  <c r="E166" i="6"/>
  <c r="C166" i="6"/>
  <c r="E165" i="6"/>
  <c r="C165" i="6"/>
  <c r="E164" i="6"/>
  <c r="C164" i="6"/>
  <c r="E163" i="6"/>
  <c r="C163" i="6"/>
  <c r="E162" i="6"/>
  <c r="C162" i="6"/>
  <c r="E161" i="6"/>
  <c r="C161" i="6"/>
  <c r="E160" i="6"/>
  <c r="C160" i="6"/>
  <c r="E159" i="6"/>
  <c r="C159" i="6"/>
  <c r="E158" i="6"/>
  <c r="C158" i="6"/>
  <c r="E157" i="6"/>
  <c r="C157" i="6"/>
  <c r="E156" i="6"/>
  <c r="C156" i="6"/>
  <c r="E155" i="6"/>
  <c r="C155" i="6"/>
  <c r="E154" i="6"/>
  <c r="C154" i="6"/>
  <c r="E153" i="6"/>
  <c r="C153" i="6"/>
  <c r="E152" i="6"/>
  <c r="C152" i="6"/>
  <c r="E151" i="6"/>
  <c r="C151" i="6"/>
  <c r="E150" i="6"/>
  <c r="C150" i="6"/>
  <c r="E149" i="6"/>
  <c r="C149" i="6"/>
  <c r="E148" i="6"/>
  <c r="C148" i="6"/>
  <c r="E147" i="6"/>
  <c r="C147" i="6"/>
  <c r="E146" i="6"/>
  <c r="C146" i="6"/>
  <c r="E145" i="6"/>
  <c r="C145" i="6"/>
  <c r="E144" i="6"/>
  <c r="C144" i="6"/>
  <c r="E143" i="6"/>
  <c r="C143" i="6"/>
  <c r="E142" i="6"/>
  <c r="C142" i="6"/>
  <c r="E141" i="6"/>
  <c r="C141" i="6"/>
  <c r="E140" i="6"/>
  <c r="C140" i="6"/>
  <c r="E139" i="6"/>
  <c r="C139" i="6"/>
  <c r="E138" i="6"/>
  <c r="C138" i="6"/>
  <c r="E137" i="6"/>
  <c r="C137" i="6"/>
  <c r="E136" i="6"/>
  <c r="C136" i="6"/>
  <c r="E135" i="6"/>
  <c r="C135" i="6"/>
  <c r="E134" i="6"/>
  <c r="C134" i="6"/>
  <c r="E133" i="6"/>
  <c r="C133" i="6"/>
  <c r="E132" i="6"/>
  <c r="C132" i="6"/>
  <c r="E131" i="6"/>
  <c r="C131" i="6"/>
  <c r="E130" i="6"/>
  <c r="C130" i="6"/>
  <c r="E129" i="6"/>
  <c r="C129" i="6"/>
  <c r="E128" i="6"/>
  <c r="C128" i="6"/>
  <c r="E127" i="6"/>
  <c r="C127" i="6"/>
  <c r="E126" i="6"/>
  <c r="C126" i="6"/>
  <c r="E125" i="6"/>
  <c r="C125" i="6"/>
  <c r="E124" i="6"/>
  <c r="C124" i="6"/>
  <c r="E123" i="6"/>
  <c r="C123" i="6"/>
  <c r="E122" i="6"/>
  <c r="C122" i="6"/>
  <c r="E121" i="6"/>
  <c r="C121" i="6"/>
  <c r="E120" i="6"/>
  <c r="C120" i="6"/>
  <c r="E119" i="6"/>
  <c r="C119" i="6"/>
  <c r="E118" i="6"/>
  <c r="C118" i="6"/>
  <c r="E117" i="6"/>
  <c r="C117" i="6"/>
  <c r="E116" i="6"/>
  <c r="C116" i="6"/>
  <c r="E115" i="6"/>
  <c r="C115" i="6"/>
  <c r="E114" i="6"/>
  <c r="C114" i="6"/>
  <c r="E113" i="6"/>
  <c r="C113" i="6"/>
  <c r="E112" i="6"/>
  <c r="C112" i="6"/>
  <c r="E111" i="6"/>
  <c r="C111" i="6"/>
  <c r="E110" i="6"/>
  <c r="C110" i="6"/>
  <c r="E109" i="6"/>
  <c r="C109" i="6"/>
  <c r="E108" i="6"/>
  <c r="C108" i="6"/>
  <c r="E107" i="6"/>
  <c r="C107" i="6"/>
  <c r="E106" i="6"/>
  <c r="C106" i="6"/>
  <c r="E105" i="6"/>
  <c r="C105" i="6"/>
  <c r="E104" i="6"/>
  <c r="C104" i="6"/>
  <c r="E103" i="6"/>
  <c r="C103" i="6"/>
  <c r="E102" i="6"/>
  <c r="C102" i="6"/>
  <c r="E101" i="6"/>
  <c r="C101" i="6"/>
  <c r="E100" i="6"/>
  <c r="C100" i="6"/>
  <c r="E99" i="6"/>
  <c r="C99" i="6"/>
  <c r="E98" i="6"/>
  <c r="C98" i="6"/>
  <c r="E97" i="6"/>
  <c r="C97" i="6"/>
  <c r="E96" i="6"/>
  <c r="C96" i="6"/>
  <c r="E95" i="6"/>
  <c r="C95" i="6"/>
  <c r="E94" i="6"/>
  <c r="C94" i="6"/>
  <c r="E93" i="6"/>
  <c r="C93" i="6"/>
  <c r="E92" i="6"/>
  <c r="C92" i="6"/>
  <c r="E91" i="6"/>
  <c r="C91" i="6"/>
  <c r="E90" i="6"/>
  <c r="C90" i="6"/>
  <c r="E89" i="6"/>
  <c r="C89" i="6"/>
  <c r="E88" i="6"/>
  <c r="C88" i="6"/>
  <c r="E87" i="6"/>
  <c r="C87" i="6"/>
  <c r="E86" i="6"/>
  <c r="C86" i="6"/>
  <c r="E85" i="6"/>
  <c r="C85" i="6"/>
  <c r="E84" i="6"/>
  <c r="C84" i="6"/>
  <c r="E83" i="6"/>
  <c r="C83" i="6"/>
  <c r="E82" i="6"/>
  <c r="C82" i="6"/>
  <c r="E81" i="6"/>
  <c r="C81" i="6"/>
  <c r="E80" i="6"/>
  <c r="C80" i="6"/>
  <c r="E79" i="6"/>
  <c r="C79" i="6"/>
  <c r="E78" i="6"/>
  <c r="C78" i="6"/>
  <c r="E77" i="6"/>
  <c r="C77" i="6"/>
  <c r="E76" i="6"/>
  <c r="C76" i="6"/>
  <c r="E75" i="6"/>
  <c r="C75" i="6"/>
  <c r="E74" i="6"/>
  <c r="C74" i="6"/>
  <c r="E73" i="6"/>
  <c r="C73" i="6"/>
  <c r="E72" i="6"/>
  <c r="C72" i="6"/>
  <c r="E71" i="6"/>
  <c r="C71" i="6"/>
  <c r="E70" i="6"/>
  <c r="C70" i="6"/>
  <c r="E69" i="6"/>
  <c r="C69" i="6"/>
  <c r="E68" i="6"/>
  <c r="C68" i="6"/>
  <c r="E67" i="6"/>
  <c r="C67" i="6"/>
  <c r="E66" i="6"/>
  <c r="C66" i="6"/>
  <c r="E65" i="6"/>
  <c r="C65" i="6"/>
  <c r="E64" i="6"/>
  <c r="C64" i="6"/>
  <c r="E63" i="6"/>
  <c r="C63" i="6"/>
  <c r="E62" i="6"/>
  <c r="C62" i="6"/>
  <c r="E61" i="6"/>
  <c r="C61" i="6"/>
  <c r="E60" i="6"/>
  <c r="C60" i="6"/>
  <c r="E59" i="6"/>
  <c r="C59" i="6"/>
  <c r="E58" i="6"/>
  <c r="C58" i="6"/>
  <c r="E57" i="6"/>
  <c r="C57" i="6"/>
  <c r="E56" i="6"/>
  <c r="C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E3" i="6" s="1"/>
  <c r="C9" i="6"/>
  <c r="E8" i="6"/>
  <c r="C8" i="6"/>
  <c r="E7" i="6"/>
  <c r="C7" i="6"/>
  <c r="J3" i="6"/>
  <c r="I3" i="6"/>
  <c r="F3" i="6"/>
  <c r="D3" i="6"/>
  <c r="G4" i="6" s="1"/>
  <c r="G3" i="6" s="1"/>
  <c r="C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F57" i="5"/>
  <c r="C57" i="5"/>
  <c r="C56" i="5"/>
  <c r="C55" i="5"/>
  <c r="C54" i="5"/>
  <c r="F53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C3" i="5"/>
  <c r="F3" i="4"/>
  <c r="E3" i="4"/>
  <c r="D3" i="4"/>
  <c r="G4" i="4" s="1"/>
  <c r="G3" i="4" s="1"/>
  <c r="B3" i="4"/>
  <c r="A3" i="4"/>
  <c r="F3" i="3"/>
  <c r="E3" i="3"/>
  <c r="B3" i="3" s="1"/>
  <c r="D3" i="3"/>
  <c r="C12" i="1"/>
  <c r="G10" i="1"/>
  <c r="C10" i="1"/>
  <c r="S7" i="1"/>
  <c r="S6" i="1"/>
  <c r="S5" i="1"/>
  <c r="S4" i="1"/>
  <c r="S3" i="1"/>
  <c r="O3" i="1"/>
  <c r="S2" i="1"/>
  <c r="S10" i="1" s="1"/>
  <c r="B17" i="2" s="1"/>
  <c r="C18" i="2" s="1"/>
  <c r="C17" i="2" s="1"/>
  <c r="O2" i="1"/>
  <c r="O10" i="1" s="1"/>
  <c r="B10" i="2" s="1"/>
  <c r="K2" i="1"/>
  <c r="A3" i="5" l="1"/>
  <c r="G4" i="5"/>
  <c r="G3" i="5" s="1"/>
  <c r="B3" i="5"/>
  <c r="B3" i="6"/>
  <c r="A3" i="6"/>
  <c r="C11" i="2"/>
  <c r="C10" i="2" s="1"/>
  <c r="G4" i="3"/>
  <c r="G3" i="3" s="1"/>
  <c r="K3" i="1"/>
  <c r="K10" i="1" s="1"/>
  <c r="A3" i="3"/>
  <c r="A3" i="2"/>
  <c r="E10" i="2" s="1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<sst xmlns="http://schemas.openxmlformats.org/spreadsheetml/2006/main" count="426" uniqueCount="174">
  <si>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</si>
  <si>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</si>
  <si>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</si>
  <si>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</si>
  <si>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</si>
  <si>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</si>
  <si>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</si>
  <si>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</si>
  <si>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</si>
  <si>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</si>
  <si>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</si>
  <si>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</si>
  <si>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</si>
  <si>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VOO</t>
  </si>
  <si>
    <t>ETH</t>
  </si>
  <si>
    <t>一銀iLeo活存</t>
  </si>
  <si>
    <t>Ether.fi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</si>
  <si>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</si>
  <si>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</si>
  <si>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</si>
  <si>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</si>
  <si>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</si>
  <si>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</si>
  <si>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</si>
  <si>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</si>
  <si>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</si>
  <si>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</si>
  <si>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</si>
  <si>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</si>
  <si>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</si>
  <si>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</si>
  <si>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</si>
  <si>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</si>
  <si>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</si>
  <si>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</si>
  <si>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</si>
  <si>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</si>
  <si>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</si>
  <si>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</si>
  <si>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</si>
  <si>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</si>
  <si>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</si>
  <si>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</si>
  <si>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</si>
  <si>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</si>
  <si>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</si>
  <si>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</si>
  <si>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</si>
  <si>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</si>
  <si>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</si>
  <si>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</si>
  <si>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</si>
  <si>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</si>
  <si>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</si>
  <si>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</si>
  <si>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</si>
  <si>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</si>
  <si>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</si>
  <si>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</si>
  <si>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</si>
  <si>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</si>
  <si>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</si>
  <si>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</si>
  <si>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</si>
  <si>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</si>
  <si>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</si>
  <si>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</si>
  <si>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</si>
  <si>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</si>
  <si>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</si>
  <si>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</si>
  <si>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</si>
  <si>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</si>
  <si>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</si>
  <si>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</si>
  <si>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</si>
  <si>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</si>
  <si>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</si>
  <si>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</si>
  <si>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</si>
  <si>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</si>
  <si>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</si>
  <si>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</si>
  <si>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</si>
  <si>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</si>
  <si>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</si>
  <si>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</si>
  <si>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</si>
  <si>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</si>
  <si>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</si>
  <si>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</si>
  <si>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</si>
  <si>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</si>
  <si>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</si>
  <si>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</si>
  <si>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</si>
  <si>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</si>
  <si>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2026.03.06</t>
  </si>
  <si>
    <t>2026.04.07</t>
  </si>
  <si>
    <t>2026.05.06</t>
  </si>
  <si>
    <t>2026.06.08</t>
  </si>
  <si>
    <t>2026.07.06</t>
  </si>
  <si>
    <t>2026.08.06</t>
  </si>
  <si>
    <t>2026.08.10</t>
  </si>
  <si>
    <t>2026.08.13</t>
  </si>
  <si>
    <t>2026.09.07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</si>
  <si>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</si>
  <si>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</si>
  <si>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</si>
  <si>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</si>
  <si>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</si>
  <si>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</si>
  <si>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</si>
  <si>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</si>
  <si>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</si>
  <si>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</si>
  <si>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</si>
  <si>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2026.08.24</t>
  </si>
  <si>
    <t>2026.08.31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</si>
  <si>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</si>
  <si>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</si>
  <si>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</si>
  <si>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</si>
  <si>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</si>
  <si>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</si>
  <si>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</si>
  <si>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</si>
  <si>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</si>
  <si>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</si>
  <si>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</si>
  <si>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</si>
  <si>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</si>
  <si>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</si>
  <si>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</si>
  <si>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</si>
  <si>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</si>
  <si>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</si>
  <si>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</si>
  <si>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</si>
  <si>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2026.03.27</t>
  </si>
  <si>
    <t>2026.04.09</t>
  </si>
  <si>
    <t>2026.06.26</t>
  </si>
  <si>
    <t>2026.09.08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</si>
  <si>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</si>
  <si>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</si>
  <si>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</si>
  <si>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</si>
  <si>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</si>
  <si>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</si>
  <si>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</si>
  <si>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</si>
  <si>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</si>
  <si>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</si>
  <si>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</si>
  <si>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</si>
  <si>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</si>
  <si>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</si>
  <si>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</si>
  <si>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</si>
  <si>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</si>
  <si>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</si>
  <si>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</si>
  <si>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</si>
  <si>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</si>
  <si>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</si>
  <si>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</si>
  <si>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</si>
  <si>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</si>
  <si>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</si>
  <si>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</si>
  <si>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</si>
  <si>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</si>
  <si>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</si>
  <si>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2026.09.29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</si>
</sst>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sz val="9"/>
      <name val="MingLiU"/>
      <family val="3"/>
      <charset val="136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7" fillId="0" borderId="0" xfId="0" applyFont="1"/>
    <xf numFmtId="0" fontId="10" fillId="0" borderId="0" xfId="0" applyFont="1"/>
    <xf numFmtId="0" fontId="10" fillId="0" borderId="0" xfId="0" applyFont="1" applyProtection="1">
      <protection locked="0"/>
    </xf>
    <xf numFmtId="0" fontId="12" fillId="20" borderId="11" xfId="0" applyFont="1" applyFill="1" applyBorder="1" applyAlignment="1" applyProtection="1">
      <alignment horizontal="center" vertical="center"/>
      <protection locked="0"/>
    </xf>
    <xf numFmtId="40" fontId="10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1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0" fillId="9" borderId="6" xfId="0" applyNumberFormat="1" applyFont="1" applyFill="1" applyBorder="1" applyAlignment="1" applyProtection="1">
      <alignment horizontal="right" vertical="center"/>
      <protection locked="0"/>
    </xf>
    <xf numFmtId="0" fontId="8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9" fillId="10" borderId="5" xfId="0" applyFont="1" applyFill="1" applyBorder="1" applyAlignment="1" applyProtection="1">
      <alignment horizontal="center" vertical="center"/>
      <protection locked="0"/>
    </xf>
    <xf numFmtId="0" fontId="9" fillId="8" borderId="5" xfId="0" applyFont="1" applyFill="1" applyBorder="1" applyAlignment="1" applyProtection="1">
      <alignment horizontal="center" vertical="center"/>
      <protection locked="0"/>
    </xf>
    <xf numFmtId="40" fontId="10" fillId="28" borderId="6" xfId="0" applyNumberFormat="1" applyFont="1" applyFill="1" applyBorder="1" applyAlignment="1" applyProtection="1">
      <alignment horizontal="right" vertical="center"/>
      <protection locked="0"/>
    </xf>
    <xf numFmtId="0" fontId="11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0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0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1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8" fillId="3" borderId="1" xfId="0" applyFont="1" applyFill="1" applyBorder="1" applyAlignment="1">
      <alignment horizontal="center" vertical="center"/>
    </xf>
    <xf numFmtId="40" fontId="10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1" fillId="14" borderId="5" xfId="0" applyFont="1" applyFill="1" applyBorder="1" applyAlignment="1" applyProtection="1">
      <alignment horizontal="center" vertical="center"/>
      <protection locked="0"/>
    </xf>
    <xf numFmtId="40" fontId="10" fillId="15" borderId="4" xfId="0" applyNumberFormat="1" applyFont="1" applyFill="1" applyBorder="1" applyAlignment="1" applyProtection="1">
      <alignment horizontal="right" vertical="center"/>
      <protection locked="0"/>
    </xf>
    <xf numFmtId="0" fontId="11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9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0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0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1" fillId="12" borderId="5" xfId="0" applyNumberFormat="1" applyFont="1" applyFill="1" applyBorder="1" applyAlignment="1" applyProtection="1">
      <alignment horizontal="center" vertical="center"/>
      <protection locked="0"/>
    </xf>
    <xf numFmtId="0" fontId="11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8" fillId="6" borderId="2" xfId="0" applyFont="1" applyFill="1" applyBorder="1" applyAlignment="1">
      <alignment horizontal="center" vertical="center"/>
    </xf>
    <xf numFmtId="40" fontId="10" fillId="11" borderId="6" xfId="0" applyNumberFormat="1" applyFont="1" applyFill="1" applyBorder="1" applyAlignment="1" applyProtection="1">
      <alignment horizontal="right" vertical="center"/>
      <protection locked="0"/>
    </xf>
    <xf numFmtId="10" fontId="10" fillId="16" borderId="2" xfId="0" applyNumberFormat="1" applyFont="1" applyFill="1" applyBorder="1" applyAlignment="1">
      <alignment horizontal="right" vertical="center"/>
    </xf>
    <xf numFmtId="0" fontId="8" fillId="27" borderId="1" xfId="0" applyFont="1" applyFill="1" applyBorder="1" applyAlignment="1">
      <alignment horizontal="center" vertical="center"/>
    </xf>
    <xf numFmtId="40" fontId="10" fillId="13" borderId="6" xfId="0" applyNumberFormat="1" applyFont="1" applyFill="1" applyBorder="1" applyAlignment="1" applyProtection="1">
      <alignment horizontal="right" vertical="center"/>
      <protection locked="0"/>
    </xf>
    <xf numFmtId="40" fontId="10" fillId="11" borderId="8" xfId="0" applyNumberFormat="1" applyFont="1" applyFill="1" applyBorder="1" applyAlignment="1" applyProtection="1">
      <alignment horizontal="right" vertical="center"/>
      <protection locked="0"/>
    </xf>
    <xf numFmtId="49" fontId="11" fillId="12" borderId="7" xfId="0" applyNumberFormat="1" applyFont="1" applyFill="1" applyBorder="1" applyAlignment="1" applyProtection="1">
      <alignment horizontal="center" vertical="center"/>
      <protection locked="0"/>
    </xf>
    <xf numFmtId="40" fontId="10" fillId="11" borderId="4" xfId="0" applyNumberFormat="1" applyFont="1" applyFill="1" applyBorder="1" applyAlignment="1" applyProtection="1">
      <alignment horizontal="right" vertical="center"/>
      <protection locked="0"/>
    </xf>
    <xf numFmtId="49" fontId="11" fillId="12" borderId="3" xfId="0" applyNumberFormat="1" applyFont="1" applyFill="1" applyBorder="1" applyAlignment="1">
      <alignment horizontal="center" vertical="center"/>
    </xf>
    <xf numFmtId="40" fontId="10" fillId="13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7" xfId="0" applyFont="1" applyFill="1" applyBorder="1" applyAlignment="1" applyProtection="1">
      <alignment horizontal="center" vertical="center"/>
      <protection locked="0"/>
    </xf>
    <xf numFmtId="0" fontId="11" fillId="14" borderId="5" xfId="0" applyFont="1" applyFill="1" applyBorder="1" applyAlignment="1">
      <alignment horizontal="center" vertical="center"/>
    </xf>
    <xf numFmtId="40" fontId="10" fillId="15" borderId="8" xfId="0" applyNumberFormat="1" applyFont="1" applyFill="1" applyBorder="1" applyAlignment="1" applyProtection="1">
      <alignment horizontal="right" vertical="center"/>
      <protection locked="0"/>
    </xf>
    <xf numFmtId="0" fontId="11" fillId="1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40" fontId="10" fillId="28" borderId="4" xfId="0" applyNumberFormat="1" applyFont="1" applyFill="1" applyBorder="1" applyAlignment="1" applyProtection="1">
      <alignment horizontal="right" vertical="center"/>
      <protection locked="0"/>
    </xf>
    <xf numFmtId="40" fontId="10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9" fillId="10" borderId="7" xfId="0" applyFont="1" applyFill="1" applyBorder="1" applyAlignment="1" applyProtection="1">
      <alignment horizontal="center" vertical="center"/>
      <protection locked="0"/>
    </xf>
    <xf numFmtId="49" fontId="11" fillId="12" borderId="5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0" fillId="9" borderId="4" xfId="0" applyNumberFormat="1" applyFont="1" applyFill="1" applyBorder="1" applyAlignment="1" applyProtection="1">
      <alignment horizontal="right" vertical="center"/>
      <protection locked="0"/>
    </xf>
    <xf numFmtId="0" fontId="9" fillId="10" borderId="3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/>
    </xf>
    <xf numFmtId="49" fontId="12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20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130-4548-B537-D73198D14A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130-4548-B537-D73198D14A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130-4548-B537-D73198D14A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130-4548-B537-D73198D14A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130-4548-B537-D73198D14A7F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525135</c:v>
                </c:pt>
                <c:pt idx="1">
                  <c:v>7095.4140000000007</c:v>
                </c:pt>
                <c:pt idx="2">
                  <c:v>472748.18789999996</c:v>
                </c:pt>
                <c:pt idx="3">
                  <c:v>282205.91360601899</c:v>
                </c:pt>
                <c:pt idx="4">
                  <c:v>234966.22550999999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130-4548-B537-D73198D14A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B0-4D19-AED1-C9A38497FA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B0-4D19-AED1-C9A38497FA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B0-4D19-AED1-C9A38497FA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B0-4D19-AED1-C9A38497FA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B0-4D19-AED1-C9A38497FAB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B0-4D19-AED1-C9A38497FAB3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234079.64799999999</c:v>
                </c:pt>
                <c:pt idx="1">
                  <c:v>238668.53989999997</c:v>
                </c:pt>
                <c:pt idx="2">
                  <c:v>265915.45229399222</c:v>
                </c:pt>
                <c:pt idx="3">
                  <c:v>69270.013260000007</c:v>
                </c:pt>
                <c:pt idx="4">
                  <c:v>7471.8209400000005</c:v>
                </c:pt>
                <c:pt idx="5">
                  <c:v>9857.8527599999998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6B0-4D19-AED1-C9A38497FAB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C7" sqref="C7:D7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201256</v>
      </c>
      <c r="D2" s="57"/>
      <c r="E2" s="103" t="s">
        <v>6</v>
      </c>
      <c r="F2" s="101"/>
      <c r="G2" s="86">
        <v>220</v>
      </c>
      <c r="H2" s="57"/>
      <c r="I2" s="87" t="s">
        <v>7</v>
      </c>
      <c r="J2" s="66"/>
      <c r="K2" s="56">
        <f>'006208'!D3*'006208'!C3*0.997</f>
        <v>234079.64799999999</v>
      </c>
      <c r="L2" s="57"/>
      <c r="M2" s="92" t="s">
        <v>8</v>
      </c>
      <c r="N2" s="66"/>
      <c r="O2" s="64">
        <f>VT!H3*VT!D3</f>
        <v>265915.45229399222</v>
      </c>
      <c r="P2" s="57"/>
      <c r="Q2" s="65" t="s">
        <v>9</v>
      </c>
      <c r="R2" s="66"/>
      <c r="S2" s="95">
        <f>(682.1+1166.72+328.25)*投資!G2</f>
        <v>69270.013260000007</v>
      </c>
      <c r="T2" s="57"/>
    </row>
    <row r="3" spans="1:26" ht="17.25" customHeight="1">
      <c r="A3" s="50" t="s">
        <v>10</v>
      </c>
      <c r="B3" s="44"/>
      <c r="C3" s="45">
        <v>11601</v>
      </c>
      <c r="D3" s="42"/>
      <c r="E3" s="49" t="s">
        <v>11</v>
      </c>
      <c r="F3" s="44"/>
      <c r="G3" s="80">
        <v>0</v>
      </c>
      <c r="H3" s="42"/>
      <c r="I3" s="99" t="s">
        <v>12</v>
      </c>
      <c r="J3" s="78"/>
      <c r="K3" s="83">
        <f>'2890'!D3*'2890'!C3*0.997</f>
        <v>238668.53989999997</v>
      </c>
      <c r="L3" s="42"/>
      <c r="M3" s="90" t="s">
        <v>13</v>
      </c>
      <c r="N3" s="78"/>
      <c r="O3" s="41">
        <f>VOO!C3*VOO!D3</f>
        <v>16290.4613120268</v>
      </c>
      <c r="P3" s="42"/>
      <c r="Q3" s="77" t="s">
        <v>14</v>
      </c>
      <c r="R3" s="78"/>
      <c r="S3" s="51">
        <f>234.83*投資!G2</f>
        <v>7471.8209400000005</v>
      </c>
      <c r="T3" s="42"/>
    </row>
    <row r="4" spans="1:26" ht="15.75" customHeight="1">
      <c r="A4" s="50" t="s">
        <v>15</v>
      </c>
      <c r="B4" s="44"/>
      <c r="C4" s="45">
        <v>150039</v>
      </c>
      <c r="D4" s="42"/>
      <c r="E4" s="49" t="s">
        <v>16</v>
      </c>
      <c r="F4" s="44"/>
      <c r="G4" s="80">
        <v>3</v>
      </c>
      <c r="H4" s="42"/>
      <c r="I4" s="99"/>
      <c r="J4" s="78"/>
      <c r="K4" s="83"/>
      <c r="L4" s="42"/>
      <c r="M4" s="90"/>
      <c r="N4" s="78"/>
      <c r="O4" s="41"/>
      <c r="P4" s="42"/>
      <c r="Q4" s="77" t="s">
        <v>17</v>
      </c>
      <c r="R4" s="78"/>
      <c r="S4" s="51">
        <f>309.82*投資!G2</f>
        <v>9857.8527599999998</v>
      </c>
      <c r="T4" s="42"/>
    </row>
    <row r="5" spans="1:26" ht="16.5" customHeight="1">
      <c r="A5" s="50" t="s">
        <v>18</v>
      </c>
      <c r="B5" s="44"/>
      <c r="C5" s="45">
        <v>550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19</v>
      </c>
      <c r="R5" s="78"/>
      <c r="S5" s="51">
        <f>15.45*投資!G2</f>
        <v>491.5881</v>
      </c>
      <c r="T5" s="42"/>
    </row>
    <row r="6" spans="1:26" ht="17.25" customHeight="1">
      <c r="A6" s="50" t="s">
        <v>20</v>
      </c>
      <c r="B6" s="44"/>
      <c r="C6" s="45">
        <v>700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 t="s">
        <v>21</v>
      </c>
      <c r="R6" s="44"/>
      <c r="S6" s="51">
        <f>(502.19+483.32+301.6+2206.02+151.975)*投資!G2</f>
        <v>115979.95089000001</v>
      </c>
      <c r="T6" s="42"/>
    </row>
    <row r="7" spans="1:26" ht="17.25" customHeight="1">
      <c r="A7" s="50" t="s">
        <v>22</v>
      </c>
      <c r="B7" s="44"/>
      <c r="C7" s="45">
        <v>100189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 t="s">
        <v>23</v>
      </c>
      <c r="R7" s="44"/>
      <c r="S7" s="51">
        <f>(501.74+500.68)*投資!G2</f>
        <v>31894.999560000004</v>
      </c>
      <c r="T7" s="42"/>
    </row>
    <row r="8" spans="1:26" ht="17.25" customHeight="1">
      <c r="A8" s="50" t="s">
        <v>24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25</v>
      </c>
      <c r="B9" s="68"/>
      <c r="C9" s="96">
        <v>800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26</v>
      </c>
      <c r="B10" s="53"/>
      <c r="C10" s="54">
        <f>SUM(C2:D9)</f>
        <v>525135</v>
      </c>
      <c r="D10" s="55"/>
      <c r="E10" s="52" t="s">
        <v>26</v>
      </c>
      <c r="F10" s="53"/>
      <c r="G10" s="54">
        <f>SUM(G2:H9)*投資!G2</f>
        <v>7095.4140000000007</v>
      </c>
      <c r="H10" s="55"/>
      <c r="I10" s="52" t="s">
        <v>26</v>
      </c>
      <c r="J10" s="53"/>
      <c r="K10" s="54">
        <f>SUM(K2:L9)</f>
        <v>472748.18789999996</v>
      </c>
      <c r="L10" s="55"/>
      <c r="M10" s="52" t="s">
        <v>26</v>
      </c>
      <c r="N10" s="53"/>
      <c r="O10" s="54">
        <f>SUM(O2:P9)</f>
        <v>282205.91360601899</v>
      </c>
      <c r="P10" s="55"/>
      <c r="Q10" s="52" t="s">
        <v>26</v>
      </c>
      <c r="R10" s="53"/>
      <c r="S10" s="54">
        <f>SUM(S2:T9)</f>
        <v>234966.22550999999</v>
      </c>
      <c r="T10" s="55"/>
    </row>
    <row r="11" spans="1:26" ht="31.5" customHeight="1" thickBot="1">
      <c r="A11" s="79" t="s">
        <v>27</v>
      </c>
      <c r="B11" s="55"/>
      <c r="C11" s="104" t="s">
        <v>28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1522150.7410160189</v>
      </c>
      <c r="B12" s="48"/>
      <c r="C12" s="72">
        <f>12012</f>
        <v>12012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29</v>
      </c>
      <c r="B14" s="48"/>
      <c r="C14" s="104" t="s">
        <v>30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1510138.7410160189</v>
      </c>
      <c r="B16" s="48"/>
      <c r="C16" s="81">
        <f>C12/A12</f>
        <v>7.8914654615495714E-3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13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A19" sqref="A19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65" customHeight="1">
      <c r="A1" s="105" t="s">
        <v>2</v>
      </c>
      <c r="B1" s="106"/>
      <c r="C1" s="44"/>
      <c r="D1" s="3"/>
      <c r="E1" s="40" t="s">
        <v>31</v>
      </c>
      <c r="F1" s="40" t="s">
        <v>32</v>
      </c>
      <c r="G1" s="40" t="s">
        <v>33</v>
      </c>
    </row>
    <row r="2" spans="1:10" ht="21.75" customHeight="1">
      <c r="A2" s="4" t="s">
        <v>34</v>
      </c>
      <c r="B2" s="4" t="s">
        <v>35</v>
      </c>
      <c r="C2" s="4" t="s">
        <v>36</v>
      </c>
      <c r="D2" s="5"/>
      <c r="E2" s="6">
        <v>304</v>
      </c>
      <c r="F2" s="6">
        <v>0</v>
      </c>
      <c r="G2" s="28">
        <v>31.818000000000001</v>
      </c>
    </row>
    <row r="3" spans="1:10" ht="17.25" customHeight="1">
      <c r="A3" s="107">
        <f>('006208'!E3+'00692'!E3+'2890'!E3)-('006208'!F3+'00692'!F3+'2890'!F3)-E2+7345</f>
        <v>160823</v>
      </c>
      <c r="B3" s="107">
        <f>總資產!K10</f>
        <v>472748.18789999996</v>
      </c>
      <c r="C3" s="7">
        <f>C4/A3</f>
        <v>1.9395558340535866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311925.18789999996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37</v>
      </c>
      <c r="F8" s="106"/>
      <c r="G8" s="44"/>
    </row>
    <row r="9" spans="1:10" ht="15" customHeight="1">
      <c r="A9" s="4" t="s">
        <v>34</v>
      </c>
      <c r="B9" s="4" t="s">
        <v>35</v>
      </c>
      <c r="C9" s="4" t="s">
        <v>36</v>
      </c>
      <c r="D9" s="5"/>
      <c r="E9" s="4" t="s">
        <v>34</v>
      </c>
      <c r="F9" s="4" t="s">
        <v>35</v>
      </c>
      <c r="G9" s="4" t="s">
        <v>36</v>
      </c>
    </row>
    <row r="10" spans="1:10" ht="18" customHeight="1">
      <c r="A10" s="107">
        <f>(BND!E3+VT!E3)-(BND!F3+VT!F3)</f>
        <v>193293.25660000002</v>
      </c>
      <c r="B10" s="107">
        <f>總資產!O10</f>
        <v>282205.91360601899</v>
      </c>
      <c r="C10" s="7">
        <f>C11/A10</f>
        <v>0.45998840606226798</v>
      </c>
      <c r="D10" s="5"/>
      <c r="E10" s="107">
        <f>A3+A10+A17</f>
        <v>607697.25659999996</v>
      </c>
      <c r="F10" s="107">
        <f>B3+B10+B17</f>
        <v>989920.32701601903</v>
      </c>
      <c r="G10" s="7">
        <f>G11/E10</f>
        <v>0.62896955065177607</v>
      </c>
    </row>
    <row r="11" spans="1:10" ht="18" customHeight="1">
      <c r="A11" s="108"/>
      <c r="B11" s="108"/>
      <c r="C11" s="29">
        <f>B10-A10</f>
        <v>88912.65700601897</v>
      </c>
      <c r="D11" s="5"/>
      <c r="E11" s="108"/>
      <c r="F11" s="108"/>
      <c r="G11" s="31">
        <f>F10-E10</f>
        <v>382223.07041601907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34</v>
      </c>
      <c r="B16" s="4" t="s">
        <v>35</v>
      </c>
      <c r="C16" s="4" t="s">
        <v>36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253581</v>
      </c>
      <c r="B17" s="107">
        <f>總資產!S10</f>
        <v>234966.22550999999</v>
      </c>
      <c r="C17" s="7">
        <f>C18/A17</f>
        <v>-7.340760739172103E-2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-18614.774490000011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13" type="noConversion"/>
  <conditionalFormatting sqref="C3:C4">
    <cfRule type="cellIs" dxfId="19" priority="10" operator="lessThan">
      <formula>0</formula>
    </cfRule>
    <cfRule type="cellIs" dxfId="18" priority="11" operator="greaterThanOrEqual">
      <formula>0</formula>
    </cfRule>
  </conditionalFormatting>
  <conditionalFormatting sqref="C10:C11">
    <cfRule type="cellIs" dxfId="17" priority="12" operator="lessThan">
      <formula>0</formula>
    </cfRule>
    <cfRule type="cellIs" dxfId="16" priority="13" operator="greaterThanOrEqual">
      <formula>0</formula>
    </cfRule>
  </conditionalFormatting>
  <conditionalFormatting sqref="C17:C18">
    <cfRule type="cellIs" dxfId="15" priority="1" operator="lessThan">
      <formula>0</formula>
    </cfRule>
    <cfRule type="cellIs" dxfId="14" priority="2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E62" sqref="E6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39</v>
      </c>
      <c r="G1" s="44"/>
      <c r="H1" s="122"/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/>
      <c r="I2" s="27"/>
      <c r="J2" s="19"/>
    </row>
    <row r="3" spans="1:10" ht="18.75" customHeight="1">
      <c r="A3" s="111">
        <f>(E3-F3)/D3</f>
        <v>107.75978260869566</v>
      </c>
      <c r="B3" s="114">
        <f>E3/D3</f>
        <v>116.61195652173913</v>
      </c>
      <c r="C3" s="126">
        <v>255.2</v>
      </c>
      <c r="D3" s="121">
        <f>SUM(D7:D505)</f>
        <v>920</v>
      </c>
      <c r="E3" s="124">
        <f>SUM(E7:E505)</f>
        <v>107283</v>
      </c>
      <c r="F3" s="124">
        <f>SUM(F6:G505)</f>
        <v>8144</v>
      </c>
      <c r="G3" s="7">
        <f>G4/E3</f>
        <v>1.2643662089986298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135645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/>
      <c r="I5" s="112"/>
      <c r="J5" s="112"/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53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54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55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56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57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58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59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60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61</v>
      </c>
      <c r="C16" s="33">
        <v>0</v>
      </c>
      <c r="D16" s="26">
        <v>0</v>
      </c>
      <c r="E16" s="26">
        <v>0</v>
      </c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33">
        <v>0</v>
      </c>
      <c r="D27" s="26">
        <v>0</v>
      </c>
      <c r="E27" s="26">
        <v>0</v>
      </c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33">
        <v>0</v>
      </c>
      <c r="D33" s="26">
        <v>0</v>
      </c>
      <c r="E33" s="26">
        <v>0</v>
      </c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80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81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82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84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85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86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87</v>
      </c>
      <c r="C44" s="33">
        <v>0</v>
      </c>
      <c r="D44" s="26">
        <v>0</v>
      </c>
      <c r="E44" s="26">
        <v>0</v>
      </c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88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89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90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91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92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93</v>
      </c>
      <c r="C50" s="33">
        <v>0</v>
      </c>
      <c r="D50" s="26">
        <v>0</v>
      </c>
      <c r="E50" s="26">
        <v>0</v>
      </c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94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95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96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97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98</v>
      </c>
      <c r="C55" s="33">
        <v>174.53</v>
      </c>
      <c r="D55" s="26">
        <v>17</v>
      </c>
      <c r="E55" s="26">
        <v>2968</v>
      </c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99</v>
      </c>
      <c r="C56" s="33">
        <v>221.62</v>
      </c>
      <c r="D56" s="26">
        <v>13</v>
      </c>
      <c r="E56" s="26">
        <v>2882</v>
      </c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100</v>
      </c>
      <c r="C57" s="33">
        <v>233</v>
      </c>
      <c r="D57" s="26">
        <v>13</v>
      </c>
      <c r="E57" s="26">
        <v>3030</v>
      </c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101</v>
      </c>
      <c r="C58" s="33">
        <v>252.17</v>
      </c>
      <c r="D58" s="26">
        <v>12</v>
      </c>
      <c r="E58" s="26">
        <v>3027</v>
      </c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 t="s">
        <v>102</v>
      </c>
      <c r="C59" s="33">
        <v>236.15</v>
      </c>
      <c r="D59" s="26">
        <v>13</v>
      </c>
      <c r="E59" s="26">
        <v>3071</v>
      </c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 t="s">
        <v>103</v>
      </c>
      <c r="C60" s="33">
        <v>0</v>
      </c>
      <c r="D60" s="26">
        <v>0</v>
      </c>
      <c r="E60" s="26">
        <v>0</v>
      </c>
      <c r="F60" s="109">
        <v>4175</v>
      </c>
      <c r="G60" s="44"/>
      <c r="H60" s="20"/>
      <c r="I60" s="20"/>
      <c r="J60" s="20"/>
    </row>
    <row r="61" spans="1:10" s="12" customFormat="1" ht="16.5" customHeight="1">
      <c r="A61" s="17">
        <v>56</v>
      </c>
      <c r="B61" s="25" t="s">
        <v>104</v>
      </c>
      <c r="C61" s="33">
        <v>244.56</v>
      </c>
      <c r="D61" s="26">
        <v>16</v>
      </c>
      <c r="E61" s="26">
        <v>3914</v>
      </c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 t="s">
        <v>105</v>
      </c>
      <c r="C62" s="33">
        <v>251.67</v>
      </c>
      <c r="D62" s="26">
        <v>12</v>
      </c>
      <c r="E62" s="26">
        <v>3021</v>
      </c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D58" sqref="D5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106</v>
      </c>
      <c r="G1" s="44"/>
      <c r="H1" s="122"/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/>
      <c r="I2" s="27"/>
      <c r="J2" s="19"/>
    </row>
    <row r="3" spans="1:10" ht="18.75" customHeight="1">
      <c r="A3" s="111">
        <f>(E3-F3)/D3</f>
        <v>16.724188520080691</v>
      </c>
      <c r="B3" s="114">
        <f>E3/D3</f>
        <v>19.269392994681827</v>
      </c>
      <c r="C3" s="127">
        <v>43.9</v>
      </c>
      <c r="D3" s="121">
        <f>SUM(D7:D505)</f>
        <v>5453</v>
      </c>
      <c r="E3" s="124">
        <f>SUM(E7:E505)</f>
        <v>105076</v>
      </c>
      <c r="F3" s="124">
        <f>SUM(F6:G505)</f>
        <v>13879</v>
      </c>
      <c r="G3" s="7">
        <f>G4/E3</f>
        <v>1.4103096806121282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148189.69999999998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/>
      <c r="I5" s="112"/>
      <c r="J5" s="112"/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54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55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55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107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56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108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109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110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60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111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62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69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73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112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74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113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114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75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76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79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80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82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83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84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85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86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89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115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116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90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91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92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95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96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97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98</v>
      </c>
      <c r="C51" s="34">
        <v>32.07</v>
      </c>
      <c r="D51" s="26">
        <v>28</v>
      </c>
      <c r="E51" s="26">
        <v>899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99</v>
      </c>
      <c r="C52" s="34">
        <v>30.97</v>
      </c>
      <c r="D52" s="26">
        <v>29</v>
      </c>
      <c r="E52" s="26">
        <v>899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100</v>
      </c>
      <c r="C53" s="34">
        <v>31.64</v>
      </c>
      <c r="D53" s="26">
        <v>28</v>
      </c>
      <c r="E53" s="26">
        <v>887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101</v>
      </c>
      <c r="C54" s="34">
        <v>40.82</v>
      </c>
      <c r="D54" s="26">
        <v>22</v>
      </c>
      <c r="E54" s="26">
        <v>899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102</v>
      </c>
      <c r="C55" s="34">
        <v>39.270000000000003</v>
      </c>
      <c r="D55" s="26">
        <v>22</v>
      </c>
      <c r="E55" s="26">
        <v>865</v>
      </c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117</v>
      </c>
      <c r="C56" s="34">
        <v>0</v>
      </c>
      <c r="D56" s="26">
        <v>103</v>
      </c>
      <c r="E56" s="26">
        <v>0</v>
      </c>
      <c r="F56" s="109">
        <v>5687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118</v>
      </c>
      <c r="C57" s="34">
        <v>40.619999999999997</v>
      </c>
      <c r="D57" s="26">
        <v>137</v>
      </c>
      <c r="E57" s="26">
        <v>5566</v>
      </c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105</v>
      </c>
      <c r="C58" s="34">
        <v>42.38</v>
      </c>
      <c r="D58" s="26">
        <v>21</v>
      </c>
      <c r="E58" s="26">
        <v>891</v>
      </c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zoomScaleNormal="100" workbookViewId="0">
      <selection activeCell="C59" sqref="C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8</v>
      </c>
      <c r="G1" s="44"/>
      <c r="H1" s="122" t="s">
        <v>119</v>
      </c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 t="s">
        <v>42</v>
      </c>
      <c r="I2" s="27" t="s">
        <v>120</v>
      </c>
      <c r="J2" s="27" t="s">
        <v>34</v>
      </c>
    </row>
    <row r="3" spans="1:10" ht="18.75" customHeight="1">
      <c r="A3" s="111">
        <f>(E3-F3)/D3</f>
        <v>3681.4427604779398</v>
      </c>
      <c r="B3" s="114">
        <f>E3/D3</f>
        <v>3774.3633228940798</v>
      </c>
      <c r="C3" s="126">
        <f>H3</f>
        <v>5053.0165800000004</v>
      </c>
      <c r="D3" s="121">
        <f>SUM(D7:D505)</f>
        <v>52.62509</v>
      </c>
      <c r="E3" s="124">
        <f>SUM(E7:E505)</f>
        <v>198626.20956000002</v>
      </c>
      <c r="F3" s="124">
        <f>SUM(F6:G505)</f>
        <v>4889.9529599999996</v>
      </c>
      <c r="G3" s="7">
        <f>G4/E3</f>
        <v>0.36339210144464174</v>
      </c>
      <c r="H3" s="116">
        <v>5053.0165800000004</v>
      </c>
      <c r="I3" s="129">
        <f>投資!G2</f>
        <v>31.818000000000001</v>
      </c>
      <c r="J3" s="117">
        <f>SUM(J7:J505)</f>
        <v>6286.8800000000019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72179.195693992195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 t="s">
        <v>47</v>
      </c>
      <c r="I5" s="112" t="s">
        <v>121</v>
      </c>
      <c r="J5" s="112" t="s">
        <v>122</v>
      </c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123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124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124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125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57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59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60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126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62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127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65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128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66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67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68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129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69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70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73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112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74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75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76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130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79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80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81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131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82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83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84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132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85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86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133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134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135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136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91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92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137</v>
      </c>
      <c r="C48" s="36">
        <f t="shared" si="0"/>
        <v>0</v>
      </c>
      <c r="D48" s="26"/>
      <c r="E48" s="26"/>
      <c r="F48" s="109">
        <f>36.62*投資!G2</f>
        <v>1165.17516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138</v>
      </c>
      <c r="C49" s="36">
        <f t="shared" si="0"/>
        <v>4541.3831399999999</v>
      </c>
      <c r="D49" s="26">
        <v>0.21018000000000001</v>
      </c>
      <c r="E49" s="26">
        <f>30.01*投資!G2</f>
        <v>954.85818000000006</v>
      </c>
      <c r="F49" s="109"/>
      <c r="G49" s="44"/>
      <c r="H49" s="20">
        <v>142.72999999999999</v>
      </c>
      <c r="I49" s="20">
        <f>投資!G2</f>
        <v>31.818000000000001</v>
      </c>
      <c r="J49" s="20">
        <v>30.01</v>
      </c>
    </row>
    <row r="50" spans="1:10" s="12" customFormat="1" ht="16.5" customHeight="1">
      <c r="A50" s="17">
        <v>45</v>
      </c>
      <c r="B50" s="25" t="s">
        <v>95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96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97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 t="s">
        <v>139</v>
      </c>
      <c r="C53" s="36">
        <f t="shared" si="0"/>
        <v>0</v>
      </c>
      <c r="D53" s="26"/>
      <c r="E53" s="26"/>
      <c r="F53" s="109">
        <f>11.42*投資!G2</f>
        <v>363.36156</v>
      </c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140</v>
      </c>
      <c r="C54" s="36">
        <f t="shared" si="0"/>
        <v>4609.7600999999995</v>
      </c>
      <c r="D54" s="26">
        <v>0.97214999999999996</v>
      </c>
      <c r="E54" s="26">
        <v>4165</v>
      </c>
      <c r="F54" s="109"/>
      <c r="G54" s="44"/>
      <c r="H54" s="20">
        <v>144.01</v>
      </c>
      <c r="I54" s="20">
        <v>32.01</v>
      </c>
      <c r="J54" s="20">
        <v>140.01</v>
      </c>
    </row>
    <row r="55" spans="1:10" s="12" customFormat="1" ht="16.5" customHeight="1">
      <c r="A55" s="17">
        <v>50</v>
      </c>
      <c r="B55" s="25" t="s">
        <v>99</v>
      </c>
      <c r="C55" s="36">
        <f t="shared" si="0"/>
        <v>4875.0495000000001</v>
      </c>
      <c r="D55" s="26">
        <v>0.84397999999999995</v>
      </c>
      <c r="E55" s="26">
        <v>4119</v>
      </c>
      <c r="F55" s="109"/>
      <c r="G55" s="44"/>
      <c r="H55" s="20">
        <v>154.03</v>
      </c>
      <c r="I55" s="20">
        <v>31.65</v>
      </c>
      <c r="J55" s="20">
        <v>130.01</v>
      </c>
    </row>
    <row r="56" spans="1:10" s="12" customFormat="1" ht="16.5" customHeight="1">
      <c r="A56" s="17">
        <v>51</v>
      </c>
      <c r="B56" s="25" t="s">
        <v>100</v>
      </c>
      <c r="C56" s="36">
        <f t="shared" si="0"/>
        <v>4890.6431999999995</v>
      </c>
      <c r="D56" s="26">
        <v>0.83784000000000003</v>
      </c>
      <c r="E56" s="26">
        <v>4098</v>
      </c>
      <c r="F56" s="109"/>
      <c r="G56" s="44"/>
      <c r="H56" s="20">
        <v>155.16</v>
      </c>
      <c r="I56" s="20">
        <v>31.52</v>
      </c>
      <c r="J56" s="20">
        <v>130.01</v>
      </c>
    </row>
    <row r="57" spans="1:10" s="12" customFormat="1" ht="16.5" customHeight="1">
      <c r="A57" s="17">
        <v>52</v>
      </c>
      <c r="B57" s="25" t="s">
        <v>141</v>
      </c>
      <c r="C57" s="36">
        <f t="shared" si="0"/>
        <v>0</v>
      </c>
      <c r="D57" s="26"/>
      <c r="E57" s="26"/>
      <c r="F57" s="109">
        <f>20.68 * 投資!G2</f>
        <v>657.99624000000006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101</v>
      </c>
      <c r="C58" s="36">
        <f t="shared" si="0"/>
        <v>5020.3539000000001</v>
      </c>
      <c r="D58" s="26">
        <v>0.12720000000000001</v>
      </c>
      <c r="E58" s="26">
        <v>660</v>
      </c>
      <c r="F58" s="109"/>
      <c r="G58" s="44"/>
      <c r="H58" s="20">
        <v>157.22999999999999</v>
      </c>
      <c r="I58" s="20">
        <v>31.93</v>
      </c>
      <c r="J58" s="20">
        <v>20.010000000000002</v>
      </c>
    </row>
    <row r="59" spans="1:10" s="12" customFormat="1" ht="16.5" customHeight="1">
      <c r="A59" s="17">
        <v>54</v>
      </c>
      <c r="B59" s="25" t="s">
        <v>173</v>
      </c>
      <c r="C59" s="36">
        <f t="shared" si="0"/>
        <v>0</v>
      </c>
      <c r="D59" s="26"/>
      <c r="E59" s="26"/>
      <c r="F59" s="109">
        <v>478.42</v>
      </c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I10" sqref="I1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13</v>
      </c>
      <c r="G1" s="44"/>
      <c r="H1" s="122" t="s">
        <v>119</v>
      </c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 t="s">
        <v>42</v>
      </c>
      <c r="I2" s="27" t="s">
        <v>120</v>
      </c>
      <c r="J2" s="27" t="s">
        <v>34</v>
      </c>
    </row>
    <row r="3" spans="1:10" ht="18.75" customHeight="1">
      <c r="A3" s="111">
        <f>(E3-F3)/D3</f>
        <v>22486.991817607126</v>
      </c>
      <c r="B3" s="114">
        <f>E3/D3</f>
        <v>22486.991817607126</v>
      </c>
      <c r="C3" s="126">
        <f>H3</f>
        <v>22387.46298</v>
      </c>
      <c r="D3" s="121">
        <f>SUM(D7:D505)</f>
        <v>0.72765999999999997</v>
      </c>
      <c r="E3" s="124">
        <f>SUM(E7:E505)</f>
        <v>16362.884466</v>
      </c>
      <c r="F3" s="124">
        <f>SUM(F6:G505)</f>
        <v>0</v>
      </c>
      <c r="G3" s="7">
        <f>G4/E3</f>
        <v>-4.4260627839599566E-3</v>
      </c>
      <c r="H3" s="116">
        <v>22387.46298</v>
      </c>
      <c r="I3" s="129">
        <f>投資!G2</f>
        <v>31.818000000000001</v>
      </c>
      <c r="J3" s="117">
        <f>SUM(J7:J505)</f>
        <v>510.03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-72.423153973199078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 t="s">
        <v>47</v>
      </c>
      <c r="I5" s="112" t="s">
        <v>121</v>
      </c>
      <c r="J5" s="112" t="s">
        <v>122</v>
      </c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101</v>
      </c>
      <c r="C7" s="36">
        <f t="shared" ref="C7:C70" si="0">H7*I7</f>
        <v>21975.382099999999</v>
      </c>
      <c r="D7" s="26">
        <v>0.24703</v>
      </c>
      <c r="E7" s="26">
        <f t="shared" ref="E7:E70" si="1">J7*I7</f>
        <v>5429.0993399999998</v>
      </c>
      <c r="F7" s="109"/>
      <c r="G7" s="44"/>
      <c r="H7" s="20">
        <v>688.15</v>
      </c>
      <c r="I7" s="20">
        <v>31.934000000000001</v>
      </c>
      <c r="J7" s="20">
        <v>170.01</v>
      </c>
    </row>
    <row r="8" spans="1:10">
      <c r="A8" s="17">
        <v>3</v>
      </c>
      <c r="B8" s="25" t="s">
        <v>102</v>
      </c>
      <c r="C8" s="36">
        <f t="shared" si="0"/>
        <v>22899.817332000002</v>
      </c>
      <c r="D8" s="26">
        <v>0.24018</v>
      </c>
      <c r="E8" s="26">
        <f t="shared" si="1"/>
        <v>5500.2655260000001</v>
      </c>
      <c r="F8" s="109"/>
      <c r="G8" s="44"/>
      <c r="H8" s="20">
        <v>707.82</v>
      </c>
      <c r="I8" s="20">
        <v>32.352600000000002</v>
      </c>
      <c r="J8" s="20">
        <v>170.01</v>
      </c>
    </row>
    <row r="9" spans="1:10">
      <c r="A9" s="17">
        <v>4</v>
      </c>
      <c r="B9" s="25" t="s">
        <v>142</v>
      </c>
      <c r="C9" s="36">
        <f t="shared" si="0"/>
        <v>22596.678800000002</v>
      </c>
      <c r="D9" s="26">
        <v>0.24045</v>
      </c>
      <c r="E9" s="26">
        <f t="shared" si="1"/>
        <v>5433.5195999999996</v>
      </c>
      <c r="F9" s="109"/>
      <c r="G9" s="44"/>
      <c r="H9" s="20">
        <v>707.03</v>
      </c>
      <c r="I9" s="20">
        <v>31.96</v>
      </c>
      <c r="J9" s="20">
        <v>170.01</v>
      </c>
    </row>
    <row r="10" spans="1:10">
      <c r="A10" s="17">
        <v>5</v>
      </c>
      <c r="B10" s="25"/>
      <c r="C10" s="36">
        <f t="shared" si="0"/>
        <v>0</v>
      </c>
      <c r="D10" s="26"/>
      <c r="E10" s="18">
        <f t="shared" si="1"/>
        <v>0</v>
      </c>
      <c r="F10" s="109"/>
      <c r="G10" s="44"/>
      <c r="H10" s="20"/>
      <c r="I10" s="20"/>
      <c r="J10" s="20"/>
    </row>
    <row r="11" spans="1:10">
      <c r="A11" s="17">
        <v>6</v>
      </c>
      <c r="B11" s="25"/>
      <c r="C11" s="36">
        <f t="shared" si="0"/>
        <v>0</v>
      </c>
      <c r="D11" s="26"/>
      <c r="E11" s="26">
        <f t="shared" si="1"/>
        <v>0</v>
      </c>
      <c r="F11" s="109"/>
      <c r="G11" s="44"/>
      <c r="H11" s="20"/>
      <c r="I11" s="20"/>
      <c r="J11" s="20"/>
    </row>
    <row r="12" spans="1:10">
      <c r="A12" s="17">
        <v>7</v>
      </c>
      <c r="B12" s="25"/>
      <c r="C12" s="36">
        <f t="shared" si="0"/>
        <v>0</v>
      </c>
      <c r="D12" s="26"/>
      <c r="E12" s="26">
        <f t="shared" si="1"/>
        <v>0</v>
      </c>
      <c r="F12" s="109"/>
      <c r="G12" s="44"/>
      <c r="H12" s="20"/>
      <c r="I12" s="20"/>
      <c r="J12" s="20"/>
    </row>
    <row r="13" spans="1:10">
      <c r="A13" s="17">
        <v>8</v>
      </c>
      <c r="B13" s="25"/>
      <c r="C13" s="36">
        <f t="shared" si="0"/>
        <v>0</v>
      </c>
      <c r="D13" s="26"/>
      <c r="E13" s="26">
        <f t="shared" si="1"/>
        <v>0</v>
      </c>
      <c r="F13" s="109"/>
      <c r="G13" s="44"/>
      <c r="H13" s="20"/>
      <c r="I13" s="20"/>
      <c r="J13" s="20"/>
    </row>
    <row r="14" spans="1:10">
      <c r="A14" s="17">
        <v>9</v>
      </c>
      <c r="B14" s="25"/>
      <c r="C14" s="36">
        <f t="shared" si="0"/>
        <v>0</v>
      </c>
      <c r="D14" s="26"/>
      <c r="E14" s="26">
        <f t="shared" si="1"/>
        <v>0</v>
      </c>
      <c r="F14" s="109"/>
      <c r="G14" s="44"/>
      <c r="H14" s="20"/>
      <c r="I14" s="20"/>
      <c r="J14" s="20"/>
    </row>
    <row r="15" spans="1:10">
      <c r="A15" s="17">
        <v>10</v>
      </c>
      <c r="B15" s="25"/>
      <c r="C15" s="36">
        <f t="shared" si="0"/>
        <v>0</v>
      </c>
      <c r="D15" s="26"/>
      <c r="E15" s="26">
        <f t="shared" si="1"/>
        <v>0</v>
      </c>
      <c r="F15" s="109"/>
      <c r="G15" s="44"/>
      <c r="H15" s="20"/>
      <c r="I15" s="20"/>
      <c r="J15" s="20"/>
    </row>
    <row r="16" spans="1:10">
      <c r="A16" s="17">
        <v>11</v>
      </c>
      <c r="B16" s="25"/>
      <c r="C16" s="36">
        <f t="shared" si="0"/>
        <v>0</v>
      </c>
      <c r="D16" s="26"/>
      <c r="E16" s="26">
        <f t="shared" si="1"/>
        <v>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/>
      <c r="C17" s="36">
        <f t="shared" si="0"/>
        <v>0</v>
      </c>
      <c r="D17" s="26"/>
      <c r="E17" s="26">
        <f t="shared" si="1"/>
        <v>0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/>
      <c r="C18" s="36">
        <f t="shared" si="0"/>
        <v>0</v>
      </c>
      <c r="D18" s="26"/>
      <c r="E18" s="26">
        <f t="shared" si="1"/>
        <v>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/>
      <c r="C19" s="36">
        <f t="shared" si="0"/>
        <v>0</v>
      </c>
      <c r="D19" s="26"/>
      <c r="E19" s="26">
        <f t="shared" si="1"/>
        <v>0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/>
      <c r="C20" s="36">
        <f t="shared" si="0"/>
        <v>0</v>
      </c>
      <c r="D20" s="26"/>
      <c r="E20" s="26">
        <f t="shared" si="1"/>
        <v>0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/>
      <c r="C21" s="36">
        <f t="shared" si="0"/>
        <v>0</v>
      </c>
      <c r="D21" s="26"/>
      <c r="E21" s="26">
        <f t="shared" si="1"/>
        <v>0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/>
      <c r="C22" s="36">
        <f t="shared" si="0"/>
        <v>0</v>
      </c>
      <c r="D22" s="26"/>
      <c r="E22" s="26">
        <f t="shared" si="1"/>
        <v>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/>
      <c r="C23" s="36">
        <f t="shared" si="0"/>
        <v>0</v>
      </c>
      <c r="D23" s="26"/>
      <c r="E23" s="26">
        <f t="shared" si="1"/>
        <v>0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/>
      <c r="C24" s="36">
        <f t="shared" si="0"/>
        <v>0</v>
      </c>
      <c r="D24" s="26"/>
      <c r="E24" s="26">
        <f t="shared" si="1"/>
        <v>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/>
      <c r="C25" s="36">
        <f t="shared" si="0"/>
        <v>0</v>
      </c>
      <c r="D25" s="26"/>
      <c r="E25" s="26">
        <f t="shared" si="1"/>
        <v>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/>
      <c r="C26" s="36">
        <f t="shared" si="0"/>
        <v>0</v>
      </c>
      <c r="D26" s="26"/>
      <c r="E26" s="26">
        <f t="shared" si="1"/>
        <v>0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/>
      <c r="C27" s="36">
        <f t="shared" si="0"/>
        <v>0</v>
      </c>
      <c r="D27" s="26"/>
      <c r="E27" s="26">
        <f t="shared" si="1"/>
        <v>0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/>
      <c r="C28" s="36">
        <f t="shared" si="0"/>
        <v>0</v>
      </c>
      <c r="D28" s="26"/>
      <c r="E28" s="26">
        <f t="shared" si="1"/>
        <v>0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/>
      <c r="C29" s="36">
        <f t="shared" si="0"/>
        <v>0</v>
      </c>
      <c r="D29" s="26"/>
      <c r="E29" s="26">
        <f t="shared" si="1"/>
        <v>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/>
      <c r="C30" s="36">
        <f t="shared" si="0"/>
        <v>0</v>
      </c>
      <c r="D30" s="26"/>
      <c r="E30" s="26">
        <f t="shared" si="1"/>
        <v>0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/>
      <c r="C31" s="36">
        <f t="shared" si="0"/>
        <v>0</v>
      </c>
      <c r="D31" s="26"/>
      <c r="E31" s="26">
        <f t="shared" si="1"/>
        <v>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/>
      <c r="C32" s="36">
        <f t="shared" si="0"/>
        <v>0</v>
      </c>
      <c r="D32" s="26"/>
      <c r="E32" s="26">
        <f t="shared" si="1"/>
        <v>0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/>
      <c r="C33" s="36">
        <f t="shared" si="0"/>
        <v>0</v>
      </c>
      <c r="D33" s="26"/>
      <c r="E33" s="26">
        <f t="shared" si="1"/>
        <v>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/>
      <c r="C34" s="36">
        <f t="shared" si="0"/>
        <v>0</v>
      </c>
      <c r="D34" s="26"/>
      <c r="E34" s="26">
        <f t="shared" si="1"/>
        <v>0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/>
      <c r="C35" s="36">
        <f t="shared" si="0"/>
        <v>0</v>
      </c>
      <c r="D35" s="26"/>
      <c r="E35" s="26">
        <f t="shared" si="1"/>
        <v>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/>
      <c r="C36" s="36">
        <f t="shared" si="0"/>
        <v>0</v>
      </c>
      <c r="D36" s="26"/>
      <c r="E36" s="26">
        <f t="shared" si="1"/>
        <v>0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/>
      <c r="C37" s="36">
        <f t="shared" si="0"/>
        <v>0</v>
      </c>
      <c r="D37" s="26"/>
      <c r="E37" s="26">
        <f t="shared" si="1"/>
        <v>0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/>
      <c r="C38" s="36">
        <f t="shared" si="0"/>
        <v>0</v>
      </c>
      <c r="D38" s="26"/>
      <c r="E38" s="26">
        <f t="shared" si="1"/>
        <v>0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/>
      <c r="C39" s="36">
        <f t="shared" si="0"/>
        <v>0</v>
      </c>
      <c r="D39" s="26"/>
      <c r="E39" s="26">
        <f t="shared" si="1"/>
        <v>0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/>
      <c r="C40" s="36">
        <f t="shared" si="0"/>
        <v>0</v>
      </c>
      <c r="D40" s="26"/>
      <c r="E40" s="26">
        <f t="shared" si="1"/>
        <v>0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/>
      <c r="C41" s="36">
        <f t="shared" si="0"/>
        <v>0</v>
      </c>
      <c r="D41" s="26"/>
      <c r="E41" s="26">
        <f t="shared" si="1"/>
        <v>0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/>
      <c r="C42" s="36">
        <f t="shared" si="0"/>
        <v>0</v>
      </c>
      <c r="D42" s="26"/>
      <c r="E42" s="26">
        <f t="shared" si="1"/>
        <v>0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/>
      <c r="C43" s="36">
        <f t="shared" si="0"/>
        <v>0</v>
      </c>
      <c r="D43" s="26"/>
      <c r="E43" s="26">
        <f t="shared" si="1"/>
        <v>0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36">
        <f t="shared" si="0"/>
        <v>0</v>
      </c>
      <c r="D44" s="26"/>
      <c r="E44" s="26">
        <f t="shared" si="1"/>
        <v>0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36">
        <f t="shared" si="0"/>
        <v>0</v>
      </c>
      <c r="D45" s="26"/>
      <c r="E45" s="26">
        <f t="shared" si="1"/>
        <v>0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36">
        <f t="shared" si="0"/>
        <v>0</v>
      </c>
      <c r="D46" s="26"/>
      <c r="E46" s="26">
        <f t="shared" si="1"/>
        <v>0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36">
        <f t="shared" si="0"/>
        <v>0</v>
      </c>
      <c r="D47" s="26"/>
      <c r="E47" s="26">
        <f t="shared" si="1"/>
        <v>0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36">
        <f t="shared" si="0"/>
        <v>0</v>
      </c>
      <c r="D48" s="26"/>
      <c r="E48" s="26">
        <f t="shared" si="1"/>
        <v>0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36">
        <f t="shared" si="0"/>
        <v>0</v>
      </c>
      <c r="D49" s="26"/>
      <c r="E49" s="26">
        <f t="shared" si="1"/>
        <v>0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6">
        <f t="shared" si="0"/>
        <v>0</v>
      </c>
      <c r="D50" s="26"/>
      <c r="E50" s="26">
        <f t="shared" si="1"/>
        <v>0</v>
      </c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>
        <f t="shared" si="1"/>
        <v>0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>
        <f t="shared" si="1"/>
        <v>0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>
        <f t="shared" si="1"/>
        <v>0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>
        <f t="shared" si="1"/>
        <v>0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>
        <f t="shared" si="1"/>
        <v>0</v>
      </c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>
        <f t="shared" si="1"/>
        <v>0</v>
      </c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>
        <f t="shared" si="1"/>
        <v>0</v>
      </c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>
        <f t="shared" si="1"/>
        <v>0</v>
      </c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>
        <f t="shared" si="1"/>
        <v>0</v>
      </c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>
        <f t="shared" si="1"/>
        <v>0</v>
      </c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>
        <f t="shared" si="1"/>
        <v>0</v>
      </c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>
        <f t="shared" si="1"/>
        <v>0</v>
      </c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>
        <f t="shared" si="1"/>
        <v>0</v>
      </c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>
        <f t="shared" si="1"/>
        <v>0</v>
      </c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>
        <f t="shared" si="1"/>
        <v>0</v>
      </c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>
        <f t="shared" si="1"/>
        <v>0</v>
      </c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>
        <f t="shared" si="1"/>
        <v>0</v>
      </c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>
        <f t="shared" si="1"/>
        <v>0</v>
      </c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>
        <f t="shared" si="1"/>
        <v>0</v>
      </c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>
        <f t="shared" si="1"/>
        <v>0</v>
      </c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2">H71*I71</f>
        <v>0</v>
      </c>
      <c r="D71" s="26"/>
      <c r="E71" s="26">
        <f t="shared" ref="E71:E134" si="3">J71*I71</f>
        <v>0</v>
      </c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2"/>
        <v>0</v>
      </c>
      <c r="D72" s="26"/>
      <c r="E72" s="26">
        <f t="shared" si="3"/>
        <v>0</v>
      </c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2"/>
        <v>0</v>
      </c>
      <c r="D73" s="26"/>
      <c r="E73" s="26">
        <f t="shared" si="3"/>
        <v>0</v>
      </c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2"/>
        <v>0</v>
      </c>
      <c r="D74" s="26"/>
      <c r="E74" s="26">
        <f t="shared" si="3"/>
        <v>0</v>
      </c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2"/>
        <v>0</v>
      </c>
      <c r="D75" s="26"/>
      <c r="E75" s="26">
        <f t="shared" si="3"/>
        <v>0</v>
      </c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2"/>
        <v>0</v>
      </c>
      <c r="D76" s="26"/>
      <c r="E76" s="26">
        <f t="shared" si="3"/>
        <v>0</v>
      </c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2"/>
        <v>0</v>
      </c>
      <c r="D77" s="26"/>
      <c r="E77" s="26">
        <f t="shared" si="3"/>
        <v>0</v>
      </c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2"/>
        <v>0</v>
      </c>
      <c r="D78" s="26"/>
      <c r="E78" s="26">
        <f t="shared" si="3"/>
        <v>0</v>
      </c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2"/>
        <v>0</v>
      </c>
      <c r="D79" s="26"/>
      <c r="E79" s="26">
        <f t="shared" si="3"/>
        <v>0</v>
      </c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2"/>
        <v>0</v>
      </c>
      <c r="D80" s="26"/>
      <c r="E80" s="26">
        <f t="shared" si="3"/>
        <v>0</v>
      </c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2"/>
        <v>0</v>
      </c>
      <c r="D81" s="26"/>
      <c r="E81" s="26">
        <f t="shared" si="3"/>
        <v>0</v>
      </c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2"/>
        <v>0</v>
      </c>
      <c r="D82" s="26"/>
      <c r="E82" s="26">
        <f t="shared" si="3"/>
        <v>0</v>
      </c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2"/>
        <v>0</v>
      </c>
      <c r="D83" s="26"/>
      <c r="E83" s="26">
        <f t="shared" si="3"/>
        <v>0</v>
      </c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2"/>
        <v>0</v>
      </c>
      <c r="D84" s="26"/>
      <c r="E84" s="26">
        <f t="shared" si="3"/>
        <v>0</v>
      </c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2"/>
        <v>0</v>
      </c>
      <c r="D85" s="26"/>
      <c r="E85" s="26">
        <f t="shared" si="3"/>
        <v>0</v>
      </c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2"/>
        <v>0</v>
      </c>
      <c r="D86" s="26"/>
      <c r="E86" s="26">
        <f t="shared" si="3"/>
        <v>0</v>
      </c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2"/>
        <v>0</v>
      </c>
      <c r="D87" s="26"/>
      <c r="E87" s="26">
        <f t="shared" si="3"/>
        <v>0</v>
      </c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2"/>
        <v>0</v>
      </c>
      <c r="D88" s="26"/>
      <c r="E88" s="26">
        <f t="shared" si="3"/>
        <v>0</v>
      </c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2"/>
        <v>0</v>
      </c>
      <c r="D89" s="26"/>
      <c r="E89" s="26">
        <f t="shared" si="3"/>
        <v>0</v>
      </c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2"/>
        <v>0</v>
      </c>
      <c r="D90" s="26"/>
      <c r="E90" s="26">
        <f t="shared" si="3"/>
        <v>0</v>
      </c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2"/>
        <v>0</v>
      </c>
      <c r="D91" s="26"/>
      <c r="E91" s="26">
        <f t="shared" si="3"/>
        <v>0</v>
      </c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2"/>
        <v>0</v>
      </c>
      <c r="D92" s="26"/>
      <c r="E92" s="26">
        <f t="shared" si="3"/>
        <v>0</v>
      </c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2"/>
        <v>0</v>
      </c>
      <c r="D93" s="26"/>
      <c r="E93" s="26">
        <f t="shared" si="3"/>
        <v>0</v>
      </c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2"/>
        <v>0</v>
      </c>
      <c r="D94" s="26"/>
      <c r="E94" s="26">
        <f t="shared" si="3"/>
        <v>0</v>
      </c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2"/>
        <v>0</v>
      </c>
      <c r="D95" s="26"/>
      <c r="E95" s="26">
        <f t="shared" si="3"/>
        <v>0</v>
      </c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2"/>
        <v>0</v>
      </c>
      <c r="D96" s="26"/>
      <c r="E96" s="26">
        <f t="shared" si="3"/>
        <v>0</v>
      </c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2"/>
        <v>0</v>
      </c>
      <c r="D97" s="26"/>
      <c r="E97" s="26">
        <f t="shared" si="3"/>
        <v>0</v>
      </c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2"/>
        <v>0</v>
      </c>
      <c r="D98" s="26"/>
      <c r="E98" s="26">
        <f t="shared" si="3"/>
        <v>0</v>
      </c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2"/>
        <v>0</v>
      </c>
      <c r="D99" s="26"/>
      <c r="E99" s="26">
        <f t="shared" si="3"/>
        <v>0</v>
      </c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2"/>
        <v>0</v>
      </c>
      <c r="D100" s="26"/>
      <c r="E100" s="26">
        <f t="shared" si="3"/>
        <v>0</v>
      </c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2"/>
        <v>0</v>
      </c>
      <c r="D101" s="26"/>
      <c r="E101" s="26">
        <f t="shared" si="3"/>
        <v>0</v>
      </c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2"/>
        <v>0</v>
      </c>
      <c r="D102" s="26"/>
      <c r="E102" s="26">
        <f t="shared" si="3"/>
        <v>0</v>
      </c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2"/>
        <v>0</v>
      </c>
      <c r="D103" s="26"/>
      <c r="E103" s="26">
        <f t="shared" si="3"/>
        <v>0</v>
      </c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2"/>
        <v>0</v>
      </c>
      <c r="D104" s="26"/>
      <c r="E104" s="26">
        <f t="shared" si="3"/>
        <v>0</v>
      </c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2"/>
        <v>0</v>
      </c>
      <c r="D105" s="26"/>
      <c r="E105" s="26">
        <f t="shared" si="3"/>
        <v>0</v>
      </c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2"/>
        <v>0</v>
      </c>
      <c r="D106" s="26"/>
      <c r="E106" s="26">
        <f t="shared" si="3"/>
        <v>0</v>
      </c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2"/>
        <v>0</v>
      </c>
      <c r="D107" s="26"/>
      <c r="E107" s="26">
        <f t="shared" si="3"/>
        <v>0</v>
      </c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2"/>
        <v>0</v>
      </c>
      <c r="D108" s="26"/>
      <c r="E108" s="26">
        <f t="shared" si="3"/>
        <v>0</v>
      </c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2"/>
        <v>0</v>
      </c>
      <c r="D109" s="26"/>
      <c r="E109" s="26">
        <f t="shared" si="3"/>
        <v>0</v>
      </c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2"/>
        <v>0</v>
      </c>
      <c r="D110" s="26"/>
      <c r="E110" s="26">
        <f t="shared" si="3"/>
        <v>0</v>
      </c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2"/>
        <v>0</v>
      </c>
      <c r="D111" s="26"/>
      <c r="E111" s="26">
        <f t="shared" si="3"/>
        <v>0</v>
      </c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2"/>
        <v>0</v>
      </c>
      <c r="D112" s="26"/>
      <c r="E112" s="26">
        <f t="shared" si="3"/>
        <v>0</v>
      </c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2"/>
        <v>0</v>
      </c>
      <c r="D113" s="26"/>
      <c r="E113" s="26">
        <f t="shared" si="3"/>
        <v>0</v>
      </c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2"/>
        <v>0</v>
      </c>
      <c r="D114" s="26"/>
      <c r="E114" s="26">
        <f t="shared" si="3"/>
        <v>0</v>
      </c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2"/>
        <v>0</v>
      </c>
      <c r="D115" s="26"/>
      <c r="E115" s="26">
        <f t="shared" si="3"/>
        <v>0</v>
      </c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2"/>
        <v>0</v>
      </c>
      <c r="D116" s="26"/>
      <c r="E116" s="26">
        <f t="shared" si="3"/>
        <v>0</v>
      </c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2"/>
        <v>0</v>
      </c>
      <c r="D117" s="26"/>
      <c r="E117" s="26">
        <f t="shared" si="3"/>
        <v>0</v>
      </c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2"/>
        <v>0</v>
      </c>
      <c r="D118" s="26"/>
      <c r="E118" s="26">
        <f t="shared" si="3"/>
        <v>0</v>
      </c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2"/>
        <v>0</v>
      </c>
      <c r="D119" s="26"/>
      <c r="E119" s="26">
        <f t="shared" si="3"/>
        <v>0</v>
      </c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2"/>
        <v>0</v>
      </c>
      <c r="D120" s="26"/>
      <c r="E120" s="26">
        <f t="shared" si="3"/>
        <v>0</v>
      </c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2"/>
        <v>0</v>
      </c>
      <c r="D121" s="26"/>
      <c r="E121" s="26">
        <f t="shared" si="3"/>
        <v>0</v>
      </c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2"/>
        <v>0</v>
      </c>
      <c r="D122" s="26"/>
      <c r="E122" s="26">
        <f t="shared" si="3"/>
        <v>0</v>
      </c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2"/>
        <v>0</v>
      </c>
      <c r="D123" s="26"/>
      <c r="E123" s="26">
        <f t="shared" si="3"/>
        <v>0</v>
      </c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2"/>
        <v>0</v>
      </c>
      <c r="D124" s="26"/>
      <c r="E124" s="26">
        <f t="shared" si="3"/>
        <v>0</v>
      </c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2"/>
        <v>0</v>
      </c>
      <c r="D125" s="26"/>
      <c r="E125" s="26">
        <f t="shared" si="3"/>
        <v>0</v>
      </c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2"/>
        <v>0</v>
      </c>
      <c r="D126" s="26"/>
      <c r="E126" s="26">
        <f t="shared" si="3"/>
        <v>0</v>
      </c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2"/>
        <v>0</v>
      </c>
      <c r="D127" s="26"/>
      <c r="E127" s="26">
        <f t="shared" si="3"/>
        <v>0</v>
      </c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2"/>
        <v>0</v>
      </c>
      <c r="D128" s="26"/>
      <c r="E128" s="26">
        <f t="shared" si="3"/>
        <v>0</v>
      </c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2"/>
        <v>0</v>
      </c>
      <c r="D129" s="26"/>
      <c r="E129" s="26">
        <f t="shared" si="3"/>
        <v>0</v>
      </c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2"/>
        <v>0</v>
      </c>
      <c r="D130" s="26"/>
      <c r="E130" s="26">
        <f t="shared" si="3"/>
        <v>0</v>
      </c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2"/>
        <v>0</v>
      </c>
      <c r="D131" s="26"/>
      <c r="E131" s="26">
        <f t="shared" si="3"/>
        <v>0</v>
      </c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2"/>
        <v>0</v>
      </c>
      <c r="D132" s="26"/>
      <c r="E132" s="26">
        <f t="shared" si="3"/>
        <v>0</v>
      </c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2"/>
        <v>0</v>
      </c>
      <c r="D133" s="26"/>
      <c r="E133" s="26">
        <f t="shared" si="3"/>
        <v>0</v>
      </c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2"/>
        <v>0</v>
      </c>
      <c r="D134" s="26"/>
      <c r="E134" s="26">
        <f t="shared" si="3"/>
        <v>0</v>
      </c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4">H135*I135</f>
        <v>0</v>
      </c>
      <c r="D135" s="26"/>
      <c r="E135" s="26">
        <f t="shared" ref="E135:E198" si="5">J135*I135</f>
        <v>0</v>
      </c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4"/>
        <v>0</v>
      </c>
      <c r="D136" s="26"/>
      <c r="E136" s="26">
        <f t="shared" si="5"/>
        <v>0</v>
      </c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4"/>
        <v>0</v>
      </c>
      <c r="D137" s="26"/>
      <c r="E137" s="26">
        <f t="shared" si="5"/>
        <v>0</v>
      </c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4"/>
        <v>0</v>
      </c>
      <c r="D138" s="26"/>
      <c r="E138" s="26">
        <f t="shared" si="5"/>
        <v>0</v>
      </c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4"/>
        <v>0</v>
      </c>
      <c r="D139" s="26"/>
      <c r="E139" s="26">
        <f t="shared" si="5"/>
        <v>0</v>
      </c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4"/>
        <v>0</v>
      </c>
      <c r="D140" s="26"/>
      <c r="E140" s="26">
        <f t="shared" si="5"/>
        <v>0</v>
      </c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4"/>
        <v>0</v>
      </c>
      <c r="D141" s="26"/>
      <c r="E141" s="26">
        <f t="shared" si="5"/>
        <v>0</v>
      </c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4"/>
        <v>0</v>
      </c>
      <c r="D142" s="26"/>
      <c r="E142" s="26">
        <f t="shared" si="5"/>
        <v>0</v>
      </c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4"/>
        <v>0</v>
      </c>
      <c r="D143" s="26"/>
      <c r="E143" s="26">
        <f t="shared" si="5"/>
        <v>0</v>
      </c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4"/>
        <v>0</v>
      </c>
      <c r="D144" s="26"/>
      <c r="E144" s="26">
        <f t="shared" si="5"/>
        <v>0</v>
      </c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4"/>
        <v>0</v>
      </c>
      <c r="D145" s="26"/>
      <c r="E145" s="26">
        <f t="shared" si="5"/>
        <v>0</v>
      </c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4"/>
        <v>0</v>
      </c>
      <c r="D146" s="26"/>
      <c r="E146" s="26">
        <f t="shared" si="5"/>
        <v>0</v>
      </c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4"/>
        <v>0</v>
      </c>
      <c r="D147" s="26"/>
      <c r="E147" s="26">
        <f t="shared" si="5"/>
        <v>0</v>
      </c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4"/>
        <v>0</v>
      </c>
      <c r="D148" s="26"/>
      <c r="E148" s="26">
        <f t="shared" si="5"/>
        <v>0</v>
      </c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4"/>
        <v>0</v>
      </c>
      <c r="D149" s="26"/>
      <c r="E149" s="26">
        <f t="shared" si="5"/>
        <v>0</v>
      </c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4"/>
        <v>0</v>
      </c>
      <c r="D150" s="26"/>
      <c r="E150" s="26">
        <f t="shared" si="5"/>
        <v>0</v>
      </c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4"/>
        <v>0</v>
      </c>
      <c r="D151" s="26"/>
      <c r="E151" s="26">
        <f t="shared" si="5"/>
        <v>0</v>
      </c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4"/>
        <v>0</v>
      </c>
      <c r="D152" s="26"/>
      <c r="E152" s="26">
        <f t="shared" si="5"/>
        <v>0</v>
      </c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4"/>
        <v>0</v>
      </c>
      <c r="D153" s="26"/>
      <c r="E153" s="26">
        <f t="shared" si="5"/>
        <v>0</v>
      </c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4"/>
        <v>0</v>
      </c>
      <c r="D154" s="26"/>
      <c r="E154" s="26">
        <f t="shared" si="5"/>
        <v>0</v>
      </c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4"/>
        <v>0</v>
      </c>
      <c r="D155" s="26"/>
      <c r="E155" s="26">
        <f t="shared" si="5"/>
        <v>0</v>
      </c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4"/>
        <v>0</v>
      </c>
      <c r="D156" s="26"/>
      <c r="E156" s="26">
        <f t="shared" si="5"/>
        <v>0</v>
      </c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4"/>
        <v>0</v>
      </c>
      <c r="D157" s="26"/>
      <c r="E157" s="26">
        <f t="shared" si="5"/>
        <v>0</v>
      </c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4"/>
        <v>0</v>
      </c>
      <c r="D158" s="26"/>
      <c r="E158" s="26">
        <f t="shared" si="5"/>
        <v>0</v>
      </c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4"/>
        <v>0</v>
      </c>
      <c r="D159" s="26"/>
      <c r="E159" s="26">
        <f t="shared" si="5"/>
        <v>0</v>
      </c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4"/>
        <v>0</v>
      </c>
      <c r="D160" s="26"/>
      <c r="E160" s="26">
        <f t="shared" si="5"/>
        <v>0</v>
      </c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4"/>
        <v>0</v>
      </c>
      <c r="D161" s="26"/>
      <c r="E161" s="26">
        <f t="shared" si="5"/>
        <v>0</v>
      </c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4"/>
        <v>0</v>
      </c>
      <c r="D162" s="26"/>
      <c r="E162" s="26">
        <f t="shared" si="5"/>
        <v>0</v>
      </c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4"/>
        <v>0</v>
      </c>
      <c r="D163" s="26"/>
      <c r="E163" s="26">
        <f t="shared" si="5"/>
        <v>0</v>
      </c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4"/>
        <v>0</v>
      </c>
      <c r="D164" s="26"/>
      <c r="E164" s="26">
        <f t="shared" si="5"/>
        <v>0</v>
      </c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4"/>
        <v>0</v>
      </c>
      <c r="D165" s="26"/>
      <c r="E165" s="26">
        <f t="shared" si="5"/>
        <v>0</v>
      </c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4"/>
        <v>0</v>
      </c>
      <c r="D166" s="26"/>
      <c r="E166" s="26">
        <f t="shared" si="5"/>
        <v>0</v>
      </c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4"/>
        <v>0</v>
      </c>
      <c r="D167" s="26"/>
      <c r="E167" s="26">
        <f t="shared" si="5"/>
        <v>0</v>
      </c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4"/>
        <v>0</v>
      </c>
      <c r="D168" s="26"/>
      <c r="E168" s="26">
        <f t="shared" si="5"/>
        <v>0</v>
      </c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4"/>
        <v>0</v>
      </c>
      <c r="D169" s="26"/>
      <c r="E169" s="26">
        <f t="shared" si="5"/>
        <v>0</v>
      </c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4"/>
        <v>0</v>
      </c>
      <c r="D170" s="26"/>
      <c r="E170" s="26">
        <f t="shared" si="5"/>
        <v>0</v>
      </c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4"/>
        <v>0</v>
      </c>
      <c r="D171" s="26"/>
      <c r="E171" s="26">
        <f t="shared" si="5"/>
        <v>0</v>
      </c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4"/>
        <v>0</v>
      </c>
      <c r="D172" s="26"/>
      <c r="E172" s="26">
        <f t="shared" si="5"/>
        <v>0</v>
      </c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4"/>
        <v>0</v>
      </c>
      <c r="D173" s="26"/>
      <c r="E173" s="26">
        <f t="shared" si="5"/>
        <v>0</v>
      </c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4"/>
        <v>0</v>
      </c>
      <c r="D174" s="26"/>
      <c r="E174" s="26">
        <f t="shared" si="5"/>
        <v>0</v>
      </c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4"/>
        <v>0</v>
      </c>
      <c r="D175" s="26"/>
      <c r="E175" s="26">
        <f t="shared" si="5"/>
        <v>0</v>
      </c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4"/>
        <v>0</v>
      </c>
      <c r="D176" s="26"/>
      <c r="E176" s="26">
        <f t="shared" si="5"/>
        <v>0</v>
      </c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4"/>
        <v>0</v>
      </c>
      <c r="D177" s="26"/>
      <c r="E177" s="26">
        <f t="shared" si="5"/>
        <v>0</v>
      </c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4"/>
        <v>0</v>
      </c>
      <c r="D178" s="26"/>
      <c r="E178" s="26">
        <f t="shared" si="5"/>
        <v>0</v>
      </c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4"/>
        <v>0</v>
      </c>
      <c r="D179" s="26"/>
      <c r="E179" s="26">
        <f t="shared" si="5"/>
        <v>0</v>
      </c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4"/>
        <v>0</v>
      </c>
      <c r="D180" s="26"/>
      <c r="E180" s="26">
        <f t="shared" si="5"/>
        <v>0</v>
      </c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4"/>
        <v>0</v>
      </c>
      <c r="D181" s="26"/>
      <c r="E181" s="26">
        <f t="shared" si="5"/>
        <v>0</v>
      </c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4"/>
        <v>0</v>
      </c>
      <c r="D182" s="26"/>
      <c r="E182" s="26">
        <f t="shared" si="5"/>
        <v>0</v>
      </c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4"/>
        <v>0</v>
      </c>
      <c r="D183" s="26"/>
      <c r="E183" s="26">
        <f t="shared" si="5"/>
        <v>0</v>
      </c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4"/>
        <v>0</v>
      </c>
      <c r="D184" s="26"/>
      <c r="E184" s="26">
        <f t="shared" si="5"/>
        <v>0</v>
      </c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4"/>
        <v>0</v>
      </c>
      <c r="D185" s="26"/>
      <c r="E185" s="26">
        <f t="shared" si="5"/>
        <v>0</v>
      </c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4"/>
        <v>0</v>
      </c>
      <c r="D186" s="26"/>
      <c r="E186" s="26">
        <f t="shared" si="5"/>
        <v>0</v>
      </c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4"/>
        <v>0</v>
      </c>
      <c r="D187" s="26"/>
      <c r="E187" s="26">
        <f t="shared" si="5"/>
        <v>0</v>
      </c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4"/>
        <v>0</v>
      </c>
      <c r="D188" s="26"/>
      <c r="E188" s="26">
        <f t="shared" si="5"/>
        <v>0</v>
      </c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4"/>
        <v>0</v>
      </c>
      <c r="D189" s="26"/>
      <c r="E189" s="26">
        <f t="shared" si="5"/>
        <v>0</v>
      </c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4"/>
        <v>0</v>
      </c>
      <c r="D190" s="26"/>
      <c r="E190" s="26">
        <f t="shared" si="5"/>
        <v>0</v>
      </c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4"/>
        <v>0</v>
      </c>
      <c r="D191" s="26"/>
      <c r="E191" s="26">
        <f t="shared" si="5"/>
        <v>0</v>
      </c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4"/>
        <v>0</v>
      </c>
      <c r="D192" s="26"/>
      <c r="E192" s="26">
        <f t="shared" si="5"/>
        <v>0</v>
      </c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4"/>
        <v>0</v>
      </c>
      <c r="D193" s="26"/>
      <c r="E193" s="26">
        <f t="shared" si="5"/>
        <v>0</v>
      </c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4"/>
        <v>0</v>
      </c>
      <c r="D194" s="26"/>
      <c r="E194" s="26">
        <f t="shared" si="5"/>
        <v>0</v>
      </c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4"/>
        <v>0</v>
      </c>
      <c r="D195" s="26"/>
      <c r="E195" s="26">
        <f t="shared" si="5"/>
        <v>0</v>
      </c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4"/>
        <v>0</v>
      </c>
      <c r="D196" s="26"/>
      <c r="E196" s="26">
        <f t="shared" si="5"/>
        <v>0</v>
      </c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4"/>
        <v>0</v>
      </c>
      <c r="D197" s="26"/>
      <c r="E197" s="26">
        <f t="shared" si="5"/>
        <v>0</v>
      </c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4"/>
        <v>0</v>
      </c>
      <c r="D198" s="26"/>
      <c r="E198" s="26">
        <f t="shared" si="5"/>
        <v>0</v>
      </c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6">H199*I199</f>
        <v>0</v>
      </c>
      <c r="D199" s="26"/>
      <c r="E199" s="26">
        <f t="shared" ref="E199:E262" si="7">J199*I199</f>
        <v>0</v>
      </c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6"/>
        <v>0</v>
      </c>
      <c r="D200" s="26"/>
      <c r="E200" s="26">
        <f t="shared" si="7"/>
        <v>0</v>
      </c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6"/>
        <v>0</v>
      </c>
      <c r="D201" s="26"/>
      <c r="E201" s="26">
        <f t="shared" si="7"/>
        <v>0</v>
      </c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6"/>
        <v>0</v>
      </c>
      <c r="D202" s="26"/>
      <c r="E202" s="26">
        <f t="shared" si="7"/>
        <v>0</v>
      </c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6"/>
        <v>0</v>
      </c>
      <c r="D203" s="26"/>
      <c r="E203" s="26">
        <f t="shared" si="7"/>
        <v>0</v>
      </c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6"/>
        <v>0</v>
      </c>
      <c r="D204" s="26"/>
      <c r="E204" s="26">
        <f t="shared" si="7"/>
        <v>0</v>
      </c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6"/>
        <v>0</v>
      </c>
      <c r="D205" s="26"/>
      <c r="E205" s="26">
        <f t="shared" si="7"/>
        <v>0</v>
      </c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6"/>
        <v>0</v>
      </c>
      <c r="D206" s="26"/>
      <c r="E206" s="26">
        <f t="shared" si="7"/>
        <v>0</v>
      </c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6"/>
        <v>0</v>
      </c>
      <c r="D207" s="26"/>
      <c r="E207" s="26">
        <f t="shared" si="7"/>
        <v>0</v>
      </c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6"/>
        <v>0</v>
      </c>
      <c r="D208" s="26"/>
      <c r="E208" s="26">
        <f t="shared" si="7"/>
        <v>0</v>
      </c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6"/>
        <v>0</v>
      </c>
      <c r="D209" s="26"/>
      <c r="E209" s="26">
        <f t="shared" si="7"/>
        <v>0</v>
      </c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6"/>
        <v>0</v>
      </c>
      <c r="D210" s="26"/>
      <c r="E210" s="26">
        <f t="shared" si="7"/>
        <v>0</v>
      </c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6"/>
        <v>0</v>
      </c>
      <c r="D211" s="26"/>
      <c r="E211" s="26">
        <f t="shared" si="7"/>
        <v>0</v>
      </c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6"/>
        <v>0</v>
      </c>
      <c r="D212" s="26"/>
      <c r="E212" s="26">
        <f t="shared" si="7"/>
        <v>0</v>
      </c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6"/>
        <v>0</v>
      </c>
      <c r="D213" s="26"/>
      <c r="E213" s="26">
        <f t="shared" si="7"/>
        <v>0</v>
      </c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6"/>
        <v>0</v>
      </c>
      <c r="D214" s="26"/>
      <c r="E214" s="26">
        <f t="shared" si="7"/>
        <v>0</v>
      </c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6"/>
        <v>0</v>
      </c>
      <c r="D215" s="26"/>
      <c r="E215" s="26">
        <f t="shared" si="7"/>
        <v>0</v>
      </c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6"/>
        <v>0</v>
      </c>
      <c r="D216" s="26"/>
      <c r="E216" s="26">
        <f t="shared" si="7"/>
        <v>0</v>
      </c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6"/>
        <v>0</v>
      </c>
      <c r="D217" s="26"/>
      <c r="E217" s="26">
        <f t="shared" si="7"/>
        <v>0</v>
      </c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6"/>
        <v>0</v>
      </c>
      <c r="D218" s="26"/>
      <c r="E218" s="26">
        <f t="shared" si="7"/>
        <v>0</v>
      </c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6"/>
        <v>0</v>
      </c>
      <c r="D219" s="26"/>
      <c r="E219" s="26">
        <f t="shared" si="7"/>
        <v>0</v>
      </c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6"/>
        <v>0</v>
      </c>
      <c r="D220" s="26"/>
      <c r="E220" s="26">
        <f t="shared" si="7"/>
        <v>0</v>
      </c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6"/>
        <v>0</v>
      </c>
      <c r="D221" s="26"/>
      <c r="E221" s="26">
        <f t="shared" si="7"/>
        <v>0</v>
      </c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6"/>
        <v>0</v>
      </c>
      <c r="D222" s="26"/>
      <c r="E222" s="26">
        <f t="shared" si="7"/>
        <v>0</v>
      </c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6"/>
        <v>0</v>
      </c>
      <c r="D223" s="26"/>
      <c r="E223" s="26">
        <f t="shared" si="7"/>
        <v>0</v>
      </c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6"/>
        <v>0</v>
      </c>
      <c r="D224" s="26"/>
      <c r="E224" s="26">
        <f t="shared" si="7"/>
        <v>0</v>
      </c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6"/>
        <v>0</v>
      </c>
      <c r="D225" s="26"/>
      <c r="E225" s="26">
        <f t="shared" si="7"/>
        <v>0</v>
      </c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6"/>
        <v>0</v>
      </c>
      <c r="D226" s="26"/>
      <c r="E226" s="26">
        <f t="shared" si="7"/>
        <v>0</v>
      </c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6"/>
        <v>0</v>
      </c>
      <c r="D227" s="26"/>
      <c r="E227" s="26">
        <f t="shared" si="7"/>
        <v>0</v>
      </c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6"/>
        <v>0</v>
      </c>
      <c r="D228" s="26"/>
      <c r="E228" s="26">
        <f t="shared" si="7"/>
        <v>0</v>
      </c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6"/>
        <v>0</v>
      </c>
      <c r="D229" s="26"/>
      <c r="E229" s="26">
        <f t="shared" si="7"/>
        <v>0</v>
      </c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6"/>
        <v>0</v>
      </c>
      <c r="D230" s="26"/>
      <c r="E230" s="26">
        <f t="shared" si="7"/>
        <v>0</v>
      </c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6"/>
        <v>0</v>
      </c>
      <c r="D231" s="26"/>
      <c r="E231" s="26">
        <f t="shared" si="7"/>
        <v>0</v>
      </c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6"/>
        <v>0</v>
      </c>
      <c r="D232" s="26"/>
      <c r="E232" s="26">
        <f t="shared" si="7"/>
        <v>0</v>
      </c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6"/>
        <v>0</v>
      </c>
      <c r="D233" s="26"/>
      <c r="E233" s="26">
        <f t="shared" si="7"/>
        <v>0</v>
      </c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6"/>
        <v>0</v>
      </c>
      <c r="D234" s="26"/>
      <c r="E234" s="26">
        <f t="shared" si="7"/>
        <v>0</v>
      </c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6"/>
        <v>0</v>
      </c>
      <c r="D235" s="26"/>
      <c r="E235" s="26">
        <f t="shared" si="7"/>
        <v>0</v>
      </c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6"/>
        <v>0</v>
      </c>
      <c r="D236" s="26"/>
      <c r="E236" s="26">
        <f t="shared" si="7"/>
        <v>0</v>
      </c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6"/>
        <v>0</v>
      </c>
      <c r="D237" s="26"/>
      <c r="E237" s="26">
        <f t="shared" si="7"/>
        <v>0</v>
      </c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6"/>
        <v>0</v>
      </c>
      <c r="D238" s="26"/>
      <c r="E238" s="26">
        <f t="shared" si="7"/>
        <v>0</v>
      </c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6"/>
        <v>0</v>
      </c>
      <c r="D239" s="26"/>
      <c r="E239" s="26">
        <f t="shared" si="7"/>
        <v>0</v>
      </c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6"/>
        <v>0</v>
      </c>
      <c r="D240" s="26"/>
      <c r="E240" s="26">
        <f t="shared" si="7"/>
        <v>0</v>
      </c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6"/>
        <v>0</v>
      </c>
      <c r="D241" s="26"/>
      <c r="E241" s="26">
        <f t="shared" si="7"/>
        <v>0</v>
      </c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6"/>
        <v>0</v>
      </c>
      <c r="D242" s="26"/>
      <c r="E242" s="26">
        <f t="shared" si="7"/>
        <v>0</v>
      </c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6"/>
        <v>0</v>
      </c>
      <c r="D243" s="26"/>
      <c r="E243" s="26">
        <f t="shared" si="7"/>
        <v>0</v>
      </c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6"/>
        <v>0</v>
      </c>
      <c r="D244" s="26"/>
      <c r="E244" s="26">
        <f t="shared" si="7"/>
        <v>0</v>
      </c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6"/>
        <v>0</v>
      </c>
      <c r="D245" s="26"/>
      <c r="E245" s="26">
        <f t="shared" si="7"/>
        <v>0</v>
      </c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6"/>
        <v>0</v>
      </c>
      <c r="D246" s="26"/>
      <c r="E246" s="26">
        <f t="shared" si="7"/>
        <v>0</v>
      </c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6"/>
        <v>0</v>
      </c>
      <c r="D247" s="26"/>
      <c r="E247" s="26">
        <f t="shared" si="7"/>
        <v>0</v>
      </c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6"/>
        <v>0</v>
      </c>
      <c r="D248" s="26"/>
      <c r="E248" s="26">
        <f t="shared" si="7"/>
        <v>0</v>
      </c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6"/>
        <v>0</v>
      </c>
      <c r="D249" s="26"/>
      <c r="E249" s="26">
        <f t="shared" si="7"/>
        <v>0</v>
      </c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6"/>
        <v>0</v>
      </c>
      <c r="D250" s="26"/>
      <c r="E250" s="26">
        <f t="shared" si="7"/>
        <v>0</v>
      </c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6"/>
        <v>0</v>
      </c>
      <c r="D251" s="26"/>
      <c r="E251" s="26">
        <f t="shared" si="7"/>
        <v>0</v>
      </c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6"/>
        <v>0</v>
      </c>
      <c r="D252" s="26"/>
      <c r="E252" s="26">
        <f t="shared" si="7"/>
        <v>0</v>
      </c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6"/>
        <v>0</v>
      </c>
      <c r="D253" s="26"/>
      <c r="E253" s="26">
        <f t="shared" si="7"/>
        <v>0</v>
      </c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6"/>
        <v>0</v>
      </c>
      <c r="D254" s="26"/>
      <c r="E254" s="26">
        <f t="shared" si="7"/>
        <v>0</v>
      </c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6"/>
        <v>0</v>
      </c>
      <c r="D255" s="26"/>
      <c r="E255" s="26">
        <f t="shared" si="7"/>
        <v>0</v>
      </c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6"/>
        <v>0</v>
      </c>
      <c r="D256" s="26"/>
      <c r="E256" s="26">
        <f t="shared" si="7"/>
        <v>0</v>
      </c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6"/>
        <v>0</v>
      </c>
      <c r="D257" s="26"/>
      <c r="E257" s="26">
        <f t="shared" si="7"/>
        <v>0</v>
      </c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6"/>
        <v>0</v>
      </c>
      <c r="D258" s="26"/>
      <c r="E258" s="26">
        <f t="shared" si="7"/>
        <v>0</v>
      </c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6"/>
        <v>0</v>
      </c>
      <c r="D259" s="26"/>
      <c r="E259" s="26">
        <f t="shared" si="7"/>
        <v>0</v>
      </c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6"/>
        <v>0</v>
      </c>
      <c r="D260" s="26"/>
      <c r="E260" s="26">
        <f t="shared" si="7"/>
        <v>0</v>
      </c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6"/>
        <v>0</v>
      </c>
      <c r="D261" s="26"/>
      <c r="E261" s="26">
        <f t="shared" si="7"/>
        <v>0</v>
      </c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6"/>
        <v>0</v>
      </c>
      <c r="D262" s="26"/>
      <c r="E262" s="26">
        <f t="shared" si="7"/>
        <v>0</v>
      </c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8">H263*I263</f>
        <v>0</v>
      </c>
      <c r="D263" s="26"/>
      <c r="E263" s="26">
        <f t="shared" ref="E263:E326" si="9">J263*I263</f>
        <v>0</v>
      </c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8"/>
        <v>0</v>
      </c>
      <c r="D264" s="26"/>
      <c r="E264" s="26">
        <f t="shared" si="9"/>
        <v>0</v>
      </c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8"/>
        <v>0</v>
      </c>
      <c r="D265" s="26"/>
      <c r="E265" s="26">
        <f t="shared" si="9"/>
        <v>0</v>
      </c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8"/>
        <v>0</v>
      </c>
      <c r="D266" s="26"/>
      <c r="E266" s="26">
        <f t="shared" si="9"/>
        <v>0</v>
      </c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8"/>
        <v>0</v>
      </c>
      <c r="D267" s="26"/>
      <c r="E267" s="26">
        <f t="shared" si="9"/>
        <v>0</v>
      </c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8"/>
        <v>0</v>
      </c>
      <c r="D268" s="26"/>
      <c r="E268" s="26">
        <f t="shared" si="9"/>
        <v>0</v>
      </c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8"/>
        <v>0</v>
      </c>
      <c r="D269" s="26"/>
      <c r="E269" s="26">
        <f t="shared" si="9"/>
        <v>0</v>
      </c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8"/>
        <v>0</v>
      </c>
      <c r="D270" s="26"/>
      <c r="E270" s="26">
        <f t="shared" si="9"/>
        <v>0</v>
      </c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8"/>
        <v>0</v>
      </c>
      <c r="D271" s="26"/>
      <c r="E271" s="26">
        <f t="shared" si="9"/>
        <v>0</v>
      </c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8"/>
        <v>0</v>
      </c>
      <c r="D272" s="26"/>
      <c r="E272" s="26">
        <f t="shared" si="9"/>
        <v>0</v>
      </c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8"/>
        <v>0</v>
      </c>
      <c r="D273" s="26"/>
      <c r="E273" s="26">
        <f t="shared" si="9"/>
        <v>0</v>
      </c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8"/>
        <v>0</v>
      </c>
      <c r="D274" s="26"/>
      <c r="E274" s="26">
        <f t="shared" si="9"/>
        <v>0</v>
      </c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8"/>
        <v>0</v>
      </c>
      <c r="D275" s="26"/>
      <c r="E275" s="26">
        <f t="shared" si="9"/>
        <v>0</v>
      </c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8"/>
        <v>0</v>
      </c>
      <c r="D276" s="26"/>
      <c r="E276" s="26">
        <f t="shared" si="9"/>
        <v>0</v>
      </c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8"/>
        <v>0</v>
      </c>
      <c r="D277" s="26"/>
      <c r="E277" s="26">
        <f t="shared" si="9"/>
        <v>0</v>
      </c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8"/>
        <v>0</v>
      </c>
      <c r="D278" s="26"/>
      <c r="E278" s="26">
        <f t="shared" si="9"/>
        <v>0</v>
      </c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8"/>
        <v>0</v>
      </c>
      <c r="D279" s="26"/>
      <c r="E279" s="26">
        <f t="shared" si="9"/>
        <v>0</v>
      </c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8"/>
        <v>0</v>
      </c>
      <c r="D280" s="26"/>
      <c r="E280" s="26">
        <f t="shared" si="9"/>
        <v>0</v>
      </c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8"/>
        <v>0</v>
      </c>
      <c r="D281" s="26"/>
      <c r="E281" s="26">
        <f t="shared" si="9"/>
        <v>0</v>
      </c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8"/>
        <v>0</v>
      </c>
      <c r="D282" s="26"/>
      <c r="E282" s="26">
        <f t="shared" si="9"/>
        <v>0</v>
      </c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8"/>
        <v>0</v>
      </c>
      <c r="D283" s="26"/>
      <c r="E283" s="26">
        <f t="shared" si="9"/>
        <v>0</v>
      </c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8"/>
        <v>0</v>
      </c>
      <c r="D284" s="26"/>
      <c r="E284" s="26">
        <f t="shared" si="9"/>
        <v>0</v>
      </c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8"/>
        <v>0</v>
      </c>
      <c r="D285" s="26"/>
      <c r="E285" s="26">
        <f t="shared" si="9"/>
        <v>0</v>
      </c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8"/>
        <v>0</v>
      </c>
      <c r="D286" s="26"/>
      <c r="E286" s="26">
        <f t="shared" si="9"/>
        <v>0</v>
      </c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8"/>
        <v>0</v>
      </c>
      <c r="D287" s="26"/>
      <c r="E287" s="26">
        <f t="shared" si="9"/>
        <v>0</v>
      </c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8"/>
        <v>0</v>
      </c>
      <c r="D288" s="26"/>
      <c r="E288" s="26">
        <f t="shared" si="9"/>
        <v>0</v>
      </c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8"/>
        <v>0</v>
      </c>
      <c r="D289" s="26"/>
      <c r="E289" s="26">
        <f t="shared" si="9"/>
        <v>0</v>
      </c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8"/>
        <v>0</v>
      </c>
      <c r="D290" s="26"/>
      <c r="E290" s="26">
        <f t="shared" si="9"/>
        <v>0</v>
      </c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8"/>
        <v>0</v>
      </c>
      <c r="D291" s="26"/>
      <c r="E291" s="26">
        <f t="shared" si="9"/>
        <v>0</v>
      </c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8"/>
        <v>0</v>
      </c>
      <c r="D292" s="26"/>
      <c r="E292" s="26">
        <f t="shared" si="9"/>
        <v>0</v>
      </c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8"/>
        <v>0</v>
      </c>
      <c r="D293" s="26"/>
      <c r="E293" s="26">
        <f t="shared" si="9"/>
        <v>0</v>
      </c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8"/>
        <v>0</v>
      </c>
      <c r="D294" s="26"/>
      <c r="E294" s="26">
        <f t="shared" si="9"/>
        <v>0</v>
      </c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8"/>
        <v>0</v>
      </c>
      <c r="D295" s="26"/>
      <c r="E295" s="26">
        <f t="shared" si="9"/>
        <v>0</v>
      </c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8"/>
        <v>0</v>
      </c>
      <c r="D296" s="26"/>
      <c r="E296" s="26">
        <f t="shared" si="9"/>
        <v>0</v>
      </c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8"/>
        <v>0</v>
      </c>
      <c r="D297" s="26"/>
      <c r="E297" s="26">
        <f t="shared" si="9"/>
        <v>0</v>
      </c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8"/>
        <v>0</v>
      </c>
      <c r="D298" s="26"/>
      <c r="E298" s="26">
        <f t="shared" si="9"/>
        <v>0</v>
      </c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8"/>
        <v>0</v>
      </c>
      <c r="D299" s="26"/>
      <c r="E299" s="26">
        <f t="shared" si="9"/>
        <v>0</v>
      </c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8"/>
        <v>0</v>
      </c>
      <c r="D300" s="26"/>
      <c r="E300" s="26">
        <f t="shared" si="9"/>
        <v>0</v>
      </c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8"/>
        <v>0</v>
      </c>
      <c r="D301" s="26"/>
      <c r="E301" s="26">
        <f t="shared" si="9"/>
        <v>0</v>
      </c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8"/>
        <v>0</v>
      </c>
      <c r="D302" s="26"/>
      <c r="E302" s="26">
        <f t="shared" si="9"/>
        <v>0</v>
      </c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8"/>
        <v>0</v>
      </c>
      <c r="D303" s="26"/>
      <c r="E303" s="26">
        <f t="shared" si="9"/>
        <v>0</v>
      </c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8"/>
        <v>0</v>
      </c>
      <c r="D304" s="26"/>
      <c r="E304" s="26">
        <f t="shared" si="9"/>
        <v>0</v>
      </c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8"/>
        <v>0</v>
      </c>
      <c r="D305" s="26"/>
      <c r="E305" s="26">
        <f t="shared" si="9"/>
        <v>0</v>
      </c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8"/>
        <v>0</v>
      </c>
      <c r="D306" s="26"/>
      <c r="E306" s="26">
        <f t="shared" si="9"/>
        <v>0</v>
      </c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8"/>
        <v>0</v>
      </c>
      <c r="D307" s="26"/>
      <c r="E307" s="26">
        <f t="shared" si="9"/>
        <v>0</v>
      </c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8"/>
        <v>0</v>
      </c>
      <c r="D308" s="26"/>
      <c r="E308" s="26">
        <f t="shared" si="9"/>
        <v>0</v>
      </c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8"/>
        <v>0</v>
      </c>
      <c r="D309" s="26"/>
      <c r="E309" s="26">
        <f t="shared" si="9"/>
        <v>0</v>
      </c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8"/>
        <v>0</v>
      </c>
      <c r="D310" s="26"/>
      <c r="E310" s="26">
        <f t="shared" si="9"/>
        <v>0</v>
      </c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8"/>
        <v>0</v>
      </c>
      <c r="D311" s="26"/>
      <c r="E311" s="26">
        <f t="shared" si="9"/>
        <v>0</v>
      </c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8"/>
        <v>0</v>
      </c>
      <c r="D312" s="26"/>
      <c r="E312" s="26">
        <f t="shared" si="9"/>
        <v>0</v>
      </c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8"/>
        <v>0</v>
      </c>
      <c r="D313" s="26"/>
      <c r="E313" s="26">
        <f t="shared" si="9"/>
        <v>0</v>
      </c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8"/>
        <v>0</v>
      </c>
      <c r="D314" s="26"/>
      <c r="E314" s="26">
        <f t="shared" si="9"/>
        <v>0</v>
      </c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8"/>
        <v>0</v>
      </c>
      <c r="D315" s="26"/>
      <c r="E315" s="26">
        <f t="shared" si="9"/>
        <v>0</v>
      </c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8"/>
        <v>0</v>
      </c>
      <c r="D316" s="26"/>
      <c r="E316" s="26">
        <f t="shared" si="9"/>
        <v>0</v>
      </c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8"/>
        <v>0</v>
      </c>
      <c r="D317" s="26"/>
      <c r="E317" s="26">
        <f t="shared" si="9"/>
        <v>0</v>
      </c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8"/>
        <v>0</v>
      </c>
      <c r="D318" s="26"/>
      <c r="E318" s="26">
        <f t="shared" si="9"/>
        <v>0</v>
      </c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8"/>
        <v>0</v>
      </c>
      <c r="D319" s="26"/>
      <c r="E319" s="26">
        <f t="shared" si="9"/>
        <v>0</v>
      </c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8"/>
        <v>0</v>
      </c>
      <c r="D320" s="26"/>
      <c r="E320" s="26">
        <f t="shared" si="9"/>
        <v>0</v>
      </c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8"/>
        <v>0</v>
      </c>
      <c r="D321" s="26"/>
      <c r="E321" s="26">
        <f t="shared" si="9"/>
        <v>0</v>
      </c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8"/>
        <v>0</v>
      </c>
      <c r="D322" s="26"/>
      <c r="E322" s="26">
        <f t="shared" si="9"/>
        <v>0</v>
      </c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8"/>
        <v>0</v>
      </c>
      <c r="D323" s="26"/>
      <c r="E323" s="26">
        <f t="shared" si="9"/>
        <v>0</v>
      </c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8"/>
        <v>0</v>
      </c>
      <c r="D324" s="26"/>
      <c r="E324" s="26">
        <f t="shared" si="9"/>
        <v>0</v>
      </c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8"/>
        <v>0</v>
      </c>
      <c r="D325" s="26"/>
      <c r="E325" s="26">
        <f t="shared" si="9"/>
        <v>0</v>
      </c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8"/>
        <v>0</v>
      </c>
      <c r="D326" s="26"/>
      <c r="E326" s="26">
        <f t="shared" si="9"/>
        <v>0</v>
      </c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10">H327*I327</f>
        <v>0</v>
      </c>
      <c r="D327" s="26"/>
      <c r="E327" s="26">
        <f t="shared" ref="E327:E390" si="11">J327*I327</f>
        <v>0</v>
      </c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10"/>
        <v>0</v>
      </c>
      <c r="D328" s="26"/>
      <c r="E328" s="26">
        <f t="shared" si="11"/>
        <v>0</v>
      </c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10"/>
        <v>0</v>
      </c>
      <c r="D329" s="26"/>
      <c r="E329" s="26">
        <f t="shared" si="11"/>
        <v>0</v>
      </c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10"/>
        <v>0</v>
      </c>
      <c r="D330" s="26"/>
      <c r="E330" s="26">
        <f t="shared" si="11"/>
        <v>0</v>
      </c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10"/>
        <v>0</v>
      </c>
      <c r="D331" s="26"/>
      <c r="E331" s="26">
        <f t="shared" si="11"/>
        <v>0</v>
      </c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10"/>
        <v>0</v>
      </c>
      <c r="D332" s="26"/>
      <c r="E332" s="26">
        <f t="shared" si="11"/>
        <v>0</v>
      </c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10"/>
        <v>0</v>
      </c>
      <c r="D333" s="26"/>
      <c r="E333" s="26">
        <f t="shared" si="11"/>
        <v>0</v>
      </c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10"/>
        <v>0</v>
      </c>
      <c r="D334" s="26"/>
      <c r="E334" s="26">
        <f t="shared" si="11"/>
        <v>0</v>
      </c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10"/>
        <v>0</v>
      </c>
      <c r="D335" s="26"/>
      <c r="E335" s="26">
        <f t="shared" si="11"/>
        <v>0</v>
      </c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10"/>
        <v>0</v>
      </c>
      <c r="D336" s="26"/>
      <c r="E336" s="26">
        <f t="shared" si="11"/>
        <v>0</v>
      </c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10"/>
        <v>0</v>
      </c>
      <c r="D337" s="26"/>
      <c r="E337" s="26">
        <f t="shared" si="11"/>
        <v>0</v>
      </c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10"/>
        <v>0</v>
      </c>
      <c r="D338" s="26"/>
      <c r="E338" s="26">
        <f t="shared" si="11"/>
        <v>0</v>
      </c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10"/>
        <v>0</v>
      </c>
      <c r="D339" s="26"/>
      <c r="E339" s="26">
        <f t="shared" si="11"/>
        <v>0</v>
      </c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10"/>
        <v>0</v>
      </c>
      <c r="D340" s="26"/>
      <c r="E340" s="26">
        <f t="shared" si="11"/>
        <v>0</v>
      </c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10"/>
        <v>0</v>
      </c>
      <c r="D341" s="26"/>
      <c r="E341" s="26">
        <f t="shared" si="11"/>
        <v>0</v>
      </c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10"/>
        <v>0</v>
      </c>
      <c r="D342" s="26"/>
      <c r="E342" s="26">
        <f t="shared" si="11"/>
        <v>0</v>
      </c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10"/>
        <v>0</v>
      </c>
      <c r="D343" s="26"/>
      <c r="E343" s="26">
        <f t="shared" si="11"/>
        <v>0</v>
      </c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10"/>
        <v>0</v>
      </c>
      <c r="D344" s="26"/>
      <c r="E344" s="26">
        <f t="shared" si="11"/>
        <v>0</v>
      </c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10"/>
        <v>0</v>
      </c>
      <c r="D345" s="26"/>
      <c r="E345" s="26">
        <f t="shared" si="11"/>
        <v>0</v>
      </c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10"/>
        <v>0</v>
      </c>
      <c r="D346" s="26"/>
      <c r="E346" s="26">
        <f t="shared" si="11"/>
        <v>0</v>
      </c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10"/>
        <v>0</v>
      </c>
      <c r="D347" s="26"/>
      <c r="E347" s="26">
        <f t="shared" si="11"/>
        <v>0</v>
      </c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10"/>
        <v>0</v>
      </c>
      <c r="D348" s="26"/>
      <c r="E348" s="26">
        <f t="shared" si="11"/>
        <v>0</v>
      </c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10"/>
        <v>0</v>
      </c>
      <c r="D349" s="26"/>
      <c r="E349" s="26">
        <f t="shared" si="11"/>
        <v>0</v>
      </c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10"/>
        <v>0</v>
      </c>
      <c r="D350" s="26"/>
      <c r="E350" s="26">
        <f t="shared" si="11"/>
        <v>0</v>
      </c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10"/>
        <v>0</v>
      </c>
      <c r="D351" s="26"/>
      <c r="E351" s="26">
        <f t="shared" si="11"/>
        <v>0</v>
      </c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10"/>
        <v>0</v>
      </c>
      <c r="D352" s="26"/>
      <c r="E352" s="26">
        <f t="shared" si="11"/>
        <v>0</v>
      </c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10"/>
        <v>0</v>
      </c>
      <c r="D353" s="26"/>
      <c r="E353" s="26">
        <f t="shared" si="11"/>
        <v>0</v>
      </c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10"/>
        <v>0</v>
      </c>
      <c r="D354" s="26"/>
      <c r="E354" s="26">
        <f t="shared" si="11"/>
        <v>0</v>
      </c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10"/>
        <v>0</v>
      </c>
      <c r="D355" s="26"/>
      <c r="E355" s="26">
        <f t="shared" si="11"/>
        <v>0</v>
      </c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10"/>
        <v>0</v>
      </c>
      <c r="D356" s="26"/>
      <c r="E356" s="26">
        <f t="shared" si="11"/>
        <v>0</v>
      </c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10"/>
        <v>0</v>
      </c>
      <c r="D357" s="26"/>
      <c r="E357" s="26">
        <f t="shared" si="11"/>
        <v>0</v>
      </c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10"/>
        <v>0</v>
      </c>
      <c r="D358" s="26"/>
      <c r="E358" s="26">
        <f t="shared" si="11"/>
        <v>0</v>
      </c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10"/>
        <v>0</v>
      </c>
      <c r="D359" s="26"/>
      <c r="E359" s="26">
        <f t="shared" si="11"/>
        <v>0</v>
      </c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10"/>
        <v>0</v>
      </c>
      <c r="D360" s="26"/>
      <c r="E360" s="26">
        <f t="shared" si="11"/>
        <v>0</v>
      </c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10"/>
        <v>0</v>
      </c>
      <c r="D361" s="26"/>
      <c r="E361" s="26">
        <f t="shared" si="11"/>
        <v>0</v>
      </c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10"/>
        <v>0</v>
      </c>
      <c r="D362" s="26"/>
      <c r="E362" s="26">
        <f t="shared" si="11"/>
        <v>0</v>
      </c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10"/>
        <v>0</v>
      </c>
      <c r="D363" s="26"/>
      <c r="E363" s="26">
        <f t="shared" si="11"/>
        <v>0</v>
      </c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10"/>
        <v>0</v>
      </c>
      <c r="D364" s="26"/>
      <c r="E364" s="26">
        <f t="shared" si="11"/>
        <v>0</v>
      </c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10"/>
        <v>0</v>
      </c>
      <c r="D365" s="26"/>
      <c r="E365" s="26">
        <f t="shared" si="11"/>
        <v>0</v>
      </c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10"/>
        <v>0</v>
      </c>
      <c r="D366" s="26"/>
      <c r="E366" s="26">
        <f t="shared" si="11"/>
        <v>0</v>
      </c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10"/>
        <v>0</v>
      </c>
      <c r="D367" s="26"/>
      <c r="E367" s="26">
        <f t="shared" si="11"/>
        <v>0</v>
      </c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10"/>
        <v>0</v>
      </c>
      <c r="D368" s="26"/>
      <c r="E368" s="26">
        <f t="shared" si="11"/>
        <v>0</v>
      </c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10"/>
        <v>0</v>
      </c>
      <c r="D369" s="26"/>
      <c r="E369" s="26">
        <f t="shared" si="11"/>
        <v>0</v>
      </c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10"/>
        <v>0</v>
      </c>
      <c r="D370" s="26"/>
      <c r="E370" s="26">
        <f t="shared" si="11"/>
        <v>0</v>
      </c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10"/>
        <v>0</v>
      </c>
      <c r="D371" s="26"/>
      <c r="E371" s="26">
        <f t="shared" si="11"/>
        <v>0</v>
      </c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10"/>
        <v>0</v>
      </c>
      <c r="D372" s="26"/>
      <c r="E372" s="26">
        <f t="shared" si="11"/>
        <v>0</v>
      </c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10"/>
        <v>0</v>
      </c>
      <c r="D373" s="26"/>
      <c r="E373" s="26">
        <f t="shared" si="11"/>
        <v>0</v>
      </c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10"/>
        <v>0</v>
      </c>
      <c r="D374" s="26"/>
      <c r="E374" s="26">
        <f t="shared" si="11"/>
        <v>0</v>
      </c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10"/>
        <v>0</v>
      </c>
      <c r="D375" s="26"/>
      <c r="E375" s="26">
        <f t="shared" si="11"/>
        <v>0</v>
      </c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10"/>
        <v>0</v>
      </c>
      <c r="D376" s="26"/>
      <c r="E376" s="26">
        <f t="shared" si="11"/>
        <v>0</v>
      </c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10"/>
        <v>0</v>
      </c>
      <c r="D377" s="26"/>
      <c r="E377" s="26">
        <f t="shared" si="11"/>
        <v>0</v>
      </c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10"/>
        <v>0</v>
      </c>
      <c r="D378" s="26"/>
      <c r="E378" s="26">
        <f t="shared" si="11"/>
        <v>0</v>
      </c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10"/>
        <v>0</v>
      </c>
      <c r="D379" s="26"/>
      <c r="E379" s="26">
        <f t="shared" si="11"/>
        <v>0</v>
      </c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10"/>
        <v>0</v>
      </c>
      <c r="D380" s="26"/>
      <c r="E380" s="26">
        <f t="shared" si="11"/>
        <v>0</v>
      </c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10"/>
        <v>0</v>
      </c>
      <c r="D381" s="26"/>
      <c r="E381" s="26">
        <f t="shared" si="11"/>
        <v>0</v>
      </c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10"/>
        <v>0</v>
      </c>
      <c r="D382" s="26"/>
      <c r="E382" s="26">
        <f t="shared" si="11"/>
        <v>0</v>
      </c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10"/>
        <v>0</v>
      </c>
      <c r="D383" s="26"/>
      <c r="E383" s="26">
        <f t="shared" si="11"/>
        <v>0</v>
      </c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10"/>
        <v>0</v>
      </c>
      <c r="D384" s="26"/>
      <c r="E384" s="26">
        <f t="shared" si="11"/>
        <v>0</v>
      </c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10"/>
        <v>0</v>
      </c>
      <c r="D385" s="26"/>
      <c r="E385" s="26">
        <f t="shared" si="11"/>
        <v>0</v>
      </c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10"/>
        <v>0</v>
      </c>
      <c r="D386" s="26"/>
      <c r="E386" s="26">
        <f t="shared" si="11"/>
        <v>0</v>
      </c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10"/>
        <v>0</v>
      </c>
      <c r="D387" s="26"/>
      <c r="E387" s="26">
        <f t="shared" si="11"/>
        <v>0</v>
      </c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10"/>
        <v>0</v>
      </c>
      <c r="D388" s="26"/>
      <c r="E388" s="26">
        <f t="shared" si="11"/>
        <v>0</v>
      </c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10"/>
        <v>0</v>
      </c>
      <c r="D389" s="26"/>
      <c r="E389" s="26">
        <f t="shared" si="11"/>
        <v>0</v>
      </c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10"/>
        <v>0</v>
      </c>
      <c r="D390" s="26"/>
      <c r="E390" s="26">
        <f t="shared" si="11"/>
        <v>0</v>
      </c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12">H391*I391</f>
        <v>0</v>
      </c>
      <c r="D391" s="26"/>
      <c r="E391" s="26">
        <f t="shared" ref="E391:E454" si="13">J391*I391</f>
        <v>0</v>
      </c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12"/>
        <v>0</v>
      </c>
      <c r="D392" s="26"/>
      <c r="E392" s="26">
        <f t="shared" si="13"/>
        <v>0</v>
      </c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12"/>
        <v>0</v>
      </c>
      <c r="D393" s="26"/>
      <c r="E393" s="26">
        <f t="shared" si="13"/>
        <v>0</v>
      </c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12"/>
        <v>0</v>
      </c>
      <c r="D394" s="26"/>
      <c r="E394" s="26">
        <f t="shared" si="13"/>
        <v>0</v>
      </c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12"/>
        <v>0</v>
      </c>
      <c r="D395" s="26"/>
      <c r="E395" s="26">
        <f t="shared" si="13"/>
        <v>0</v>
      </c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12"/>
        <v>0</v>
      </c>
      <c r="D396" s="26"/>
      <c r="E396" s="26">
        <f t="shared" si="13"/>
        <v>0</v>
      </c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12"/>
        <v>0</v>
      </c>
      <c r="D397" s="26"/>
      <c r="E397" s="26">
        <f t="shared" si="13"/>
        <v>0</v>
      </c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12"/>
        <v>0</v>
      </c>
      <c r="D398" s="26"/>
      <c r="E398" s="26">
        <f t="shared" si="13"/>
        <v>0</v>
      </c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12"/>
        <v>0</v>
      </c>
      <c r="D399" s="26"/>
      <c r="E399" s="26">
        <f t="shared" si="13"/>
        <v>0</v>
      </c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12"/>
        <v>0</v>
      </c>
      <c r="D400" s="26"/>
      <c r="E400" s="26">
        <f t="shared" si="13"/>
        <v>0</v>
      </c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12"/>
        <v>0</v>
      </c>
      <c r="D401" s="26"/>
      <c r="E401" s="26">
        <f t="shared" si="13"/>
        <v>0</v>
      </c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12"/>
        <v>0</v>
      </c>
      <c r="D402" s="26"/>
      <c r="E402" s="26">
        <f t="shared" si="13"/>
        <v>0</v>
      </c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12"/>
        <v>0</v>
      </c>
      <c r="D403" s="26"/>
      <c r="E403" s="26">
        <f t="shared" si="13"/>
        <v>0</v>
      </c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12"/>
        <v>0</v>
      </c>
      <c r="D404" s="26"/>
      <c r="E404" s="26">
        <f t="shared" si="13"/>
        <v>0</v>
      </c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12"/>
        <v>0</v>
      </c>
      <c r="D405" s="26"/>
      <c r="E405" s="26">
        <f t="shared" si="13"/>
        <v>0</v>
      </c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12"/>
        <v>0</v>
      </c>
      <c r="D406" s="26"/>
      <c r="E406" s="26">
        <f t="shared" si="13"/>
        <v>0</v>
      </c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12"/>
        <v>0</v>
      </c>
      <c r="D407" s="26"/>
      <c r="E407" s="26">
        <f t="shared" si="13"/>
        <v>0</v>
      </c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12"/>
        <v>0</v>
      </c>
      <c r="D408" s="26"/>
      <c r="E408" s="26">
        <f t="shared" si="13"/>
        <v>0</v>
      </c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12"/>
        <v>0</v>
      </c>
      <c r="D409" s="26"/>
      <c r="E409" s="26">
        <f t="shared" si="13"/>
        <v>0</v>
      </c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12"/>
        <v>0</v>
      </c>
      <c r="D410" s="26"/>
      <c r="E410" s="26">
        <f t="shared" si="13"/>
        <v>0</v>
      </c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12"/>
        <v>0</v>
      </c>
      <c r="D411" s="26"/>
      <c r="E411" s="26">
        <f t="shared" si="13"/>
        <v>0</v>
      </c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12"/>
        <v>0</v>
      </c>
      <c r="D412" s="26"/>
      <c r="E412" s="26">
        <f t="shared" si="13"/>
        <v>0</v>
      </c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12"/>
        <v>0</v>
      </c>
      <c r="D413" s="26"/>
      <c r="E413" s="26">
        <f t="shared" si="13"/>
        <v>0</v>
      </c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12"/>
        <v>0</v>
      </c>
      <c r="D414" s="26"/>
      <c r="E414" s="26">
        <f t="shared" si="13"/>
        <v>0</v>
      </c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12"/>
        <v>0</v>
      </c>
      <c r="D415" s="26"/>
      <c r="E415" s="26">
        <f t="shared" si="13"/>
        <v>0</v>
      </c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12"/>
        <v>0</v>
      </c>
      <c r="D416" s="26"/>
      <c r="E416" s="26">
        <f t="shared" si="13"/>
        <v>0</v>
      </c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12"/>
        <v>0</v>
      </c>
      <c r="D417" s="26"/>
      <c r="E417" s="26">
        <f t="shared" si="13"/>
        <v>0</v>
      </c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12"/>
        <v>0</v>
      </c>
      <c r="D418" s="26"/>
      <c r="E418" s="26">
        <f t="shared" si="13"/>
        <v>0</v>
      </c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12"/>
        <v>0</v>
      </c>
      <c r="D419" s="26"/>
      <c r="E419" s="26">
        <f t="shared" si="13"/>
        <v>0</v>
      </c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12"/>
        <v>0</v>
      </c>
      <c r="D420" s="26"/>
      <c r="E420" s="26">
        <f t="shared" si="13"/>
        <v>0</v>
      </c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12"/>
        <v>0</v>
      </c>
      <c r="D421" s="26"/>
      <c r="E421" s="26">
        <f t="shared" si="13"/>
        <v>0</v>
      </c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12"/>
        <v>0</v>
      </c>
      <c r="D422" s="26"/>
      <c r="E422" s="26">
        <f t="shared" si="13"/>
        <v>0</v>
      </c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12"/>
        <v>0</v>
      </c>
      <c r="D423" s="26"/>
      <c r="E423" s="26">
        <f t="shared" si="13"/>
        <v>0</v>
      </c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12"/>
        <v>0</v>
      </c>
      <c r="D424" s="26"/>
      <c r="E424" s="26">
        <f t="shared" si="13"/>
        <v>0</v>
      </c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12"/>
        <v>0</v>
      </c>
      <c r="D425" s="26"/>
      <c r="E425" s="26">
        <f t="shared" si="13"/>
        <v>0</v>
      </c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12"/>
        <v>0</v>
      </c>
      <c r="D426" s="26"/>
      <c r="E426" s="26">
        <f t="shared" si="13"/>
        <v>0</v>
      </c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12"/>
        <v>0</v>
      </c>
      <c r="D427" s="26"/>
      <c r="E427" s="26">
        <f t="shared" si="13"/>
        <v>0</v>
      </c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12"/>
        <v>0</v>
      </c>
      <c r="D428" s="26"/>
      <c r="E428" s="26">
        <f t="shared" si="13"/>
        <v>0</v>
      </c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12"/>
        <v>0</v>
      </c>
      <c r="D429" s="26"/>
      <c r="E429" s="26">
        <f t="shared" si="13"/>
        <v>0</v>
      </c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12"/>
        <v>0</v>
      </c>
      <c r="D430" s="26"/>
      <c r="E430" s="26">
        <f t="shared" si="13"/>
        <v>0</v>
      </c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12"/>
        <v>0</v>
      </c>
      <c r="D431" s="26"/>
      <c r="E431" s="26">
        <f t="shared" si="13"/>
        <v>0</v>
      </c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12"/>
        <v>0</v>
      </c>
      <c r="D432" s="26"/>
      <c r="E432" s="26">
        <f t="shared" si="13"/>
        <v>0</v>
      </c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12"/>
        <v>0</v>
      </c>
      <c r="D433" s="26"/>
      <c r="E433" s="26">
        <f t="shared" si="13"/>
        <v>0</v>
      </c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12"/>
        <v>0</v>
      </c>
      <c r="D434" s="26"/>
      <c r="E434" s="26">
        <f t="shared" si="13"/>
        <v>0</v>
      </c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12"/>
        <v>0</v>
      </c>
      <c r="D435" s="26"/>
      <c r="E435" s="26">
        <f t="shared" si="13"/>
        <v>0</v>
      </c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12"/>
        <v>0</v>
      </c>
      <c r="D436" s="26"/>
      <c r="E436" s="26">
        <f t="shared" si="13"/>
        <v>0</v>
      </c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12"/>
        <v>0</v>
      </c>
      <c r="D437" s="26"/>
      <c r="E437" s="26">
        <f t="shared" si="13"/>
        <v>0</v>
      </c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12"/>
        <v>0</v>
      </c>
      <c r="D438" s="26"/>
      <c r="E438" s="26">
        <f t="shared" si="13"/>
        <v>0</v>
      </c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12"/>
        <v>0</v>
      </c>
      <c r="D439" s="26"/>
      <c r="E439" s="26">
        <f t="shared" si="13"/>
        <v>0</v>
      </c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12"/>
        <v>0</v>
      </c>
      <c r="D440" s="26"/>
      <c r="E440" s="26">
        <f t="shared" si="13"/>
        <v>0</v>
      </c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12"/>
        <v>0</v>
      </c>
      <c r="D441" s="26"/>
      <c r="E441" s="26">
        <f t="shared" si="13"/>
        <v>0</v>
      </c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12"/>
        <v>0</v>
      </c>
      <c r="D442" s="26"/>
      <c r="E442" s="26">
        <f t="shared" si="13"/>
        <v>0</v>
      </c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12"/>
        <v>0</v>
      </c>
      <c r="D443" s="26"/>
      <c r="E443" s="26">
        <f t="shared" si="13"/>
        <v>0</v>
      </c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12"/>
        <v>0</v>
      </c>
      <c r="D444" s="26"/>
      <c r="E444" s="26">
        <f t="shared" si="13"/>
        <v>0</v>
      </c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12"/>
        <v>0</v>
      </c>
      <c r="D445" s="26"/>
      <c r="E445" s="26">
        <f t="shared" si="13"/>
        <v>0</v>
      </c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12"/>
        <v>0</v>
      </c>
      <c r="D446" s="26"/>
      <c r="E446" s="26">
        <f t="shared" si="13"/>
        <v>0</v>
      </c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12"/>
        <v>0</v>
      </c>
      <c r="D447" s="26"/>
      <c r="E447" s="26">
        <f t="shared" si="13"/>
        <v>0</v>
      </c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12"/>
        <v>0</v>
      </c>
      <c r="D448" s="26"/>
      <c r="E448" s="26">
        <f t="shared" si="13"/>
        <v>0</v>
      </c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12"/>
        <v>0</v>
      </c>
      <c r="D449" s="26"/>
      <c r="E449" s="26">
        <f t="shared" si="13"/>
        <v>0</v>
      </c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12"/>
        <v>0</v>
      </c>
      <c r="D450" s="26"/>
      <c r="E450" s="26">
        <f t="shared" si="13"/>
        <v>0</v>
      </c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12"/>
        <v>0</v>
      </c>
      <c r="D451" s="26"/>
      <c r="E451" s="26">
        <f t="shared" si="13"/>
        <v>0</v>
      </c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12"/>
        <v>0</v>
      </c>
      <c r="D452" s="26"/>
      <c r="E452" s="26">
        <f t="shared" si="13"/>
        <v>0</v>
      </c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12"/>
        <v>0</v>
      </c>
      <c r="D453" s="26"/>
      <c r="E453" s="26">
        <f t="shared" si="13"/>
        <v>0</v>
      </c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12"/>
        <v>0</v>
      </c>
      <c r="D454" s="26"/>
      <c r="E454" s="26">
        <f t="shared" si="13"/>
        <v>0</v>
      </c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14">H455*I455</f>
        <v>0</v>
      </c>
      <c r="D455" s="26"/>
      <c r="E455" s="26">
        <f t="shared" ref="E455:E505" si="15">J455*I455</f>
        <v>0</v>
      </c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14"/>
        <v>0</v>
      </c>
      <c r="D456" s="26"/>
      <c r="E456" s="26">
        <f t="shared" si="15"/>
        <v>0</v>
      </c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14"/>
        <v>0</v>
      </c>
      <c r="D457" s="26"/>
      <c r="E457" s="26">
        <f t="shared" si="15"/>
        <v>0</v>
      </c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14"/>
        <v>0</v>
      </c>
      <c r="D458" s="26"/>
      <c r="E458" s="26">
        <f t="shared" si="15"/>
        <v>0</v>
      </c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14"/>
        <v>0</v>
      </c>
      <c r="D459" s="26"/>
      <c r="E459" s="26">
        <f t="shared" si="15"/>
        <v>0</v>
      </c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14"/>
        <v>0</v>
      </c>
      <c r="D460" s="26"/>
      <c r="E460" s="26">
        <f t="shared" si="15"/>
        <v>0</v>
      </c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14"/>
        <v>0</v>
      </c>
      <c r="D461" s="26"/>
      <c r="E461" s="26">
        <f t="shared" si="15"/>
        <v>0</v>
      </c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14"/>
        <v>0</v>
      </c>
      <c r="D462" s="26"/>
      <c r="E462" s="26">
        <f t="shared" si="15"/>
        <v>0</v>
      </c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14"/>
        <v>0</v>
      </c>
      <c r="D463" s="26"/>
      <c r="E463" s="26">
        <f t="shared" si="15"/>
        <v>0</v>
      </c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14"/>
        <v>0</v>
      </c>
      <c r="D464" s="26"/>
      <c r="E464" s="26">
        <f t="shared" si="15"/>
        <v>0</v>
      </c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14"/>
        <v>0</v>
      </c>
      <c r="D465" s="26"/>
      <c r="E465" s="26">
        <f t="shared" si="15"/>
        <v>0</v>
      </c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14"/>
        <v>0</v>
      </c>
      <c r="D466" s="26"/>
      <c r="E466" s="26">
        <f t="shared" si="15"/>
        <v>0</v>
      </c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14"/>
        <v>0</v>
      </c>
      <c r="D467" s="26"/>
      <c r="E467" s="26">
        <f t="shared" si="15"/>
        <v>0</v>
      </c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14"/>
        <v>0</v>
      </c>
      <c r="D468" s="26"/>
      <c r="E468" s="26">
        <f t="shared" si="15"/>
        <v>0</v>
      </c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14"/>
        <v>0</v>
      </c>
      <c r="D469" s="26"/>
      <c r="E469" s="26">
        <f t="shared" si="15"/>
        <v>0</v>
      </c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14"/>
        <v>0</v>
      </c>
      <c r="D470" s="26"/>
      <c r="E470" s="26">
        <f t="shared" si="15"/>
        <v>0</v>
      </c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14"/>
        <v>0</v>
      </c>
      <c r="D471" s="26"/>
      <c r="E471" s="26">
        <f t="shared" si="15"/>
        <v>0</v>
      </c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14"/>
        <v>0</v>
      </c>
      <c r="D472" s="26"/>
      <c r="E472" s="26">
        <f t="shared" si="15"/>
        <v>0</v>
      </c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14"/>
        <v>0</v>
      </c>
      <c r="D473" s="26"/>
      <c r="E473" s="26">
        <f t="shared" si="15"/>
        <v>0</v>
      </c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14"/>
        <v>0</v>
      </c>
      <c r="D474" s="26"/>
      <c r="E474" s="26">
        <f t="shared" si="15"/>
        <v>0</v>
      </c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14"/>
        <v>0</v>
      </c>
      <c r="D475" s="26"/>
      <c r="E475" s="26">
        <f t="shared" si="15"/>
        <v>0</v>
      </c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14"/>
        <v>0</v>
      </c>
      <c r="D476" s="26"/>
      <c r="E476" s="26">
        <f t="shared" si="15"/>
        <v>0</v>
      </c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14"/>
        <v>0</v>
      </c>
      <c r="D477" s="26"/>
      <c r="E477" s="26">
        <f t="shared" si="15"/>
        <v>0</v>
      </c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14"/>
        <v>0</v>
      </c>
      <c r="D478" s="26"/>
      <c r="E478" s="26">
        <f t="shared" si="15"/>
        <v>0</v>
      </c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14"/>
        <v>0</v>
      </c>
      <c r="D479" s="26"/>
      <c r="E479" s="26">
        <f t="shared" si="15"/>
        <v>0</v>
      </c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14"/>
        <v>0</v>
      </c>
      <c r="D480" s="26"/>
      <c r="E480" s="26">
        <f t="shared" si="15"/>
        <v>0</v>
      </c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14"/>
        <v>0</v>
      </c>
      <c r="D481" s="26"/>
      <c r="E481" s="26">
        <f t="shared" si="15"/>
        <v>0</v>
      </c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14"/>
        <v>0</v>
      </c>
      <c r="D482" s="26"/>
      <c r="E482" s="26">
        <f t="shared" si="15"/>
        <v>0</v>
      </c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14"/>
        <v>0</v>
      </c>
      <c r="D483" s="26"/>
      <c r="E483" s="26">
        <f t="shared" si="15"/>
        <v>0</v>
      </c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14"/>
        <v>0</v>
      </c>
      <c r="D484" s="26"/>
      <c r="E484" s="26">
        <f t="shared" si="15"/>
        <v>0</v>
      </c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14"/>
        <v>0</v>
      </c>
      <c r="D485" s="26"/>
      <c r="E485" s="26">
        <f t="shared" si="15"/>
        <v>0</v>
      </c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14"/>
        <v>0</v>
      </c>
      <c r="D486" s="26"/>
      <c r="E486" s="26">
        <f t="shared" si="15"/>
        <v>0</v>
      </c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14"/>
        <v>0</v>
      </c>
      <c r="D487" s="26"/>
      <c r="E487" s="26">
        <f t="shared" si="15"/>
        <v>0</v>
      </c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14"/>
        <v>0</v>
      </c>
      <c r="D488" s="26"/>
      <c r="E488" s="26">
        <f t="shared" si="15"/>
        <v>0</v>
      </c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14"/>
        <v>0</v>
      </c>
      <c r="D489" s="26"/>
      <c r="E489" s="26">
        <f t="shared" si="15"/>
        <v>0</v>
      </c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14"/>
        <v>0</v>
      </c>
      <c r="D490" s="26"/>
      <c r="E490" s="26">
        <f t="shared" si="15"/>
        <v>0</v>
      </c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14"/>
        <v>0</v>
      </c>
      <c r="D491" s="26"/>
      <c r="E491" s="26">
        <f t="shared" si="15"/>
        <v>0</v>
      </c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14"/>
        <v>0</v>
      </c>
      <c r="D492" s="26"/>
      <c r="E492" s="26">
        <f t="shared" si="15"/>
        <v>0</v>
      </c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14"/>
        <v>0</v>
      </c>
      <c r="D493" s="26"/>
      <c r="E493" s="26">
        <f t="shared" si="15"/>
        <v>0</v>
      </c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14"/>
        <v>0</v>
      </c>
      <c r="D494" s="26"/>
      <c r="E494" s="26">
        <f t="shared" si="15"/>
        <v>0</v>
      </c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14"/>
        <v>0</v>
      </c>
      <c r="D495" s="26"/>
      <c r="E495" s="26">
        <f t="shared" si="15"/>
        <v>0</v>
      </c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14"/>
        <v>0</v>
      </c>
      <c r="D496" s="26"/>
      <c r="E496" s="26">
        <f t="shared" si="15"/>
        <v>0</v>
      </c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14"/>
        <v>0</v>
      </c>
      <c r="D497" s="26"/>
      <c r="E497" s="26">
        <f t="shared" si="15"/>
        <v>0</v>
      </c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14"/>
        <v>0</v>
      </c>
      <c r="D498" s="26"/>
      <c r="E498" s="26">
        <f t="shared" si="15"/>
        <v>0</v>
      </c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14"/>
        <v>0</v>
      </c>
      <c r="D499" s="26"/>
      <c r="E499" s="26">
        <f t="shared" si="15"/>
        <v>0</v>
      </c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14"/>
        <v>0</v>
      </c>
      <c r="D500" s="26"/>
      <c r="E500" s="26">
        <f t="shared" si="15"/>
        <v>0</v>
      </c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14"/>
        <v>0</v>
      </c>
      <c r="D501" s="26"/>
      <c r="E501" s="26">
        <f t="shared" si="15"/>
        <v>0</v>
      </c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14"/>
        <v>0</v>
      </c>
      <c r="D502" s="26"/>
      <c r="E502" s="26">
        <f t="shared" si="15"/>
        <v>0</v>
      </c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14"/>
        <v>0</v>
      </c>
      <c r="D503" s="26"/>
      <c r="E503" s="26">
        <f t="shared" si="15"/>
        <v>0</v>
      </c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14"/>
        <v>0</v>
      </c>
      <c r="D504" s="26"/>
      <c r="E504" s="26">
        <f t="shared" si="15"/>
        <v>0</v>
      </c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14"/>
        <v>0</v>
      </c>
      <c r="D505" s="26"/>
      <c r="E505" s="26">
        <f t="shared" si="15"/>
        <v>0</v>
      </c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42:G42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238:G238"/>
    <mergeCell ref="F474:G474"/>
    <mergeCell ref="F66:G66"/>
    <mergeCell ref="F17:G17"/>
  </mergeCells>
  <phoneticPr fontId="13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143</v>
      </c>
      <c r="G1" s="44"/>
      <c r="H1" s="122"/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144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/>
      <c r="I5" s="112"/>
      <c r="J5" s="112"/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55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107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56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57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145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59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60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61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62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146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64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65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66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67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68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69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70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71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72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73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74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75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76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77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78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79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80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81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82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83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84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85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86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87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88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89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147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288:G288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C3" sqref="C3:C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38</v>
      </c>
      <c r="D1" s="119"/>
      <c r="E1" s="119"/>
      <c r="F1" s="123" t="s">
        <v>148</v>
      </c>
      <c r="G1" s="44"/>
      <c r="H1" s="122" t="s">
        <v>119</v>
      </c>
      <c r="I1" s="106"/>
      <c r="J1" s="44"/>
    </row>
    <row r="2" spans="1:10" ht="21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34</v>
      </c>
      <c r="F2" s="4" t="s">
        <v>44</v>
      </c>
      <c r="G2" s="4" t="s">
        <v>36</v>
      </c>
      <c r="H2" s="27" t="s">
        <v>42</v>
      </c>
      <c r="I2" s="27" t="s">
        <v>120</v>
      </c>
      <c r="J2" s="27" t="s">
        <v>34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2360.2592400000003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149</v>
      </c>
      <c r="I3" s="120">
        <f>投資!G2</f>
        <v>31.818000000000001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45</v>
      </c>
      <c r="B5" s="24" t="s">
        <v>46</v>
      </c>
      <c r="C5" s="16" t="s">
        <v>47</v>
      </c>
      <c r="D5" s="16" t="s">
        <v>48</v>
      </c>
      <c r="E5" s="16" t="s">
        <v>49</v>
      </c>
      <c r="F5" s="125" t="s">
        <v>50</v>
      </c>
      <c r="G5" s="44"/>
      <c r="H5" s="112" t="s">
        <v>47</v>
      </c>
      <c r="I5" s="112" t="s">
        <v>121</v>
      </c>
      <c r="J5" s="112" t="s">
        <v>122</v>
      </c>
    </row>
    <row r="6" spans="1:10">
      <c r="A6" s="17">
        <v>1</v>
      </c>
      <c r="B6" s="110" t="s">
        <v>51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150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123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151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151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108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152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153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60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61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154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127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155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156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157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67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158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68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159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69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160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70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161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73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162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74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163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75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164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76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165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166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79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80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167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81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168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82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169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83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170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84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171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172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87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133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134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459:G459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188:G188"/>
    <mergeCell ref="F66:G66"/>
  </mergeCells>
  <phoneticPr fontId="13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</vt:lpstr>
      <vt:lpstr>2890</vt:lpstr>
      <vt:lpstr>VT</vt:lpstr>
      <vt:lpstr>VOO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2026-09-30T08:47:39Z</dcterms:modified>
  <dc:language>en-US</dc:language>
</cp:coreProperties>
</file>