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734F75EB-0FFE-4FBD-8E59-C19316DB3159}" xr6:coauthVersionLast="47" xr6:coauthVersionMax="47" xr10:uidLastSave="{00000000-0000-0000-0000-000000000000}"/>
  <bookViews>
    <workbookView xWindow="-120" yWindow="-120" windowWidth="29040" windowHeight="15720" tabRatio="679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B3" i="8" s="1"/>
  <c r="D3" i="8"/>
  <c r="G4" i="8" s="1"/>
  <c r="G3" i="8" s="1"/>
  <c r="C3" i="8"/>
  <c r="F3" i="7"/>
  <c r="E3" i="7"/>
  <c r="B3" i="7" s="1"/>
  <c r="D3" i="7"/>
  <c r="G4" i="7" s="1"/>
  <c r="G3" i="7" s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F3" i="5" s="1"/>
  <c r="C53" i="5"/>
  <c r="C52" i="5"/>
  <c r="C51" i="5"/>
  <c r="C50" i="5"/>
  <c r="I49" i="5"/>
  <c r="C49" i="5" s="1"/>
  <c r="E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E3" i="5"/>
  <c r="D3" i="5"/>
  <c r="C3" i="5"/>
  <c r="B3" i="5"/>
  <c r="F3" i="4"/>
  <c r="E3" i="4"/>
  <c r="B3" i="4" s="1"/>
  <c r="D3" i="4"/>
  <c r="K3" i="1" s="1"/>
  <c r="F3" i="3"/>
  <c r="E3" i="3"/>
  <c r="D3" i="3"/>
  <c r="C12" i="1"/>
  <c r="G10" i="1"/>
  <c r="C10" i="1"/>
  <c r="S7" i="1"/>
  <c r="S6" i="1"/>
  <c r="S5" i="1"/>
  <c r="S4" i="1"/>
  <c r="S3" i="1"/>
  <c r="S2" i="1"/>
  <c r="S10" i="1" s="1"/>
  <c r="B17" i="2" s="1"/>
  <c r="C18" i="2" s="1"/>
  <c r="C17" i="2" s="1"/>
  <c r="O2" i="1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E3" i="6" s="1"/>
  <c r="C7" i="6"/>
  <c r="J3" i="6"/>
  <c r="I3" i="6"/>
  <c r="F3" i="6"/>
  <c r="D3" i="6"/>
  <c r="C3" i="6"/>
  <c r="O3" i="1" s="1"/>
  <c r="G4" i="3" l="1"/>
  <c r="G3" i="3" s="1"/>
  <c r="K2" i="1"/>
  <c r="K10" i="1" s="1"/>
  <c r="B3" i="2" s="1"/>
  <c r="A3" i="2"/>
  <c r="E10" i="2" s="1"/>
  <c r="B3" i="6"/>
  <c r="A3" i="6"/>
  <c r="G4" i="6"/>
  <c r="G3" i="6" s="1"/>
  <c r="G4" i="5"/>
  <c r="G3" i="5" s="1"/>
  <c r="A3" i="5"/>
  <c r="O10" i="1"/>
  <c r="B10" i="2" s="1"/>
  <c r="C11" i="2" s="1"/>
  <c r="C10" i="2" s="1"/>
  <c r="A3" i="3"/>
  <c r="A3" i="7"/>
  <c r="A10" i="2"/>
  <c r="B3" i="3"/>
  <c r="G4" i="4"/>
  <c r="G3" i="4" s="1"/>
  <c r="A3" i="8"/>
  <c r="A3" i="4"/>
  <c r="F10" i="2" l="1"/>
  <c r="G11" i="2" s="1"/>
  <c r="G10" i="2" s="1"/>
  <c r="C4" i="2"/>
  <c r="C3" i="2" s="1"/>
  <c r="A12" i="1"/>
  <c r="A16" i="1" l="1"/>
  <c r="C16" i="1"/>
</calcChain>
</file>

<file path=xl/sharedStrings.xml><?xml version="1.0" encoding="utf-8"?>
<sst xmlns="http://schemas.openxmlformats.org/spreadsheetml/2006/main" count="417" uniqueCount="168">
  <si>
    <t>存股統計專用表格</t>
  </si>
  <si>
    <t>VOO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</si>
  <si>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</si>
  <si>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</si>
  <si>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</si>
  <si>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</si>
  <si>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</si>
  <si>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</si>
  <si>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</si>
  <si>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</si>
  <si>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</si>
  <si>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</si>
  <si>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</si>
  <si>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</si>
  <si>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</si>
  <si>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</si>
  <si>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</si>
  <si>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</si>
  <si>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</si>
  <si>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</si>
  <si>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2026.07.06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</si>
  <si>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</si>
  <si>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</si>
  <si>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</si>
  <si>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</si>
  <si>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</si>
  <si>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</si>
  <si>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</si>
  <si>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</si>
  <si>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</si>
  <si>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</si>
  <si>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</si>
  <si>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</si>
  <si>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</si>
  <si>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</si>
  <si>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</si>
  <si>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</si>
  <si>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</si>
  <si>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</si>
  <si>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</si>
  <si>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</si>
  <si>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</si>
  <si>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</si>
  <si>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</si>
  <si>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</si>
  <si>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</si>
  <si>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</si>
  <si>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</si>
  <si>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</si>
  <si>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</si>
  <si>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</si>
  <si>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</si>
  <si>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</si>
  <si>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</si>
  <si>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</si>
  <si>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</si>
  <si>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</si>
  <si>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</si>
  <si>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</si>
  <si>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</si>
  <si>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</si>
  <si>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</si>
  <si>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</si>
  <si>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</si>
  <si>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</si>
  <si>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</si>
  <si>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</si>
  <si>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</si>
  <si>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</si>
  <si>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</si>
  <si>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</si>
  <si>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</si>
  <si>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</si>
  <si>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</si>
  <si>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</si>
  <si>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</si>
  <si>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</si>
  <si>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</si>
  <si>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</si>
  <si>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</si>
  <si>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</si>
  <si>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</si>
  <si>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</si>
  <si>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</si>
  <si>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</si>
  <si>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</si>
  <si>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</si>
  <si>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</si>
  <si>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</si>
  <si>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</si>
  <si>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</si>
  <si>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</si>
  <si>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</si>
  <si>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</si>
  <si>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</si>
  <si>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</si>
  <si>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</si>
  <si>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</si>
  <si>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</si>
  <si>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</si>
  <si>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</si>
  <si>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</si>
  <si>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</si>
  <si>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</si>
  <si>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</si>
  <si>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</si>
  <si>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</si>
  <si>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</si>
  <si>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</si>
  <si>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</si>
  <si>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</si>
  <si>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</si>
  <si>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</si>
  <si>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</si>
  <si>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</si>
  <si>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</si>
  <si>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</si>
  <si>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</si>
  <si>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</si>
  <si>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</si>
  <si>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</si>
  <si>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</si>
  <si>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</si>
  <si>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</si>
  <si>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</si>
  <si>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</si>
  <si>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</si>
  <si>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</si>
  <si>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</si>
  <si>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</si>
  <si>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</si>
  <si>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</si>
  <si>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</si>
  <si>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</si>
  <si>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</si>
  <si>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</si>
  <si>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</si>
  <si>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</si>
  <si>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</si>
  <si>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</si>
  <si>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</si>
  <si>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</si>
  <si>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</si>
  <si>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</si>
  <si>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</si>
  <si>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</si>
  <si>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</si>
  <si>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</si>
  <si>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</si>
  <si>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</si>
  <si>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</si>
  <si>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</si>
  <si>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</si>
  <si>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</si>
  <si>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</si>
  <si>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</si>
  <si>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</si>
  <si>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</si>
  <si>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</si>
  <si>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</si>
  <si>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</si>
  <si>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</si>
  <si>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</si>
  <si>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</si>
  <si>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</si>
  <si>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</si>
  <si>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2026.08.10</t>
    <phoneticPr fontId="13" type="noConversion"/>
  </si>
  <si>
    <t>2026.08.24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</si>
</sst>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DC-4C3A-A82B-C0F3220BB1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DC-4C3A-A82B-C0F3220BB1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DC-4C3A-A82B-C0F3220BB1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3DC-4C3A-A82B-C0F3220BB15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3DC-4C3A-A82B-C0F3220BB15A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7194.6489999999994</c:v>
                </c:pt>
                <c:pt idx="2">
                  <c:v>409311.07189999998</c:v>
                </c:pt>
                <c:pt idx="3">
                  <c:v>270373.08858339005</c:v>
                </c:pt>
                <c:pt idx="4">
                  <c:v>238252.41478500003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3DC-4C3A-A82B-C0F3220BB15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DFA-49AF-BD84-B7FEA970A2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DFA-49AF-BD84-B7FEA970A2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DFA-49AF-BD84-B7FEA970A2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DFA-49AF-BD84-B7FEA970A2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DFA-49AF-BD84-B7FEA970A2C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DFA-49AF-BD84-B7FEA970A2CB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208486.75770000002</c:v>
                </c:pt>
                <c:pt idx="1">
                  <c:v>200824.31419999999</c:v>
                </c:pt>
                <c:pt idx="2">
                  <c:v>264897.50833809335</c:v>
                </c:pt>
                <c:pt idx="3">
                  <c:v>70238.809410000002</c:v>
                </c:pt>
                <c:pt idx="4">
                  <c:v>7576.3202899999997</c:v>
                </c:pt>
                <c:pt idx="5">
                  <c:v>9995.7226599999995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DFA-49AF-BD84-B7FEA970A2C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C7" sqref="C7:D7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21</v>
      </c>
      <c r="B1" s="67"/>
      <c r="C1" s="67"/>
      <c r="D1" s="68"/>
      <c r="E1" s="80" t="s">
        <v>22</v>
      </c>
      <c r="F1" s="67"/>
      <c r="G1" s="67"/>
      <c r="H1" s="68"/>
      <c r="I1" s="66" t="s">
        <v>23</v>
      </c>
      <c r="J1" s="67"/>
      <c r="K1" s="67"/>
      <c r="L1" s="68"/>
      <c r="M1" s="114" t="s">
        <v>24</v>
      </c>
      <c r="N1" s="67"/>
      <c r="O1" s="67"/>
      <c r="P1" s="68"/>
      <c r="Q1" s="102" t="s">
        <v>25</v>
      </c>
      <c r="R1" s="67"/>
      <c r="S1" s="67"/>
      <c r="T1" s="68"/>
    </row>
    <row r="2" spans="1:26" ht="17.25" customHeight="1" x14ac:dyDescent="0.25">
      <c r="A2" s="120" t="s">
        <v>26</v>
      </c>
      <c r="B2" s="121"/>
      <c r="C2" s="122">
        <v>201256</v>
      </c>
      <c r="D2" s="77"/>
      <c r="E2" s="123" t="s">
        <v>27</v>
      </c>
      <c r="F2" s="121"/>
      <c r="G2" s="106">
        <v>220</v>
      </c>
      <c r="H2" s="77"/>
      <c r="I2" s="107" t="s">
        <v>28</v>
      </c>
      <c r="J2" s="86"/>
      <c r="K2" s="76">
        <f>'006208'!D3*'006208'!C3*0.997</f>
        <v>208486.75770000002</v>
      </c>
      <c r="L2" s="77"/>
      <c r="M2" s="112" t="s">
        <v>29</v>
      </c>
      <c r="N2" s="86"/>
      <c r="O2" s="84">
        <f>VT!H3*VT!D3</f>
        <v>264897.50833809335</v>
      </c>
      <c r="P2" s="77"/>
      <c r="Q2" s="85" t="s">
        <v>30</v>
      </c>
      <c r="R2" s="86"/>
      <c r="S2" s="115">
        <f>(682.1+1166.72+328.25)*投資!G2</f>
        <v>70238.809410000002</v>
      </c>
      <c r="T2" s="77"/>
    </row>
    <row r="3" spans="1:26" ht="17.25" customHeight="1" x14ac:dyDescent="0.25">
      <c r="A3" s="70" t="s">
        <v>31</v>
      </c>
      <c r="B3" s="42"/>
      <c r="C3" s="65">
        <v>11601</v>
      </c>
      <c r="D3" s="63"/>
      <c r="E3" s="69" t="s">
        <v>32</v>
      </c>
      <c r="F3" s="42"/>
      <c r="G3" s="100">
        <v>0</v>
      </c>
      <c r="H3" s="63"/>
      <c r="I3" s="119" t="s">
        <v>33</v>
      </c>
      <c r="J3" s="98"/>
      <c r="K3" s="103">
        <f>'2890'!D3*'2890'!C3*0.997</f>
        <v>200824.31419999999</v>
      </c>
      <c r="L3" s="63"/>
      <c r="M3" s="110" t="s">
        <v>1</v>
      </c>
      <c r="N3" s="98"/>
      <c r="O3" s="62">
        <f>VOO!C3*VOO!D3</f>
        <v>5475.5802452967</v>
      </c>
      <c r="P3" s="63"/>
      <c r="Q3" s="97" t="s">
        <v>34</v>
      </c>
      <c r="R3" s="98"/>
      <c r="S3" s="71">
        <f>234.83*投資!G2</f>
        <v>7576.3202899999997</v>
      </c>
      <c r="T3" s="63"/>
    </row>
    <row r="4" spans="1:26" ht="15.75" customHeight="1" x14ac:dyDescent="0.25">
      <c r="A4" s="70" t="s">
        <v>35</v>
      </c>
      <c r="B4" s="42"/>
      <c r="C4" s="65">
        <v>150039</v>
      </c>
      <c r="D4" s="63"/>
      <c r="E4" s="69" t="s">
        <v>36</v>
      </c>
      <c r="F4" s="42"/>
      <c r="G4" s="100">
        <v>3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37</v>
      </c>
      <c r="R4" s="98"/>
      <c r="S4" s="71">
        <f>309.82*投資!G2</f>
        <v>9995.7226599999995</v>
      </c>
      <c r="T4" s="63"/>
    </row>
    <row r="5" spans="1:26" ht="16.5" customHeight="1" x14ac:dyDescent="0.25">
      <c r="A5" s="70" t="s">
        <v>38</v>
      </c>
      <c r="B5" s="42"/>
      <c r="C5" s="65">
        <v>550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39</v>
      </c>
      <c r="R5" s="98"/>
      <c r="S5" s="71">
        <f>15.45*投資!G2</f>
        <v>498.46334999999993</v>
      </c>
      <c r="T5" s="63"/>
    </row>
    <row r="6" spans="1:26" ht="17.25" customHeight="1" x14ac:dyDescent="0.25">
      <c r="A6" s="70" t="s">
        <v>40</v>
      </c>
      <c r="B6" s="42"/>
      <c r="C6" s="65">
        <v>700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41</v>
      </c>
      <c r="R6" s="42"/>
      <c r="S6" s="71">
        <f>(502.19+483.32+301.6+2206.02+151.975)*投資!G2</f>
        <v>117602.02261499999</v>
      </c>
      <c r="T6" s="63"/>
    </row>
    <row r="7" spans="1:26" ht="17.25" customHeight="1" x14ac:dyDescent="0.25">
      <c r="A7" s="70" t="s">
        <v>42</v>
      </c>
      <c r="B7" s="42"/>
      <c r="C7" s="65">
        <v>100189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43</v>
      </c>
      <c r="R7" s="42"/>
      <c r="S7" s="71">
        <f>(501.74+500.68)*投資!G2</f>
        <v>32341.07646</v>
      </c>
      <c r="T7" s="63"/>
    </row>
    <row r="8" spans="1:26" ht="17.25" customHeight="1" x14ac:dyDescent="0.25">
      <c r="A8" s="70" t="s">
        <v>44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45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46</v>
      </c>
      <c r="B10" s="73"/>
      <c r="C10" s="74">
        <f>SUM(C2:D9)</f>
        <v>525135</v>
      </c>
      <c r="D10" s="75"/>
      <c r="E10" s="72" t="s">
        <v>46</v>
      </c>
      <c r="F10" s="73"/>
      <c r="G10" s="74">
        <f>SUM(G2:H9)*投資!G2</f>
        <v>7194.6489999999994</v>
      </c>
      <c r="H10" s="75"/>
      <c r="I10" s="72" t="s">
        <v>46</v>
      </c>
      <c r="J10" s="73"/>
      <c r="K10" s="74">
        <f>SUM(K2:L9)</f>
        <v>409311.07189999998</v>
      </c>
      <c r="L10" s="75"/>
      <c r="M10" s="72" t="s">
        <v>46</v>
      </c>
      <c r="N10" s="73"/>
      <c r="O10" s="74">
        <f>SUM(O2:P9)</f>
        <v>270373.08858339005</v>
      </c>
      <c r="P10" s="75"/>
      <c r="Q10" s="72" t="s">
        <v>46</v>
      </c>
      <c r="R10" s="73"/>
      <c r="S10" s="74">
        <f>SUM(S2:T9)</f>
        <v>238252.41478500003</v>
      </c>
      <c r="T10" s="75"/>
    </row>
    <row r="11" spans="1:26" ht="31.5" customHeight="1" thickBot="1" x14ac:dyDescent="0.3">
      <c r="A11" s="99" t="s">
        <v>47</v>
      </c>
      <c r="B11" s="75"/>
      <c r="C11" s="124" t="s">
        <v>48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1450266.2242683901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49</v>
      </c>
      <c r="B14" s="68"/>
      <c r="C14" s="124" t="s">
        <v>50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1438254.2242683901</v>
      </c>
      <c r="B16" s="68"/>
      <c r="C16" s="101">
        <f>C12/A12</f>
        <v>8.2826172181315501E-3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23</v>
      </c>
      <c r="B1" s="44"/>
      <c r="C1" s="42"/>
      <c r="D1" s="3"/>
      <c r="E1" s="40" t="s">
        <v>51</v>
      </c>
      <c r="F1" s="40" t="s">
        <v>52</v>
      </c>
      <c r="G1" s="40" t="s">
        <v>53</v>
      </c>
    </row>
    <row r="2" spans="1:10" ht="21.75" customHeight="1" x14ac:dyDescent="0.3">
      <c r="A2" s="4" t="s">
        <v>7</v>
      </c>
      <c r="B2" s="4" t="s">
        <v>54</v>
      </c>
      <c r="C2" s="4" t="s">
        <v>9</v>
      </c>
      <c r="D2" s="5"/>
      <c r="E2" s="6">
        <v>304</v>
      </c>
      <c r="F2" s="6">
        <v>0</v>
      </c>
      <c r="G2" s="28">
        <v>32.262999999999998</v>
      </c>
    </row>
    <row r="3" spans="1:10" ht="17.25" customHeight="1" x14ac:dyDescent="0.3">
      <c r="A3" s="126">
        <f>('006208'!E3+'00692'!E3+'2890'!E3)-('006208'!F3+'00692'!F3+'2890'!F3)-E2+7345</f>
        <v>143495</v>
      </c>
      <c r="B3" s="126">
        <f>總資產!K10</f>
        <v>409311.07189999998</v>
      </c>
      <c r="C3" s="7">
        <f>C4/A3</f>
        <v>1.8524413526603714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265816.07189999998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24</v>
      </c>
      <c r="B8" s="44"/>
      <c r="C8" s="42"/>
      <c r="D8" s="5"/>
      <c r="E8" s="125" t="s">
        <v>55</v>
      </c>
      <c r="F8" s="44"/>
      <c r="G8" s="42"/>
    </row>
    <row r="9" spans="1:10" ht="15" customHeight="1" x14ac:dyDescent="0.3">
      <c r="A9" s="4" t="s">
        <v>7</v>
      </c>
      <c r="B9" s="4" t="s">
        <v>54</v>
      </c>
      <c r="C9" s="4" t="s">
        <v>9</v>
      </c>
      <c r="D9" s="5"/>
      <c r="E9" s="4" t="s">
        <v>7</v>
      </c>
      <c r="F9" s="4" t="s">
        <v>54</v>
      </c>
      <c r="G9" s="4" t="s">
        <v>9</v>
      </c>
    </row>
    <row r="10" spans="1:10" ht="18" customHeight="1" x14ac:dyDescent="0.3">
      <c r="A10" s="126">
        <f>(BND!E3+VT!E3)-(BND!F3+VT!F3)</f>
        <v>193754.45065000001</v>
      </c>
      <c r="B10" s="126">
        <f>總資產!O10</f>
        <v>270373.08858339005</v>
      </c>
      <c r="C10" s="7">
        <f>C11/A10</f>
        <v>0.39544195075959682</v>
      </c>
      <c r="D10" s="5"/>
      <c r="E10" s="126">
        <f>A3+A10+A17</f>
        <v>590830.45065000001</v>
      </c>
      <c r="F10" s="126">
        <f>B3+B10+B17</f>
        <v>917936.57526839012</v>
      </c>
      <c r="G10" s="7">
        <f>G11/E10</f>
        <v>0.55363789096944049</v>
      </c>
    </row>
    <row r="11" spans="1:10" ht="18" customHeight="1" x14ac:dyDescent="0.3">
      <c r="A11" s="46"/>
      <c r="B11" s="46"/>
      <c r="C11" s="29">
        <f>B10-A10</f>
        <v>76618.63793339004</v>
      </c>
      <c r="D11" s="5"/>
      <c r="E11" s="46"/>
      <c r="F11" s="46"/>
      <c r="G11" s="31">
        <f>F10-E10</f>
        <v>327106.12461839011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25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7</v>
      </c>
      <c r="B16" s="4" t="s">
        <v>54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238252.41478500003</v>
      </c>
      <c r="C17" s="7">
        <f>C18/A17</f>
        <v>-6.0448476877210715E-2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-15328.58521499997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C60" sqref="C60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56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101.40273037542661</v>
      </c>
      <c r="B3" s="49">
        <f>E3/D3</f>
        <v>110.66780432309443</v>
      </c>
      <c r="C3" s="61">
        <v>237.9</v>
      </c>
      <c r="D3" s="56">
        <f>SUM(D7:D505)</f>
        <v>879</v>
      </c>
      <c r="E3" s="59">
        <f>SUM(E7:E505)</f>
        <v>97277</v>
      </c>
      <c r="F3" s="59">
        <f>SUM(F6:G505)</f>
        <v>8144</v>
      </c>
      <c r="G3" s="7">
        <f>G4/E3</f>
        <v>1.2333963835233406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119981.1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58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59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60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61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62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63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64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65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66</v>
      </c>
      <c r="C16" s="33">
        <v>0</v>
      </c>
      <c r="D16" s="26">
        <v>0</v>
      </c>
      <c r="E16" s="26">
        <v>0</v>
      </c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66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67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68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69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70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71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72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73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74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75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76</v>
      </c>
      <c r="C27" s="33">
        <v>0</v>
      </c>
      <c r="D27" s="26">
        <v>0</v>
      </c>
      <c r="E27" s="26">
        <v>0</v>
      </c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77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78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79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80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81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82</v>
      </c>
      <c r="C33" s="33">
        <v>0</v>
      </c>
      <c r="D33" s="26">
        <v>0</v>
      </c>
      <c r="E33" s="26">
        <v>0</v>
      </c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83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84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85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85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86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87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88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89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90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91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92</v>
      </c>
      <c r="C44" s="33">
        <v>0</v>
      </c>
      <c r="D44" s="26">
        <v>0</v>
      </c>
      <c r="E44" s="26">
        <v>0</v>
      </c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93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94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95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96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97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98</v>
      </c>
      <c r="C50" s="33">
        <v>0</v>
      </c>
      <c r="D50" s="26">
        <v>0</v>
      </c>
      <c r="E50" s="26">
        <v>0</v>
      </c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99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100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101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102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103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104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105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3">
        <v>252.17</v>
      </c>
      <c r="D58" s="26">
        <v>12</v>
      </c>
      <c r="E58" s="26">
        <v>3027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3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166</v>
      </c>
      <c r="C60" s="33">
        <v>0</v>
      </c>
      <c r="D60" s="26">
        <v>0</v>
      </c>
      <c r="E60" s="26">
        <v>0</v>
      </c>
      <c r="F60" s="41">
        <v>4175</v>
      </c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21" zoomScaleNormal="100" workbookViewId="0">
      <selection activeCell="F59" sqref="F59:G59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106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15.906504835956762</v>
      </c>
      <c r="B3" s="49">
        <f>E3/D3</f>
        <v>18.538592831405271</v>
      </c>
      <c r="C3" s="128">
        <v>38.200000000000003</v>
      </c>
      <c r="D3" s="56">
        <f>SUM(D7:D505)</f>
        <v>5273</v>
      </c>
      <c r="E3" s="59">
        <f>SUM(E7:E505)</f>
        <v>97754</v>
      </c>
      <c r="F3" s="59">
        <f>SUM(F6:G505)</f>
        <v>13879</v>
      </c>
      <c r="G3" s="7">
        <f>G4/E3</f>
        <v>1.20254516439225</v>
      </c>
      <c r="H3" s="51"/>
      <c r="I3" s="127"/>
      <c r="J3" s="52"/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117553.60000000001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59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60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60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107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61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108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62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109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110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64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65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111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67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69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70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71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72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73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74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75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78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112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79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113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114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80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81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84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85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86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87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88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89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90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91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94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115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116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95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96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97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100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101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102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103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104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105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20</v>
      </c>
      <c r="C54" s="34">
        <v>40.82</v>
      </c>
      <c r="D54" s="26">
        <v>22</v>
      </c>
      <c r="E54" s="26">
        <v>899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4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167</v>
      </c>
      <c r="C56" s="34">
        <v>0</v>
      </c>
      <c r="D56" s="26">
        <v>103</v>
      </c>
      <c r="E56" s="26">
        <v>0</v>
      </c>
      <c r="F56" s="41">
        <v>5687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29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3690.2065279128265</v>
      </c>
      <c r="B3" s="49">
        <f>E3/D3</f>
        <v>3774.6170887308695</v>
      </c>
      <c r="C3" s="61">
        <f>H3</f>
        <v>5033.6732599999996</v>
      </c>
      <c r="D3" s="56">
        <f>SUM(D7:D505)</f>
        <v>52.62509</v>
      </c>
      <c r="E3" s="59">
        <f>SUM(E7:E505)</f>
        <v>198639.56401</v>
      </c>
      <c r="F3" s="59">
        <f>SUM(F6:G505)</f>
        <v>4442.1133599999994</v>
      </c>
      <c r="G3" s="7">
        <f>G4/E3</f>
        <v>0.35592132937089077</v>
      </c>
      <c r="H3" s="51">
        <v>5033.6732599999996</v>
      </c>
      <c r="I3" s="55">
        <f>投資!G2</f>
        <v>32.262999999999998</v>
      </c>
      <c r="J3" s="52">
        <f>SUM(J7:J505)</f>
        <v>6286.8800000000019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70700.057688093351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117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118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118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119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62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64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65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120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67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121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70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122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71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72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73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123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74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75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78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112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79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80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81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124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84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85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86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125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87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88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89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126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90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91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127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128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129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130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96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97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131</v>
      </c>
      <c r="C48" s="36">
        <f t="shared" si="0"/>
        <v>0</v>
      </c>
      <c r="D48" s="26"/>
      <c r="E48" s="26"/>
      <c r="F48" s="41">
        <f>36.62*投資!G2</f>
        <v>1181.4710599999999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132</v>
      </c>
      <c r="C49" s="36">
        <f t="shared" si="0"/>
        <v>4604.8979899999995</v>
      </c>
      <c r="D49" s="26">
        <v>0.21018000000000001</v>
      </c>
      <c r="E49" s="26">
        <f>30.01*投資!G2</f>
        <v>968.21262999999999</v>
      </c>
      <c r="F49" s="41"/>
      <c r="G49" s="42"/>
      <c r="H49" s="20">
        <v>142.72999999999999</v>
      </c>
      <c r="I49" s="20">
        <f>投資!G2</f>
        <v>32.262999999999998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100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101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102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133</v>
      </c>
      <c r="C53" s="36">
        <f t="shared" si="0"/>
        <v>0</v>
      </c>
      <c r="D53" s="26"/>
      <c r="E53" s="26"/>
      <c r="F53" s="41">
        <f>11.42*投資!G2</f>
        <v>368.44345999999996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134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104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105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135</v>
      </c>
      <c r="C57" s="36">
        <f t="shared" si="0"/>
        <v>0</v>
      </c>
      <c r="D57" s="26"/>
      <c r="E57" s="26"/>
      <c r="F57" s="41">
        <f>20.68 * 投資!G2</f>
        <v>667.1988399999999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6">
        <f t="shared" si="0"/>
        <v>5020.3539000000001</v>
      </c>
      <c r="D58" s="26">
        <v>0.12720000000000001</v>
      </c>
      <c r="E58" s="26">
        <v>660</v>
      </c>
      <c r="F58" s="41"/>
      <c r="G58" s="42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21977.489940493058</v>
      </c>
      <c r="B3" s="49">
        <f>E3/D3</f>
        <v>21977.489940493058</v>
      </c>
      <c r="C3" s="61">
        <f>H3</f>
        <v>22165.64889</v>
      </c>
      <c r="D3" s="56">
        <f>SUM(D7:D505)</f>
        <v>0.24703</v>
      </c>
      <c r="E3" s="59">
        <f>SUM(E7:E505)</f>
        <v>5429.0993399999998</v>
      </c>
      <c r="F3" s="59">
        <f>SUM(F6:G505)</f>
        <v>0</v>
      </c>
      <c r="G3" s="7">
        <f>G4/E3</f>
        <v>8.5614394553886093E-3</v>
      </c>
      <c r="H3" s="51">
        <v>22165.64889</v>
      </c>
      <c r="I3" s="55">
        <f>投資!G2</f>
        <v>32.262999999999998</v>
      </c>
      <c r="J3" s="52">
        <f>SUM(J7:J505)</f>
        <v>170.01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46.480905296700257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41"/>
      <c r="G7" s="42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/>
      <c r="C8" s="36">
        <f t="shared" si="0"/>
        <v>0</v>
      </c>
      <c r="D8" s="26"/>
      <c r="E8" s="26">
        <f t="shared" si="1"/>
        <v>0</v>
      </c>
      <c r="F8" s="41"/>
      <c r="G8" s="42"/>
      <c r="H8" s="20"/>
      <c r="I8" s="20"/>
      <c r="J8" s="20"/>
    </row>
    <row r="9" spans="1:10" x14ac:dyDescent="0.3">
      <c r="A9" s="17">
        <v>4</v>
      </c>
      <c r="B9" s="25"/>
      <c r="C9" s="36">
        <f t="shared" si="0"/>
        <v>0</v>
      </c>
      <c r="D9" s="26"/>
      <c r="E9" s="26">
        <f t="shared" si="1"/>
        <v>0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331:G331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282:G28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32:G32"/>
    <mergeCell ref="F330:G330"/>
    <mergeCell ref="F159:G159"/>
    <mergeCell ref="F268:G268"/>
    <mergeCell ref="F324:G32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66:G66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136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137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60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107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61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62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138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64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65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66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67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139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69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70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71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72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73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74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75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76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77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78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79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80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81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82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83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84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85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86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87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88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89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90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91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92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93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94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140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141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8">
        <f>H3*I3</f>
        <v>2393.2693400000003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142</v>
      </c>
      <c r="I3" s="127">
        <f>投資!G2</f>
        <v>32.262999999999998</v>
      </c>
      <c r="J3" s="52">
        <f>SUM(J7:J505)</f>
        <v>-41.149999999999864</v>
      </c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143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117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144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144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108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62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145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64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146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65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66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147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67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121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148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70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149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71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150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72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151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73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152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74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153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75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154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78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155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79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156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80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157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81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158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159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84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85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160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86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161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87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162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88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163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89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164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165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92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127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128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2026-07-23T12:53:48Z</dcterms:modified>
  <dc:language>en-US</dc:language>
</cp:coreProperties>
</file>