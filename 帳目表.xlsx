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BFE92E18-6B1A-46C0-AE13-7FC356804B8A}" xr6:coauthVersionLast="47" xr6:coauthVersionMax="47" xr10:uidLastSave="{00000000-0000-0000-0000-000000000000}"/>
  <bookViews>
    <workbookView xWindow="-110" yWindow="-110" windowWidth="19420" windowHeight="11500" tabRatio="679" activeTab="1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00692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" l="1"/>
  <c r="S6" i="1"/>
  <c r="S2" i="1"/>
  <c r="S5" i="1"/>
  <c r="S4" i="1"/>
  <c r="S3" i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F3" i="7"/>
  <c r="E3" i="7"/>
  <c r="D3" i="7"/>
  <c r="G4" i="7" s="1"/>
  <c r="G3" i="7" s="1"/>
  <c r="C3" i="7"/>
  <c r="F3" i="6"/>
  <c r="E3" i="6"/>
  <c r="D3" i="6"/>
  <c r="G4" i="6" s="1"/>
  <c r="G3" i="6" s="1"/>
  <c r="B3" i="6"/>
  <c r="A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E3" i="5" s="1"/>
  <c r="C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D3" i="5"/>
  <c r="O2" i="1" s="1"/>
  <c r="O10" i="1" s="1"/>
  <c r="B10" i="2" s="1"/>
  <c r="C3" i="5"/>
  <c r="F3" i="4"/>
  <c r="E3" i="4"/>
  <c r="D3" i="4"/>
  <c r="G4" i="4" s="1"/>
  <c r="G3" i="4" s="1"/>
  <c r="B3" i="4"/>
  <c r="A3" i="4"/>
  <c r="F3" i="3"/>
  <c r="E3" i="3"/>
  <c r="D3" i="3"/>
  <c r="K2" i="1" s="1"/>
  <c r="C12" i="1"/>
  <c r="G10" i="1"/>
  <c r="C10" i="1"/>
  <c r="S10" i="1" l="1"/>
  <c r="B17" i="2" s="1"/>
  <c r="C18" i="2" s="1"/>
  <c r="C17" i="2" s="1"/>
  <c r="B3" i="3"/>
  <c r="G4" i="5"/>
  <c r="G3" i="5" s="1"/>
  <c r="B3" i="5"/>
  <c r="A3" i="5"/>
  <c r="A10" i="2"/>
  <c r="C11" i="2" s="1"/>
  <c r="C10" i="2" s="1"/>
  <c r="G4" i="3"/>
  <c r="G3" i="3" s="1"/>
  <c r="K3" i="1"/>
  <c r="K10" i="1" s="1"/>
  <c r="A3" i="7"/>
  <c r="B3" i="7"/>
  <c r="A3" i="2"/>
  <c r="E10" i="2" s="1"/>
  <c r="A3" i="3"/>
  <c r="B3" i="2" l="1"/>
  <c r="A12" i="1"/>
  <c r="A16" i="1" l="1"/>
  <c r="C16" i="1"/>
  <c r="C4" i="2"/>
  <c r="C3" i="2" s="1"/>
  <c r="F10" i="2"/>
  <c r="G11" i="2" s="1"/>
  <c r="G10" i="2" s="1"/>
</calcChain>
</file>

<file path=xl/sharedStrings.xml><?xml version="1.0" encoding="utf-8"?>
<sst xmlns="http://schemas.openxmlformats.org/spreadsheetml/2006/main" count="372" uniqueCount="156">
  <si>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</si>
  <si>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</si>
  <si>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</si>
  <si>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</si>
  <si>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</si>
  <si>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</si>
  <si>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</si>
  <si>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</si>
  <si>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</si>
  <si>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</si>
  <si>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</si>
  <si>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</si>
  <si>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</si>
  <si>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</si>
  <si>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</si>
  <si>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SOL</t>
  </si>
  <si>
    <t>中華郵政活存</t>
  </si>
  <si>
    <t>中國信託活存</t>
  </si>
  <si>
    <t>華南Sny活存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</si>
  <si>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</si>
  <si>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</si>
  <si>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</si>
  <si>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</si>
  <si>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</si>
  <si>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</si>
  <si>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</si>
  <si>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</si>
  <si>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</si>
  <si>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</si>
  <si>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</si>
  <si>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</si>
  <si>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</si>
  <si>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</si>
  <si>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</si>
  <si>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</si>
  <si>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</si>
  <si>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</si>
  <si>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</si>
  <si>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</si>
  <si>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</si>
  <si>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</si>
  <si>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</si>
  <si>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</si>
  <si>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</si>
  <si>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</si>
  <si>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</si>
  <si>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</si>
  <si>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</si>
  <si>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</si>
  <si>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</si>
  <si>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</si>
  <si>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</si>
  <si>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</si>
  <si>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</si>
  <si>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</si>
  <si>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</si>
  <si>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</si>
  <si>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</si>
  <si>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</si>
  <si>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</si>
  <si>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</si>
  <si>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</si>
  <si>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</si>
  <si>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</si>
  <si>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</si>
  <si>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</si>
  <si>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</si>
  <si>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</si>
  <si>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</si>
  <si>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</si>
  <si>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</si>
  <si>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</si>
  <si>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</si>
  <si>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</si>
  <si>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</si>
  <si>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</si>
  <si>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</si>
  <si>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</si>
  <si>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</si>
  <si>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</si>
  <si>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</si>
  <si>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</si>
  <si>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</si>
  <si>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</si>
  <si>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</si>
  <si>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</si>
  <si>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</si>
  <si>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</si>
  <si>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</si>
  <si>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</si>
  <si>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</si>
  <si>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</si>
  <si>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</si>
  <si>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</si>
  <si>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</si>
  <si>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</si>
  <si>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</si>
  <si>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</si>
  <si>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</si>
  <si>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</si>
  <si>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</si>
  <si>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</si>
  <si>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</si>
  <si>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</si>
  <si>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</si>
  <si>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</si>
  <si>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</si>
  <si>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</si>
  <si>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</si>
  <si>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</si>
  <si>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</si>
  <si>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</si>
  <si>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</si>
  <si>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</si>
  <si>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</si>
  <si>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</si>
  <si>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</si>
  <si>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</si>
  <si>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</si>
  <si>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</si>
  <si>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</si>
  <si>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</si>
  <si>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</si>
  <si>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</si>
  <si>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</si>
  <si>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</si>
  <si>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</si>
  <si>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</si>
  <si>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</si>
  <si>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</si>
  <si>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</si>
  <si>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</si>
  <si>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</si>
  <si>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</si>
  <si>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</si>
  <si>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</si>
  <si>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</si>
  <si>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</si>
  <si>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</si>
  <si>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</si>
  <si>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</si>
  <si>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</si>
  <si>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</si>
  <si>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</si>
  <si>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</si>
  <si>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</si>
  <si>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</si>
  <si>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</si>
  <si>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</si>
  <si>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</si>
  <si>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</si>
  <si>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</si>
  <si>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</si>
  <si>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USDT</t>
    <phoneticPr fontId="7" type="noConversion"/>
  </si>
  <si>
    <t>SUI</t>
    <phoneticPr fontId="7" type="noConversion"/>
  </si>
  <si>
    <t>USDC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</si>
</sst>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6" fillId="0" borderId="0"/>
  </cellStyleXfs>
  <cellXfs count="132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9" fillId="7" borderId="2" xfId="0" applyFont="1" applyFill="1" applyBorder="1" applyAlignment="1">
      <alignment horizontal="center" vertical="center"/>
    </xf>
    <xf numFmtId="0" fontId="0" fillId="0" borderId="18" xfId="0" applyBorder="1"/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0" fillId="0" borderId="17" xfId="0" applyBorder="1"/>
    <xf numFmtId="0" fontId="0" fillId="0" borderId="20" xfId="0" applyBorder="1"/>
    <xf numFmtId="0" fontId="0" fillId="0" borderId="21" xfId="0" applyBorder="1"/>
    <xf numFmtId="0" fontId="12" fillId="14" borderId="5" xfId="0" applyFont="1" applyFill="1" applyBorder="1" applyAlignment="1">
      <alignment horizontal="center" vertical="center"/>
    </xf>
    <xf numFmtId="0" fontId="0" fillId="0" borderId="14" xfId="0" applyBorder="1"/>
    <xf numFmtId="49" fontId="12" fillId="12" borderId="5" xfId="0" applyNumberFormat="1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0" fontId="9" fillId="5" borderId="1" xfId="0" applyFont="1" applyFill="1" applyBorder="1" applyAlignment="1">
      <alignment horizontal="center" vertical="center"/>
    </xf>
    <xf numFmtId="0" fontId="0" fillId="0" borderId="16" xfId="0" applyBorder="1"/>
    <xf numFmtId="0" fontId="12" fillId="29" borderId="32" xfId="0" applyFont="1" applyFill="1" applyBorder="1" applyAlignment="1" applyProtection="1">
      <alignment horizontal="center" vertical="center"/>
      <protection locked="0"/>
    </xf>
    <xf numFmtId="0" fontId="12" fillId="29" borderId="14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10" fillId="10" borderId="5" xfId="0" applyFont="1" applyFill="1" applyBorder="1" applyAlignment="1" applyProtection="1">
      <alignment horizontal="center" vertical="center"/>
      <protection locked="0"/>
    </xf>
    <xf numFmtId="40" fontId="11" fillId="18" borderId="10" xfId="0" applyNumberFormat="1" applyFont="1" applyFill="1" applyBorder="1" applyAlignment="1">
      <alignment horizontal="right" vertical="center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12" fillId="29" borderId="5" xfId="0" applyFont="1" applyFill="1" applyBorder="1" applyAlignment="1">
      <alignment horizontal="center" vertical="center"/>
    </xf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0" fontId="9" fillId="6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9" fillId="2" borderId="1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0" fillId="0" borderId="26" xfId="0" applyBorder="1" applyProtection="1"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BE0-4B53-BF52-6DC8053DE1F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BE0-4B53-BF52-6DC8053DE1F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BE0-4B53-BF52-6DC8053DE1F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BE0-4B53-BF52-6DC8053DE1F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BE0-4B53-BF52-6DC8053DE1FC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534120</c:v>
                </c:pt>
                <c:pt idx="1">
                  <c:v>133238.26410000003</c:v>
                </c:pt>
                <c:pt idx="2">
                  <c:v>303180.9204</c:v>
                </c:pt>
                <c:pt idx="3">
                  <c:v>223058.79171220047</c:v>
                </c:pt>
                <c:pt idx="4">
                  <c:v>137765.89199999999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BE0-4B53-BF52-6DC8053DE1F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0CC-4C80-8873-67A2F6A8671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0CC-4C80-8873-67A2F6A8671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0CC-4C80-8873-67A2F6A8671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0CC-4C80-8873-67A2F6A8671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0CC-4C80-8873-67A2F6A8671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0CC-4C80-8873-67A2F6A86716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144301.24364999999</c:v>
                </c:pt>
                <c:pt idx="1">
                  <c:v>158879.67675000001</c:v>
                </c:pt>
                <c:pt idx="2">
                  <c:v>223058.79171220047</c:v>
                </c:pt>
                <c:pt idx="3">
                  <c:v>65541.684899999993</c:v>
                </c:pt>
                <c:pt idx="4">
                  <c:v>6489.7693499999996</c:v>
                </c:pt>
                <c:pt idx="5">
                  <c:v>9042.8713499999994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0CC-4C80-8873-67A2F6A8671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opLeftCell="H1" zoomScaleNormal="100" workbookViewId="0">
      <selection activeCell="S7" sqref="S7:T7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106" t="s">
        <v>0</v>
      </c>
      <c r="B1" s="60"/>
      <c r="C1" s="60"/>
      <c r="D1" s="52"/>
      <c r="E1" s="100" t="s">
        <v>1</v>
      </c>
      <c r="F1" s="60"/>
      <c r="G1" s="60"/>
      <c r="H1" s="52"/>
      <c r="I1" s="97" t="s">
        <v>2</v>
      </c>
      <c r="J1" s="60"/>
      <c r="K1" s="60"/>
      <c r="L1" s="52"/>
      <c r="M1" s="59" t="s">
        <v>3</v>
      </c>
      <c r="N1" s="60"/>
      <c r="O1" s="60"/>
      <c r="P1" s="52"/>
      <c r="Q1" s="79" t="s">
        <v>4</v>
      </c>
      <c r="R1" s="60"/>
      <c r="S1" s="60"/>
      <c r="T1" s="52"/>
    </row>
    <row r="2" spans="1:26" ht="17.25" customHeight="1">
      <c r="A2" s="76" t="s">
        <v>5</v>
      </c>
      <c r="B2" s="46"/>
      <c r="C2" s="41">
        <v>222392</v>
      </c>
      <c r="D2" s="42"/>
      <c r="E2" s="45" t="s">
        <v>6</v>
      </c>
      <c r="F2" s="46"/>
      <c r="G2" s="83">
        <v>4.5999999999999996</v>
      </c>
      <c r="H2" s="42"/>
      <c r="I2" s="84" t="s">
        <v>7</v>
      </c>
      <c r="J2" s="85"/>
      <c r="K2" s="98">
        <f>'006208'!D3*'006208'!C3*0.997</f>
        <v>144301.24364999999</v>
      </c>
      <c r="L2" s="42"/>
      <c r="M2" s="89" t="s">
        <v>8</v>
      </c>
      <c r="N2" s="85"/>
      <c r="O2" s="102">
        <f>VT!H3*VT!D3</f>
        <v>223058.79171220047</v>
      </c>
      <c r="P2" s="42"/>
      <c r="Q2" s="103" t="s">
        <v>9</v>
      </c>
      <c r="R2" s="85"/>
      <c r="S2" s="69">
        <f>(1009.71+712.13+342.14)*投資!G2</f>
        <v>65541.684899999993</v>
      </c>
      <c r="T2" s="42"/>
    </row>
    <row r="3" spans="1:26" ht="17.25" customHeight="1">
      <c r="A3" s="63" t="s">
        <v>10</v>
      </c>
      <c r="B3" s="44"/>
      <c r="C3" s="65">
        <v>25651</v>
      </c>
      <c r="D3" s="50"/>
      <c r="E3" s="66" t="s">
        <v>11</v>
      </c>
      <c r="F3" s="44"/>
      <c r="G3" s="49">
        <v>4191.22</v>
      </c>
      <c r="H3" s="50"/>
      <c r="I3" s="57" t="s">
        <v>12</v>
      </c>
      <c r="J3" s="56"/>
      <c r="K3" s="58">
        <f>'2890'!D3*'2890'!C3*0.997</f>
        <v>158879.67675000001</v>
      </c>
      <c r="L3" s="50"/>
      <c r="M3" s="55"/>
      <c r="N3" s="56"/>
      <c r="O3" s="90"/>
      <c r="P3" s="50"/>
      <c r="Q3" s="91" t="s">
        <v>13</v>
      </c>
      <c r="R3" s="56"/>
      <c r="S3" s="64">
        <f>204.37*投資!G2</f>
        <v>6489.7693499999996</v>
      </c>
      <c r="T3" s="50"/>
    </row>
    <row r="4" spans="1:26" ht="15.75" customHeight="1">
      <c r="A4" s="63" t="s">
        <v>14</v>
      </c>
      <c r="B4" s="44"/>
      <c r="C4" s="65">
        <v>120075</v>
      </c>
      <c r="D4" s="50"/>
      <c r="E4" s="66"/>
      <c r="F4" s="44"/>
      <c r="G4" s="49"/>
      <c r="H4" s="50"/>
      <c r="I4" s="57"/>
      <c r="J4" s="56"/>
      <c r="K4" s="58"/>
      <c r="L4" s="50"/>
      <c r="M4" s="55"/>
      <c r="N4" s="56"/>
      <c r="O4" s="90"/>
      <c r="P4" s="50"/>
      <c r="Q4" s="91" t="s">
        <v>15</v>
      </c>
      <c r="R4" s="56"/>
      <c r="S4" s="64">
        <f>284.77*投資!G2</f>
        <v>9042.8713499999994</v>
      </c>
      <c r="T4" s="50"/>
    </row>
    <row r="5" spans="1:26" ht="16.5" customHeight="1">
      <c r="A5" s="63" t="s">
        <v>16</v>
      </c>
      <c r="B5" s="44"/>
      <c r="C5" s="65">
        <v>0</v>
      </c>
      <c r="D5" s="50"/>
      <c r="E5" s="66"/>
      <c r="F5" s="44"/>
      <c r="G5" s="49"/>
      <c r="H5" s="50"/>
      <c r="I5" s="51"/>
      <c r="J5" s="44"/>
      <c r="K5" s="58"/>
      <c r="L5" s="50"/>
      <c r="M5" s="55"/>
      <c r="N5" s="56"/>
      <c r="O5" s="90"/>
      <c r="P5" s="50"/>
      <c r="Q5" s="91" t="s">
        <v>154</v>
      </c>
      <c r="R5" s="56"/>
      <c r="S5" s="64">
        <f>8.52*投資!G2</f>
        <v>270.55259999999998</v>
      </c>
      <c r="T5" s="50"/>
    </row>
    <row r="6" spans="1:26" ht="17.25" customHeight="1">
      <c r="A6" s="63" t="s">
        <v>17</v>
      </c>
      <c r="B6" s="44"/>
      <c r="C6" s="65">
        <v>2</v>
      </c>
      <c r="D6" s="50"/>
      <c r="E6" s="66"/>
      <c r="F6" s="44"/>
      <c r="G6" s="49"/>
      <c r="H6" s="50"/>
      <c r="I6" s="51"/>
      <c r="J6" s="44"/>
      <c r="K6" s="58"/>
      <c r="L6" s="50"/>
      <c r="M6" s="43"/>
      <c r="N6" s="44"/>
      <c r="O6" s="90"/>
      <c r="P6" s="50"/>
      <c r="Q6" s="61" t="s">
        <v>153</v>
      </c>
      <c r="R6" s="62"/>
      <c r="S6" s="64">
        <f>(365.09+507.87+295.29)*投資!G2</f>
        <v>37097.778749999998</v>
      </c>
      <c r="T6" s="50"/>
    </row>
    <row r="7" spans="1:26" ht="17.25" customHeight="1">
      <c r="A7" s="63" t="s">
        <v>18</v>
      </c>
      <c r="B7" s="44"/>
      <c r="C7" s="65">
        <v>100000</v>
      </c>
      <c r="D7" s="50"/>
      <c r="E7" s="66"/>
      <c r="F7" s="44"/>
      <c r="G7" s="49"/>
      <c r="H7" s="50"/>
      <c r="I7" s="51"/>
      <c r="J7" s="44"/>
      <c r="K7" s="58"/>
      <c r="L7" s="50"/>
      <c r="M7" s="43"/>
      <c r="N7" s="44"/>
      <c r="O7" s="90"/>
      <c r="P7" s="50"/>
      <c r="Q7" s="68" t="s">
        <v>155</v>
      </c>
      <c r="R7" s="44"/>
      <c r="S7" s="64">
        <f>(502.41+106.1)*投資!G2</f>
        <v>19323.235049999999</v>
      </c>
      <c r="T7" s="50"/>
    </row>
    <row r="8" spans="1:26" ht="17.25" customHeight="1">
      <c r="A8" s="63" t="s">
        <v>19</v>
      </c>
      <c r="B8" s="44"/>
      <c r="C8" s="65">
        <v>60000</v>
      </c>
      <c r="D8" s="50"/>
      <c r="E8" s="66"/>
      <c r="F8" s="44"/>
      <c r="G8" s="49"/>
      <c r="H8" s="50"/>
      <c r="I8" s="51"/>
      <c r="J8" s="44"/>
      <c r="K8" s="58"/>
      <c r="L8" s="50"/>
      <c r="M8" s="43"/>
      <c r="N8" s="44"/>
      <c r="O8" s="90"/>
      <c r="P8" s="50"/>
      <c r="Q8" s="68"/>
      <c r="R8" s="44"/>
      <c r="S8" s="64"/>
      <c r="T8" s="50"/>
    </row>
    <row r="9" spans="1:26" ht="17.25" customHeight="1" thickBot="1">
      <c r="A9" s="104" t="s">
        <v>20</v>
      </c>
      <c r="B9" s="105"/>
      <c r="C9" s="72">
        <v>6000</v>
      </c>
      <c r="D9" s="73"/>
      <c r="E9" s="74"/>
      <c r="F9" s="75"/>
      <c r="G9" s="80"/>
      <c r="H9" s="81"/>
      <c r="I9" s="82"/>
      <c r="J9" s="75"/>
      <c r="K9" s="86"/>
      <c r="L9" s="81"/>
      <c r="M9" s="87"/>
      <c r="N9" s="75"/>
      <c r="O9" s="88"/>
      <c r="P9" s="81"/>
      <c r="Q9" s="99"/>
      <c r="R9" s="75"/>
      <c r="S9" s="101"/>
      <c r="T9" s="81"/>
    </row>
    <row r="10" spans="1:26" ht="17.25" customHeight="1" thickBot="1">
      <c r="A10" s="70" t="s">
        <v>21</v>
      </c>
      <c r="B10" s="71"/>
      <c r="C10" s="67">
        <f>SUM(C2:D9)</f>
        <v>534120</v>
      </c>
      <c r="D10" s="48"/>
      <c r="E10" s="70" t="s">
        <v>21</v>
      </c>
      <c r="F10" s="71"/>
      <c r="G10" s="67">
        <f>SUM(G2:H9)*投資!G2</f>
        <v>133238.26410000003</v>
      </c>
      <c r="H10" s="48"/>
      <c r="I10" s="70" t="s">
        <v>21</v>
      </c>
      <c r="J10" s="71"/>
      <c r="K10" s="67">
        <f>SUM(K2:L9)</f>
        <v>303180.9204</v>
      </c>
      <c r="L10" s="48"/>
      <c r="M10" s="70" t="s">
        <v>21</v>
      </c>
      <c r="N10" s="71"/>
      <c r="O10" s="67">
        <f>SUM(O2:P9)</f>
        <v>223058.79171220047</v>
      </c>
      <c r="P10" s="48"/>
      <c r="Q10" s="70" t="s">
        <v>21</v>
      </c>
      <c r="R10" s="71"/>
      <c r="S10" s="67">
        <f>SUM(S2:T9)</f>
        <v>137765.89199999999</v>
      </c>
      <c r="T10" s="48"/>
    </row>
    <row r="11" spans="1:26" ht="31.5" customHeight="1" thickBot="1">
      <c r="A11" s="96" t="s">
        <v>22</v>
      </c>
      <c r="B11" s="48"/>
      <c r="C11" s="47" t="s">
        <v>23</v>
      </c>
      <c r="D11" s="48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77">
        <f>C10+G10+K10+O10+S10</f>
        <v>1331363.8682122005</v>
      </c>
      <c r="B12" s="52"/>
      <c r="C12" s="92">
        <f>23010+9528</f>
        <v>32538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53"/>
      <c r="B13" s="54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96" t="s">
        <v>24</v>
      </c>
      <c r="B14" s="52"/>
      <c r="C14" s="47" t="s">
        <v>25</v>
      </c>
      <c r="D14" s="52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53"/>
      <c r="B15" s="54"/>
      <c r="C15" s="53"/>
      <c r="D15" s="54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77">
        <f>A12-C12</f>
        <v>1298825.8682122005</v>
      </c>
      <c r="B16" s="52"/>
      <c r="C16" s="78">
        <f>C12/A12</f>
        <v>2.4439599704394192E-2</v>
      </c>
      <c r="D16" s="52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53"/>
      <c r="B17" s="54"/>
      <c r="C17" s="53"/>
      <c r="D17" s="54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tabSelected="1" zoomScaleNormal="100" workbookViewId="0">
      <selection activeCell="D18" sqref="D18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07" t="s">
        <v>2</v>
      </c>
      <c r="B1" s="108"/>
      <c r="C1" s="44"/>
      <c r="D1" s="3"/>
      <c r="E1" s="40" t="s">
        <v>26</v>
      </c>
      <c r="F1" s="40" t="s">
        <v>27</v>
      </c>
      <c r="G1" s="40" t="s">
        <v>28</v>
      </c>
    </row>
    <row r="2" spans="1:10" ht="21.75" customHeight="1">
      <c r="A2" s="4" t="s">
        <v>29</v>
      </c>
      <c r="B2" s="4" t="s">
        <v>30</v>
      </c>
      <c r="C2" s="4" t="s">
        <v>31</v>
      </c>
      <c r="D2" s="5"/>
      <c r="E2" s="6">
        <v>304</v>
      </c>
      <c r="F2" s="6">
        <v>0</v>
      </c>
      <c r="G2" s="28">
        <v>31.754999999999999</v>
      </c>
    </row>
    <row r="3" spans="1:10" ht="17.25" customHeight="1">
      <c r="A3" s="109">
        <f>('006208'!E3+'00692'!E3+'2890'!E3)-('006208'!F3+'00692'!F3+'2890'!F3)-E2+7345</f>
        <v>133945</v>
      </c>
      <c r="B3" s="109">
        <f>總資產!K10</f>
        <v>303180.9204</v>
      </c>
      <c r="C3" s="7">
        <f>C4/A3</f>
        <v>1.2634732196050618</v>
      </c>
      <c r="D3" s="8"/>
      <c r="E3" s="9"/>
      <c r="F3" s="9"/>
      <c r="G3" s="9"/>
    </row>
    <row r="4" spans="1:10" ht="17.25" customHeight="1">
      <c r="A4" s="110"/>
      <c r="B4" s="110"/>
      <c r="C4" s="29">
        <f>B3-A3</f>
        <v>169235.9204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7" t="s">
        <v>3</v>
      </c>
      <c r="B8" s="108"/>
      <c r="C8" s="44"/>
      <c r="D8" s="5"/>
      <c r="E8" s="107" t="s">
        <v>32</v>
      </c>
      <c r="F8" s="108"/>
      <c r="G8" s="44"/>
    </row>
    <row r="9" spans="1:10" ht="15" customHeight="1">
      <c r="A9" s="4" t="s">
        <v>29</v>
      </c>
      <c r="B9" s="4" t="s">
        <v>30</v>
      </c>
      <c r="C9" s="4" t="s">
        <v>31</v>
      </c>
      <c r="D9" s="5"/>
      <c r="E9" s="4" t="s">
        <v>29</v>
      </c>
      <c r="F9" s="4" t="s">
        <v>30</v>
      </c>
      <c r="G9" s="4" t="s">
        <v>31</v>
      </c>
    </row>
    <row r="10" spans="1:10" ht="18" customHeight="1">
      <c r="A10" s="109">
        <f>(BND!E3+VT!E3)-(BND!F3+VT!F3)</f>
        <v>177646.45083000002</v>
      </c>
      <c r="B10" s="109">
        <f>總資產!O10</f>
        <v>223058.79171220047</v>
      </c>
      <c r="C10" s="7">
        <f>C11/A10</f>
        <v>0.25563325734921721</v>
      </c>
      <c r="D10" s="5"/>
      <c r="E10" s="109">
        <f>A3+A10+A17</f>
        <v>470672.45082999999</v>
      </c>
      <c r="F10" s="109">
        <f>B3+B10+B17</f>
        <v>664005.60411220044</v>
      </c>
      <c r="G10" s="7">
        <f>G11/E10</f>
        <v>0.41075944203080106</v>
      </c>
    </row>
    <row r="11" spans="1:10" ht="18" customHeight="1">
      <c r="A11" s="110"/>
      <c r="B11" s="110"/>
      <c r="C11" s="29">
        <f>B10-A10</f>
        <v>45412.340882200457</v>
      </c>
      <c r="D11" s="5"/>
      <c r="E11" s="110"/>
      <c r="F11" s="110"/>
      <c r="G11" s="31">
        <f>F10-E10</f>
        <v>193333.15328220045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7" t="s">
        <v>4</v>
      </c>
      <c r="B15" s="108"/>
      <c r="C15" s="44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29</v>
      </c>
      <c r="B16" s="4" t="s">
        <v>30</v>
      </c>
      <c r="C16" s="4" t="s">
        <v>31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9">
        <v>159081</v>
      </c>
      <c r="B17" s="109">
        <f>總資產!S10</f>
        <v>137765.89199999999</v>
      </c>
      <c r="C17" s="7">
        <f>C18/A17</f>
        <v>-0.1339890244592378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10"/>
      <c r="B18" s="110"/>
      <c r="C18" s="29">
        <f>B17-A17</f>
        <v>-21315.108000000007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topLeftCell="A45" zoomScaleNormal="100" workbookViewId="0">
      <selection activeCell="B54" sqref="B5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9" t="s">
        <v>33</v>
      </c>
      <c r="D1" s="120"/>
      <c r="E1" s="120"/>
      <c r="F1" s="116" t="s">
        <v>34</v>
      </c>
      <c r="G1" s="44"/>
      <c r="H1" s="117"/>
      <c r="I1" s="108"/>
      <c r="J1" s="44"/>
    </row>
    <row r="2" spans="1:10" ht="21.75" customHeight="1">
      <c r="A2" s="4" t="s">
        <v>35</v>
      </c>
      <c r="B2" s="4" t="s">
        <v>36</v>
      </c>
      <c r="C2" s="4" t="s">
        <v>37</v>
      </c>
      <c r="D2" s="4" t="s">
        <v>38</v>
      </c>
      <c r="E2" s="4" t="s">
        <v>29</v>
      </c>
      <c r="F2" s="4" t="s">
        <v>39</v>
      </c>
      <c r="G2" s="4" t="s">
        <v>31</v>
      </c>
      <c r="H2" s="27"/>
      <c r="I2" s="27"/>
      <c r="J2" s="19"/>
    </row>
    <row r="3" spans="1:10" ht="18.75" customHeight="1">
      <c r="A3" s="127">
        <f>(E3-F3)/D3</f>
        <v>97.109045848822802</v>
      </c>
      <c r="B3" s="125">
        <f>E3/D3</f>
        <v>102.0272614622057</v>
      </c>
      <c r="C3" s="112">
        <v>179.35</v>
      </c>
      <c r="D3" s="118">
        <f>SUM(D7:D505)</f>
        <v>807</v>
      </c>
      <c r="E3" s="114">
        <f>SUM(E7:E505)</f>
        <v>82336</v>
      </c>
      <c r="F3" s="114">
        <f>SUM(F6:G505)</f>
        <v>3969</v>
      </c>
      <c r="G3" s="7">
        <f>G4/E3</f>
        <v>0.80606842693354042</v>
      </c>
      <c r="H3" s="124"/>
      <c r="I3" s="123"/>
      <c r="J3" s="121"/>
    </row>
    <row r="4" spans="1:10" ht="18.75" customHeight="1">
      <c r="A4" s="110"/>
      <c r="B4" s="110"/>
      <c r="C4" s="113"/>
      <c r="D4" s="110"/>
      <c r="E4" s="110"/>
      <c r="F4" s="110"/>
      <c r="G4" s="32">
        <f>D3*C3-E3+F3</f>
        <v>66368.449999999983</v>
      </c>
      <c r="H4" s="113"/>
      <c r="I4" s="113"/>
      <c r="J4" s="113"/>
    </row>
    <row r="5" spans="1:10">
      <c r="A5" s="16" t="s">
        <v>40</v>
      </c>
      <c r="B5" s="24" t="s">
        <v>41</v>
      </c>
      <c r="C5" s="16" t="s">
        <v>42</v>
      </c>
      <c r="D5" s="16" t="s">
        <v>43</v>
      </c>
      <c r="E5" s="16" t="s">
        <v>44</v>
      </c>
      <c r="F5" s="115" t="s">
        <v>45</v>
      </c>
      <c r="G5" s="44"/>
      <c r="H5" s="122"/>
      <c r="I5" s="122"/>
      <c r="J5" s="122"/>
    </row>
    <row r="6" spans="1:10">
      <c r="A6" s="17">
        <v>1</v>
      </c>
      <c r="B6" s="128" t="s">
        <v>46</v>
      </c>
      <c r="C6" s="108"/>
      <c r="D6" s="108"/>
      <c r="E6" s="44"/>
      <c r="F6" s="126"/>
      <c r="G6" s="44"/>
      <c r="H6" s="113"/>
      <c r="I6" s="113"/>
      <c r="J6" s="113"/>
    </row>
    <row r="7" spans="1:10">
      <c r="A7" s="17">
        <v>2</v>
      </c>
      <c r="B7" s="25" t="s">
        <v>47</v>
      </c>
      <c r="C7" s="33">
        <v>76.47</v>
      </c>
      <c r="D7" s="26">
        <v>6</v>
      </c>
      <c r="E7" s="26">
        <v>459</v>
      </c>
      <c r="F7" s="111"/>
      <c r="G7" s="44"/>
      <c r="H7" s="20"/>
      <c r="I7" s="20"/>
      <c r="J7" s="20"/>
    </row>
    <row r="8" spans="1:10">
      <c r="A8" s="17">
        <v>3</v>
      </c>
      <c r="B8" s="25" t="s">
        <v>48</v>
      </c>
      <c r="C8" s="33">
        <v>73.650000000000006</v>
      </c>
      <c r="D8" s="26">
        <v>20</v>
      </c>
      <c r="E8" s="26">
        <v>1475</v>
      </c>
      <c r="F8" s="111"/>
      <c r="G8" s="44"/>
      <c r="H8" s="20"/>
      <c r="I8" s="20"/>
      <c r="J8" s="20"/>
    </row>
    <row r="9" spans="1:10">
      <c r="A9" s="17">
        <v>4</v>
      </c>
      <c r="B9" s="25" t="s">
        <v>49</v>
      </c>
      <c r="C9" s="33">
        <v>74.3</v>
      </c>
      <c r="D9" s="26">
        <v>40</v>
      </c>
      <c r="E9" s="26">
        <v>2976</v>
      </c>
      <c r="F9" s="111"/>
      <c r="G9" s="44"/>
      <c r="H9" s="20"/>
      <c r="I9" s="20"/>
      <c r="J9" s="20"/>
    </row>
    <row r="10" spans="1:10">
      <c r="A10" s="17">
        <v>5</v>
      </c>
      <c r="B10" s="25" t="s">
        <v>50</v>
      </c>
      <c r="C10" s="33">
        <v>73.56</v>
      </c>
      <c r="D10" s="26">
        <v>20</v>
      </c>
      <c r="E10" s="26">
        <v>1472</v>
      </c>
      <c r="F10" s="111"/>
      <c r="G10" s="44"/>
      <c r="H10" s="20"/>
      <c r="I10" s="20"/>
      <c r="J10" s="20"/>
    </row>
    <row r="11" spans="1:10">
      <c r="A11" s="17">
        <v>6</v>
      </c>
      <c r="B11" s="25" t="s">
        <v>51</v>
      </c>
      <c r="C11" s="33">
        <v>71.61</v>
      </c>
      <c r="D11" s="26">
        <v>21</v>
      </c>
      <c r="E11" s="26">
        <v>1505</v>
      </c>
      <c r="F11" s="111"/>
      <c r="G11" s="44"/>
      <c r="H11" s="20"/>
      <c r="I11" s="20"/>
      <c r="J11" s="20"/>
    </row>
    <row r="12" spans="1:10">
      <c r="A12" s="17">
        <v>7</v>
      </c>
      <c r="B12" s="25" t="s">
        <v>52</v>
      </c>
      <c r="C12" s="33">
        <v>71.849999999999994</v>
      </c>
      <c r="D12" s="26">
        <v>21</v>
      </c>
      <c r="E12" s="26">
        <v>1510</v>
      </c>
      <c r="F12" s="111"/>
      <c r="G12" s="44"/>
      <c r="H12" s="20"/>
      <c r="I12" s="20"/>
      <c r="J12" s="20"/>
    </row>
    <row r="13" spans="1:10">
      <c r="A13" s="17">
        <v>8</v>
      </c>
      <c r="B13" s="25" t="s">
        <v>53</v>
      </c>
      <c r="C13" s="33">
        <v>70.75</v>
      </c>
      <c r="D13" s="26">
        <v>30</v>
      </c>
      <c r="E13" s="26">
        <v>2125</v>
      </c>
      <c r="F13" s="111"/>
      <c r="G13" s="44"/>
      <c r="H13" s="20"/>
      <c r="I13" s="20"/>
      <c r="J13" s="20"/>
    </row>
    <row r="14" spans="1:10">
      <c r="A14" s="17">
        <v>9</v>
      </c>
      <c r="B14" s="25" t="s">
        <v>54</v>
      </c>
      <c r="C14" s="33">
        <v>73.23</v>
      </c>
      <c r="D14" s="26">
        <v>21</v>
      </c>
      <c r="E14" s="18">
        <v>1539</v>
      </c>
      <c r="F14" s="111"/>
      <c r="G14" s="44"/>
      <c r="H14" s="20"/>
      <c r="I14" s="20"/>
      <c r="J14" s="20"/>
    </row>
    <row r="15" spans="1:10">
      <c r="A15" s="17">
        <v>10</v>
      </c>
      <c r="B15" s="25" t="s">
        <v>55</v>
      </c>
      <c r="C15" s="33">
        <v>74.8</v>
      </c>
      <c r="D15" s="26">
        <v>20</v>
      </c>
      <c r="E15" s="26">
        <v>1497</v>
      </c>
      <c r="F15" s="111"/>
      <c r="G15" s="44"/>
      <c r="H15" s="20"/>
      <c r="I15" s="20"/>
      <c r="J15" s="20"/>
    </row>
    <row r="16" spans="1:10">
      <c r="A16" s="17">
        <v>11</v>
      </c>
      <c r="B16" s="25" t="s">
        <v>56</v>
      </c>
      <c r="C16" s="33"/>
      <c r="D16" s="26"/>
      <c r="E16" s="26"/>
      <c r="F16" s="111">
        <v>152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56</v>
      </c>
      <c r="C17" s="33">
        <v>75.150000000000006</v>
      </c>
      <c r="D17" s="26">
        <v>20</v>
      </c>
      <c r="E17" s="26">
        <v>1505</v>
      </c>
      <c r="F17" s="111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57</v>
      </c>
      <c r="C18" s="33">
        <v>75.95</v>
      </c>
      <c r="D18" s="26">
        <v>20</v>
      </c>
      <c r="E18" s="26">
        <v>1520</v>
      </c>
      <c r="F18" s="111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58</v>
      </c>
      <c r="C19" s="33">
        <v>78.150000000000006</v>
      </c>
      <c r="D19" s="26">
        <v>20</v>
      </c>
      <c r="E19" s="26">
        <v>1565</v>
      </c>
      <c r="F19" s="111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59</v>
      </c>
      <c r="C20" s="33">
        <v>82.89</v>
      </c>
      <c r="D20" s="26">
        <v>19</v>
      </c>
      <c r="E20" s="26">
        <v>1576</v>
      </c>
      <c r="F20" s="111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60</v>
      </c>
      <c r="C21" s="33">
        <v>86.59</v>
      </c>
      <c r="D21" s="26">
        <v>17</v>
      </c>
      <c r="E21" s="26">
        <v>1473</v>
      </c>
      <c r="F21" s="111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61</v>
      </c>
      <c r="C22" s="33">
        <v>93.25</v>
      </c>
      <c r="D22" s="26">
        <v>16</v>
      </c>
      <c r="E22" s="26">
        <v>1493</v>
      </c>
      <c r="F22" s="111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62</v>
      </c>
      <c r="C23" s="33">
        <v>93.53</v>
      </c>
      <c r="D23" s="26">
        <v>17</v>
      </c>
      <c r="E23" s="26">
        <v>1591</v>
      </c>
      <c r="F23" s="111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63</v>
      </c>
      <c r="C24" s="33">
        <v>101.93</v>
      </c>
      <c r="D24" s="26">
        <v>15</v>
      </c>
      <c r="E24" s="26">
        <v>1530</v>
      </c>
      <c r="F24" s="111"/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64</v>
      </c>
      <c r="C25" s="33">
        <v>115.31</v>
      </c>
      <c r="D25" s="26">
        <v>13</v>
      </c>
      <c r="E25" s="26">
        <v>1500</v>
      </c>
      <c r="F25" s="111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65</v>
      </c>
      <c r="C26" s="33">
        <v>97.13</v>
      </c>
      <c r="D26" s="26">
        <v>16</v>
      </c>
      <c r="E26" s="26">
        <v>1555</v>
      </c>
      <c r="F26" s="111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66</v>
      </c>
      <c r="C27" s="33"/>
      <c r="D27" s="26"/>
      <c r="E27" s="26"/>
      <c r="F27" s="111">
        <v>279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67</v>
      </c>
      <c r="C28" s="33">
        <v>107</v>
      </c>
      <c r="D28" s="26">
        <v>1</v>
      </c>
      <c r="E28" s="26">
        <v>108</v>
      </c>
      <c r="F28" s="111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68</v>
      </c>
      <c r="C29" s="33">
        <v>102.07</v>
      </c>
      <c r="D29" s="26">
        <v>15</v>
      </c>
      <c r="E29" s="26">
        <v>1532</v>
      </c>
      <c r="F29" s="111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69</v>
      </c>
      <c r="C30" s="33">
        <v>109.64</v>
      </c>
      <c r="D30" s="26">
        <v>14</v>
      </c>
      <c r="E30" s="26">
        <v>1535</v>
      </c>
      <c r="F30" s="111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70</v>
      </c>
      <c r="C31" s="33">
        <v>114.77</v>
      </c>
      <c r="D31" s="26">
        <v>13</v>
      </c>
      <c r="E31" s="26">
        <v>1493</v>
      </c>
      <c r="F31" s="111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71</v>
      </c>
      <c r="C32" s="33">
        <v>113.64</v>
      </c>
      <c r="D32" s="26">
        <v>14</v>
      </c>
      <c r="E32" s="26">
        <v>1592</v>
      </c>
      <c r="F32" s="111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72</v>
      </c>
      <c r="C33" s="33"/>
      <c r="D33" s="26"/>
      <c r="E33" s="26"/>
      <c r="F33" s="111">
        <v>374</v>
      </c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73</v>
      </c>
      <c r="C34" s="33">
        <v>112.5</v>
      </c>
      <c r="D34" s="26">
        <v>2</v>
      </c>
      <c r="E34" s="26">
        <v>226</v>
      </c>
      <c r="F34" s="111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74</v>
      </c>
      <c r="C35" s="33">
        <v>116.46</v>
      </c>
      <c r="D35" s="26">
        <v>13</v>
      </c>
      <c r="E35" s="26">
        <v>1515</v>
      </c>
      <c r="F35" s="111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75</v>
      </c>
      <c r="C36" s="33">
        <v>116.15</v>
      </c>
      <c r="D36" s="26">
        <v>13</v>
      </c>
      <c r="E36" s="26">
        <v>1511</v>
      </c>
      <c r="F36" s="111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75</v>
      </c>
      <c r="C37" s="33">
        <v>116.35</v>
      </c>
      <c r="D37" s="26">
        <v>100</v>
      </c>
      <c r="E37" s="26">
        <v>10814</v>
      </c>
      <c r="F37" s="111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76</v>
      </c>
      <c r="C38" s="33">
        <v>110.44</v>
      </c>
      <c r="D38" s="26">
        <v>18</v>
      </c>
      <c r="E38" s="26">
        <v>1989</v>
      </c>
      <c r="F38" s="111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77</v>
      </c>
      <c r="C39" s="33">
        <v>93.32</v>
      </c>
      <c r="D39" s="26">
        <v>22</v>
      </c>
      <c r="E39" s="26">
        <v>2054</v>
      </c>
      <c r="F39" s="111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78</v>
      </c>
      <c r="C40" s="33">
        <v>100.5</v>
      </c>
      <c r="D40" s="26">
        <v>20</v>
      </c>
      <c r="E40" s="26">
        <v>2011</v>
      </c>
      <c r="F40" s="111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79</v>
      </c>
      <c r="C41" s="33">
        <v>107</v>
      </c>
      <c r="D41" s="26">
        <v>19</v>
      </c>
      <c r="E41" s="26">
        <v>2034</v>
      </c>
      <c r="F41" s="111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80</v>
      </c>
      <c r="C42" s="33">
        <v>114</v>
      </c>
      <c r="D42" s="26">
        <v>18</v>
      </c>
      <c r="E42" s="26">
        <v>2053</v>
      </c>
      <c r="F42" s="111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81</v>
      </c>
      <c r="C43" s="33">
        <v>119.24</v>
      </c>
      <c r="D43" s="26">
        <v>17</v>
      </c>
      <c r="E43" s="26">
        <v>2028</v>
      </c>
      <c r="F43" s="111"/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82</v>
      </c>
      <c r="C44" s="33"/>
      <c r="D44" s="26"/>
      <c r="E44" s="26"/>
      <c r="F44" s="111">
        <v>647</v>
      </c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83</v>
      </c>
      <c r="C45" s="33">
        <v>124.5</v>
      </c>
      <c r="D45" s="26">
        <v>4</v>
      </c>
      <c r="E45" s="26">
        <v>499</v>
      </c>
      <c r="F45" s="111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84</v>
      </c>
      <c r="C46" s="33">
        <v>124.69</v>
      </c>
      <c r="D46" s="26">
        <v>16</v>
      </c>
      <c r="E46" s="26">
        <v>1996</v>
      </c>
      <c r="F46" s="111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85</v>
      </c>
      <c r="C47" s="33">
        <v>143.57</v>
      </c>
      <c r="D47" s="26">
        <v>21</v>
      </c>
      <c r="E47" s="26">
        <v>3016</v>
      </c>
      <c r="F47" s="111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86</v>
      </c>
      <c r="C48" s="33">
        <v>148.5</v>
      </c>
      <c r="D48" s="26">
        <v>20</v>
      </c>
      <c r="E48" s="26">
        <v>2971</v>
      </c>
      <c r="F48" s="111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87</v>
      </c>
      <c r="C49" s="33">
        <v>145.24</v>
      </c>
      <c r="D49" s="26">
        <v>21</v>
      </c>
      <c r="E49" s="26">
        <v>3051</v>
      </c>
      <c r="F49" s="111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88</v>
      </c>
      <c r="C50" s="33"/>
      <c r="D50" s="26"/>
      <c r="E50" s="26"/>
      <c r="F50" s="111">
        <v>2517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89</v>
      </c>
      <c r="C51" s="33">
        <v>141.82</v>
      </c>
      <c r="D51" s="26">
        <v>17</v>
      </c>
      <c r="E51" s="26">
        <v>2412</v>
      </c>
      <c r="F51" s="111"/>
      <c r="G51" s="44"/>
      <c r="H51" s="20"/>
      <c r="I51" s="20"/>
      <c r="J51" s="20"/>
    </row>
    <row r="52" spans="1:10" s="12" customFormat="1" ht="16.5" customHeight="1">
      <c r="A52" s="17">
        <v>47</v>
      </c>
      <c r="B52" s="25" t="s">
        <v>90</v>
      </c>
      <c r="C52" s="33">
        <v>159.37</v>
      </c>
      <c r="D52" s="26">
        <v>19</v>
      </c>
      <c r="E52" s="26">
        <v>3029</v>
      </c>
      <c r="F52" s="111"/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91</v>
      </c>
      <c r="C53" s="33">
        <v>166.67</v>
      </c>
      <c r="D53" s="26">
        <v>18</v>
      </c>
      <c r="E53" s="26">
        <v>3001</v>
      </c>
      <c r="F53" s="111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3"/>
      <c r="D54" s="26"/>
      <c r="E54" s="26"/>
      <c r="F54" s="111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11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11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11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11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11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11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11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11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11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11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11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11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11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11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11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11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11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11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11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11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11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11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11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11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11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11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11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11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11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11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11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11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11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11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11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11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11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11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11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11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11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11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11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11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11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11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11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11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11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11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11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11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11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11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11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11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11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11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11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11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11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11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11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11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11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11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11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11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11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11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11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11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11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11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11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11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11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11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11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11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11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11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11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11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11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11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11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11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11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11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11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11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11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11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11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11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11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11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11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11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11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11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11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11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11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11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11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11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11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11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11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11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11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11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11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11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11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11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11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11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11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11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11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11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11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11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11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11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11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11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11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11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11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11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11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11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11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11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11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11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11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11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11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11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11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11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11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11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11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11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11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11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11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11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11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11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11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11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11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11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11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11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11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11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11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11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11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11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11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11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11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11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11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11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11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11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11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11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11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11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11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11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11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11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11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11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11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11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11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11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11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11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11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11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11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11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11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11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11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11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11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11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11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11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11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11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11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11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11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11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11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11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11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11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11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11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11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11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11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11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11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11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11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11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11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11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11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11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11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11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11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11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11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11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11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11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11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11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11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11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11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11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11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11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11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11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11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11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11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11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11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11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11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11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11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11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11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11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11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11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11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11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11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11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11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11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11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11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11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11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11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11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11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11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11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11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11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11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11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11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11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11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11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11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11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11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11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11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11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11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11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11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11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11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11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11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11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11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11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11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11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11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11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11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11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11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11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11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11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11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11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11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11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11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11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11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11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11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11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11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11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11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11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11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11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11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11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11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11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11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11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11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11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11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11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11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11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11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11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11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11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11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11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11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11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11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11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11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11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11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11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11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11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11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11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11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11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11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11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11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11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11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11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11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11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11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11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11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11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11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11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11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11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11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11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11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11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11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11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11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11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11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11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11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11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11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11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11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11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11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11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11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11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11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11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11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11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11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11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11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11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11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11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11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11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11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11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11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11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11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11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11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11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11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11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11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11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11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11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11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11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11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11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11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11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11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11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11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11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11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11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11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11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11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11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11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11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11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11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11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11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11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11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11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11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11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11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11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11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11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11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237:G237"/>
    <mergeCell ref="F408:G408"/>
    <mergeCell ref="F116:G116"/>
    <mergeCell ref="F26:G26"/>
    <mergeCell ref="F159:G159"/>
    <mergeCell ref="F268:G268"/>
    <mergeCell ref="F97:G97"/>
    <mergeCell ref="F497:G497"/>
    <mergeCell ref="F326:G326"/>
    <mergeCell ref="F70:G70"/>
    <mergeCell ref="F263:G263"/>
    <mergeCell ref="F355:G355"/>
    <mergeCell ref="F134:G134"/>
    <mergeCell ref="F487:G487"/>
    <mergeCell ref="F473:G473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241:G241"/>
    <mergeCell ref="F284:G284"/>
    <mergeCell ref="F10:G10"/>
    <mergeCell ref="F63:G63"/>
    <mergeCell ref="F24:G24"/>
    <mergeCell ref="F331:G331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F437:G437"/>
    <mergeCell ref="F190:G190"/>
    <mergeCell ref="F46:G46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9" zoomScaleNormal="100" workbookViewId="0">
      <selection activeCell="B50" sqref="B5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9" t="s">
        <v>33</v>
      </c>
      <c r="D1" s="120"/>
      <c r="E1" s="120"/>
      <c r="F1" s="116" t="s">
        <v>92</v>
      </c>
      <c r="G1" s="44"/>
      <c r="H1" s="117"/>
      <c r="I1" s="108"/>
      <c r="J1" s="44"/>
    </row>
    <row r="2" spans="1:10" ht="21.75" customHeight="1">
      <c r="A2" s="4" t="s">
        <v>35</v>
      </c>
      <c r="B2" s="4" t="s">
        <v>36</v>
      </c>
      <c r="C2" s="4" t="s">
        <v>37</v>
      </c>
      <c r="D2" s="4" t="s">
        <v>38</v>
      </c>
      <c r="E2" s="4" t="s">
        <v>29</v>
      </c>
      <c r="F2" s="4" t="s">
        <v>39</v>
      </c>
      <c r="G2" s="4" t="s">
        <v>31</v>
      </c>
      <c r="H2" s="27"/>
      <c r="I2" s="27"/>
      <c r="J2" s="19"/>
    </row>
    <row r="3" spans="1:10" ht="18.75" customHeight="1">
      <c r="A3" s="127">
        <f>(E3-F3)/D3</f>
        <v>16.899900695134061</v>
      </c>
      <c r="B3" s="125">
        <f>E3/D3</f>
        <v>18.526911618669313</v>
      </c>
      <c r="C3" s="129">
        <v>31.65</v>
      </c>
      <c r="D3" s="118">
        <f>SUM(D7:D505)</f>
        <v>5035</v>
      </c>
      <c r="E3" s="114">
        <f>SUM(E7:E505)</f>
        <v>93283</v>
      </c>
      <c r="F3" s="114">
        <f>SUM(F6:G505)</f>
        <v>8192</v>
      </c>
      <c r="G3" s="7">
        <f>G4/E3</f>
        <v>0.79614452794185431</v>
      </c>
      <c r="H3" s="124"/>
      <c r="I3" s="123"/>
      <c r="J3" s="121"/>
    </row>
    <row r="4" spans="1:10" ht="18.75" customHeight="1">
      <c r="A4" s="110"/>
      <c r="B4" s="110"/>
      <c r="C4" s="130"/>
      <c r="D4" s="110"/>
      <c r="E4" s="110"/>
      <c r="F4" s="110"/>
      <c r="G4" s="32">
        <f>D3*C3-E3+F3</f>
        <v>74266.75</v>
      </c>
      <c r="H4" s="113"/>
      <c r="I4" s="113"/>
      <c r="J4" s="113"/>
    </row>
    <row r="5" spans="1:10">
      <c r="A5" s="16" t="s">
        <v>40</v>
      </c>
      <c r="B5" s="24" t="s">
        <v>41</v>
      </c>
      <c r="C5" s="16" t="s">
        <v>42</v>
      </c>
      <c r="D5" s="16" t="s">
        <v>43</v>
      </c>
      <c r="E5" s="16" t="s">
        <v>44</v>
      </c>
      <c r="F5" s="115" t="s">
        <v>45</v>
      </c>
      <c r="G5" s="44"/>
      <c r="H5" s="122"/>
      <c r="I5" s="122"/>
      <c r="J5" s="122"/>
    </row>
    <row r="6" spans="1:10">
      <c r="A6" s="17">
        <v>1</v>
      </c>
      <c r="B6" s="128" t="s">
        <v>46</v>
      </c>
      <c r="C6" s="108"/>
      <c r="D6" s="108"/>
      <c r="E6" s="44"/>
      <c r="F6" s="126"/>
      <c r="G6" s="44"/>
      <c r="H6" s="113"/>
      <c r="I6" s="113"/>
      <c r="J6" s="113"/>
    </row>
    <row r="7" spans="1:10">
      <c r="A7" s="17">
        <v>2</v>
      </c>
      <c r="B7" s="25" t="s">
        <v>49</v>
      </c>
      <c r="C7" s="34">
        <v>18.7</v>
      </c>
      <c r="D7" s="26">
        <v>2000</v>
      </c>
      <c r="E7" s="26">
        <v>37453</v>
      </c>
      <c r="F7" s="111"/>
      <c r="G7" s="44"/>
      <c r="H7" s="20"/>
      <c r="I7" s="20"/>
      <c r="J7" s="20"/>
    </row>
    <row r="8" spans="1:10">
      <c r="A8" s="17">
        <v>3</v>
      </c>
      <c r="B8" s="25" t="s">
        <v>50</v>
      </c>
      <c r="C8" s="34">
        <v>18</v>
      </c>
      <c r="D8" s="26">
        <v>65</v>
      </c>
      <c r="E8" s="26">
        <v>1171</v>
      </c>
      <c r="F8" s="111"/>
      <c r="G8" s="44"/>
      <c r="H8" s="20"/>
      <c r="I8" s="20"/>
      <c r="J8" s="20"/>
    </row>
    <row r="9" spans="1:10">
      <c r="A9" s="17">
        <v>4</v>
      </c>
      <c r="B9" s="25" t="s">
        <v>50</v>
      </c>
      <c r="C9" s="34">
        <v>17.93</v>
      </c>
      <c r="D9" s="26">
        <v>50</v>
      </c>
      <c r="E9" s="26">
        <v>897</v>
      </c>
      <c r="F9" s="111"/>
      <c r="G9" s="44"/>
      <c r="H9" s="20"/>
      <c r="I9" s="20"/>
      <c r="J9" s="20"/>
    </row>
    <row r="10" spans="1:10">
      <c r="A10" s="17">
        <v>5</v>
      </c>
      <c r="B10" s="25" t="s">
        <v>93</v>
      </c>
      <c r="C10" s="34">
        <v>17.100000000000001</v>
      </c>
      <c r="D10" s="26">
        <v>1000</v>
      </c>
      <c r="E10" s="18">
        <v>17124</v>
      </c>
      <c r="F10" s="111"/>
      <c r="G10" s="44"/>
      <c r="H10" s="20"/>
      <c r="I10" s="20"/>
      <c r="J10" s="20"/>
    </row>
    <row r="11" spans="1:10">
      <c r="A11" s="17">
        <v>6</v>
      </c>
      <c r="B11" s="25" t="s">
        <v>51</v>
      </c>
      <c r="C11" s="34">
        <v>17.260000000000002</v>
      </c>
      <c r="D11" s="26">
        <v>50</v>
      </c>
      <c r="E11" s="26">
        <v>864</v>
      </c>
      <c r="F11" s="111"/>
      <c r="G11" s="44"/>
      <c r="H11" s="20"/>
      <c r="I11" s="20"/>
      <c r="J11" s="20"/>
    </row>
    <row r="12" spans="1:10">
      <c r="A12" s="17">
        <v>7</v>
      </c>
      <c r="B12" s="25" t="s">
        <v>94</v>
      </c>
      <c r="C12" s="34">
        <v>0</v>
      </c>
      <c r="D12" s="26">
        <v>40</v>
      </c>
      <c r="E12" s="26">
        <v>0</v>
      </c>
      <c r="F12" s="111">
        <v>1200</v>
      </c>
      <c r="G12" s="44"/>
      <c r="H12" s="20"/>
      <c r="I12" s="20"/>
      <c r="J12" s="20"/>
    </row>
    <row r="13" spans="1:10">
      <c r="A13" s="17">
        <v>8</v>
      </c>
      <c r="B13" s="25" t="s">
        <v>52</v>
      </c>
      <c r="C13" s="34">
        <v>17.62</v>
      </c>
      <c r="D13" s="26">
        <v>50</v>
      </c>
      <c r="E13" s="26">
        <v>882</v>
      </c>
      <c r="F13" s="111"/>
      <c r="G13" s="44"/>
      <c r="H13" s="20"/>
      <c r="I13" s="20"/>
      <c r="J13" s="20"/>
    </row>
    <row r="14" spans="1:10">
      <c r="A14" s="17">
        <v>9</v>
      </c>
      <c r="B14" s="25" t="s">
        <v>95</v>
      </c>
      <c r="C14" s="34">
        <v>18.100000000000001</v>
      </c>
      <c r="D14" s="26">
        <v>100</v>
      </c>
      <c r="E14" s="26">
        <v>1812</v>
      </c>
      <c r="F14" s="111"/>
      <c r="G14" s="44"/>
      <c r="H14" s="20"/>
      <c r="I14" s="20"/>
      <c r="J14" s="20"/>
    </row>
    <row r="15" spans="1:10">
      <c r="A15" s="17">
        <v>10</v>
      </c>
      <c r="B15" s="25" t="s">
        <v>96</v>
      </c>
      <c r="C15" s="34">
        <v>17.8</v>
      </c>
      <c r="D15" s="26">
        <v>30</v>
      </c>
      <c r="E15" s="26">
        <v>535</v>
      </c>
      <c r="F15" s="111"/>
      <c r="G15" s="44"/>
      <c r="H15" s="20"/>
      <c r="I15" s="20"/>
      <c r="J15" s="20"/>
    </row>
    <row r="16" spans="1:10">
      <c r="A16" s="17">
        <v>11</v>
      </c>
      <c r="B16" s="25" t="s">
        <v>54</v>
      </c>
      <c r="C16" s="34">
        <v>18.510000000000002</v>
      </c>
      <c r="D16" s="26">
        <v>47</v>
      </c>
      <c r="E16" s="26">
        <v>871</v>
      </c>
      <c r="F16" s="111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55</v>
      </c>
      <c r="C17" s="34">
        <v>19.29</v>
      </c>
      <c r="D17" s="26">
        <v>45</v>
      </c>
      <c r="E17" s="26">
        <v>869</v>
      </c>
      <c r="F17" s="111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97</v>
      </c>
      <c r="C18" s="34">
        <v>19.149999999999999</v>
      </c>
      <c r="D18" s="26">
        <v>45</v>
      </c>
      <c r="E18" s="26">
        <v>862</v>
      </c>
      <c r="F18" s="111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57</v>
      </c>
      <c r="C19" s="34">
        <v>19.61</v>
      </c>
      <c r="D19" s="26">
        <v>44</v>
      </c>
      <c r="E19" s="26">
        <v>864</v>
      </c>
      <c r="F19" s="111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59</v>
      </c>
      <c r="C20" s="34">
        <v>19.420000000000002</v>
      </c>
      <c r="D20" s="26">
        <v>45</v>
      </c>
      <c r="E20" s="26">
        <v>875</v>
      </c>
      <c r="F20" s="111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60</v>
      </c>
      <c r="C21" s="34">
        <v>20.05</v>
      </c>
      <c r="D21" s="26">
        <v>43</v>
      </c>
      <c r="E21" s="26">
        <v>863</v>
      </c>
      <c r="F21" s="111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61</v>
      </c>
      <c r="C22" s="34">
        <v>21.44</v>
      </c>
      <c r="D22" s="26">
        <v>41</v>
      </c>
      <c r="E22" s="26">
        <v>880</v>
      </c>
      <c r="F22" s="111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62</v>
      </c>
      <c r="C23" s="34">
        <v>22.51</v>
      </c>
      <c r="D23" s="26">
        <v>39</v>
      </c>
      <c r="E23" s="26">
        <v>879</v>
      </c>
      <c r="F23" s="111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63</v>
      </c>
      <c r="C24" s="34">
        <v>23.21</v>
      </c>
      <c r="D24" s="26">
        <v>38</v>
      </c>
      <c r="E24" s="26">
        <v>883</v>
      </c>
      <c r="F24" s="111"/>
      <c r="G24" s="44"/>
      <c r="H24" s="20"/>
      <c r="I24" s="20"/>
      <c r="J24" s="20"/>
    </row>
    <row r="25" spans="1:10" s="12" customFormat="1" ht="16.5" customHeight="1">
      <c r="A25" s="17">
        <v>20</v>
      </c>
      <c r="B25" s="20" t="s">
        <v>64</v>
      </c>
      <c r="C25" s="35">
        <v>26.48</v>
      </c>
      <c r="D25" s="20">
        <v>33</v>
      </c>
      <c r="E25" s="20">
        <v>875</v>
      </c>
      <c r="F25" s="111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65</v>
      </c>
      <c r="C26" s="34">
        <v>24.78</v>
      </c>
      <c r="D26" s="26">
        <v>36</v>
      </c>
      <c r="E26" s="26">
        <v>893</v>
      </c>
      <c r="F26" s="111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68</v>
      </c>
      <c r="C27" s="34">
        <v>23.5</v>
      </c>
      <c r="D27" s="26">
        <v>38</v>
      </c>
      <c r="E27" s="26">
        <v>894</v>
      </c>
      <c r="F27" s="111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98</v>
      </c>
      <c r="C28" s="34">
        <v>0</v>
      </c>
      <c r="D28" s="26">
        <v>96</v>
      </c>
      <c r="E28" s="26">
        <v>0</v>
      </c>
      <c r="F28" s="111">
        <v>2880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69</v>
      </c>
      <c r="C29" s="34">
        <v>24.08</v>
      </c>
      <c r="D29" s="26">
        <v>37</v>
      </c>
      <c r="E29" s="26">
        <v>891</v>
      </c>
      <c r="F29" s="111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99</v>
      </c>
      <c r="C30" s="34">
        <v>23.65</v>
      </c>
      <c r="D30" s="26">
        <v>63</v>
      </c>
      <c r="E30" s="26">
        <v>1491</v>
      </c>
      <c r="F30" s="111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100</v>
      </c>
      <c r="C31" s="34">
        <v>23.65</v>
      </c>
      <c r="D31" s="26">
        <v>59</v>
      </c>
      <c r="E31" s="26">
        <v>1395</v>
      </c>
      <c r="F31" s="111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70</v>
      </c>
      <c r="C32" s="34">
        <v>22.77</v>
      </c>
      <c r="D32" s="26">
        <v>39</v>
      </c>
      <c r="E32" s="26">
        <v>889</v>
      </c>
      <c r="F32" s="111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71</v>
      </c>
      <c r="C33" s="34">
        <v>24.42</v>
      </c>
      <c r="D33" s="26">
        <v>36</v>
      </c>
      <c r="E33" s="26">
        <v>880</v>
      </c>
      <c r="F33" s="111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74</v>
      </c>
      <c r="C34" s="34">
        <v>23.11</v>
      </c>
      <c r="D34" s="26">
        <v>38</v>
      </c>
      <c r="E34" s="26">
        <v>879</v>
      </c>
      <c r="F34" s="111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75</v>
      </c>
      <c r="C35" s="34">
        <v>22.54</v>
      </c>
      <c r="D35" s="26">
        <v>39</v>
      </c>
      <c r="E35" s="26">
        <v>880</v>
      </c>
      <c r="F35" s="111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76</v>
      </c>
      <c r="C36" s="34">
        <v>22.74</v>
      </c>
      <c r="D36" s="26">
        <v>39</v>
      </c>
      <c r="E36" s="26">
        <v>888</v>
      </c>
      <c r="F36" s="111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77</v>
      </c>
      <c r="C37" s="34">
        <v>20.3</v>
      </c>
      <c r="D37" s="26">
        <v>44</v>
      </c>
      <c r="E37" s="26">
        <v>894</v>
      </c>
      <c r="F37" s="111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78</v>
      </c>
      <c r="C38" s="34">
        <v>21.88</v>
      </c>
      <c r="D38" s="26">
        <v>41</v>
      </c>
      <c r="E38" s="26">
        <v>898</v>
      </c>
      <c r="F38" s="111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79</v>
      </c>
      <c r="C39" s="34">
        <v>23</v>
      </c>
      <c r="D39" s="26">
        <v>39</v>
      </c>
      <c r="E39" s="26">
        <v>898</v>
      </c>
      <c r="F39" s="111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80</v>
      </c>
      <c r="C40" s="34">
        <v>24.53</v>
      </c>
      <c r="D40" s="26">
        <v>36</v>
      </c>
      <c r="E40" s="26">
        <v>884</v>
      </c>
      <c r="F40" s="111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81</v>
      </c>
      <c r="C41" s="34">
        <v>26.21</v>
      </c>
      <c r="D41" s="26">
        <v>34</v>
      </c>
      <c r="E41" s="26">
        <v>892</v>
      </c>
      <c r="F41" s="111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84</v>
      </c>
      <c r="C42" s="34">
        <v>24.64</v>
      </c>
      <c r="D42" s="26">
        <v>36</v>
      </c>
      <c r="E42" s="26">
        <v>888</v>
      </c>
      <c r="F42" s="111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101</v>
      </c>
      <c r="C43" s="34">
        <v>0</v>
      </c>
      <c r="D43" s="26">
        <v>153</v>
      </c>
      <c r="E43" s="26">
        <v>0</v>
      </c>
      <c r="F43" s="111">
        <v>4112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102</v>
      </c>
      <c r="C44" s="34">
        <v>24.46</v>
      </c>
      <c r="D44" s="26">
        <v>167</v>
      </c>
      <c r="E44" s="26">
        <v>4085</v>
      </c>
      <c r="F44" s="111"/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85</v>
      </c>
      <c r="C45" s="34">
        <v>25.62</v>
      </c>
      <c r="D45" s="26">
        <v>34</v>
      </c>
      <c r="E45" s="26">
        <v>872</v>
      </c>
      <c r="F45" s="111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86</v>
      </c>
      <c r="C46" s="34">
        <v>26.45</v>
      </c>
      <c r="D46" s="26">
        <v>33</v>
      </c>
      <c r="E46" s="26">
        <v>874</v>
      </c>
      <c r="F46" s="111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87</v>
      </c>
      <c r="C47" s="34">
        <v>27.41</v>
      </c>
      <c r="D47" s="26">
        <v>32</v>
      </c>
      <c r="E47" s="26">
        <v>878</v>
      </c>
      <c r="F47" s="111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90</v>
      </c>
      <c r="C48" s="34">
        <v>28.97</v>
      </c>
      <c r="D48" s="26">
        <v>31</v>
      </c>
      <c r="E48" s="26">
        <v>899</v>
      </c>
      <c r="F48" s="111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91</v>
      </c>
      <c r="C49" s="34">
        <v>29.37</v>
      </c>
      <c r="D49" s="26">
        <v>30</v>
      </c>
      <c r="E49" s="26">
        <v>882</v>
      </c>
      <c r="F49" s="111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34"/>
      <c r="D50" s="26"/>
      <c r="E50" s="26"/>
      <c r="F50" s="111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11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11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11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11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11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11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11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11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11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11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11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11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11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11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11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11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11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11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11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11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11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11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11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11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11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11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11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11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11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11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11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11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11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11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11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11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11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11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11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11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11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11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11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11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11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11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11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11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11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11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11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11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11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11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11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11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11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11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11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11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11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11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11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11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11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11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11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11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11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11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11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11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11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11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11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11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11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11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11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11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11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11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11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11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11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11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11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11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11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11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11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11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11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11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11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11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11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11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11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11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11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11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11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11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11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11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11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11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11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11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11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11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11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11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11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11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11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11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11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11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11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11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11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11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11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11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11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11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11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11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11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11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11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11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11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11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11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11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11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11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11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11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11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11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11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11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11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11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11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11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11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11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11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11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11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11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11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11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11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11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11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11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11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11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11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11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11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11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11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11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11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11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11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11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11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11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11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11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11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11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11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11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11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11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11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11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11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11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11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11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11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11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11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11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11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11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11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11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11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11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11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11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11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11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11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11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11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11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11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11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11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11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11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11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11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11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11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11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11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11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11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11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11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11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11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11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11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11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11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11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11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11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11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11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11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11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11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11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11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11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11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11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11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11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11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11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11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11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11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11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11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11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11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11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11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11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11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11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11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11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11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11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11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11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11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11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11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11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11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11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11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11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11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11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11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11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11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11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11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11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11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11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11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11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11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11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11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11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11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11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11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11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11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11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11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11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11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11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11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11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11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11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11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11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11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11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11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11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11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11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11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11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11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11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11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11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11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11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11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11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11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11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11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11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11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11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11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11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11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11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11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11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11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11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11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11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11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11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11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11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11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11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11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11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11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11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11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11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11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11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11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11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11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11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11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11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11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11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11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11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11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11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11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11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11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11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11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11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11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11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11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11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11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11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11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11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11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11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11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11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11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11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11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11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11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11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11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11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11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11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11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11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11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11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11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11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11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11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11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11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11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11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11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11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11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11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11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11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11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11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11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11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11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11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11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11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11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11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11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11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11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11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11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11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11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11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11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11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11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11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11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11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11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11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11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11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11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11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11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11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11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11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11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11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11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11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11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11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11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11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11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11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11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11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11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237:G237"/>
    <mergeCell ref="F408:G408"/>
    <mergeCell ref="F116:G116"/>
    <mergeCell ref="F26:G26"/>
    <mergeCell ref="F159:G159"/>
    <mergeCell ref="F268:G268"/>
    <mergeCell ref="F97:G97"/>
    <mergeCell ref="F497:G497"/>
    <mergeCell ref="F326:G326"/>
    <mergeCell ref="F70:G70"/>
    <mergeCell ref="F263:G263"/>
    <mergeCell ref="F355:G355"/>
    <mergeCell ref="F134:G134"/>
    <mergeCell ref="F487:G487"/>
    <mergeCell ref="F473:G473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241:G241"/>
    <mergeCell ref="F284:G284"/>
    <mergeCell ref="F10:G10"/>
    <mergeCell ref="F63:G63"/>
    <mergeCell ref="F24:G24"/>
    <mergeCell ref="F331:G331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F437:G437"/>
    <mergeCell ref="F190:G190"/>
    <mergeCell ref="F46:G46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L47" sqref="L47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9" t="s">
        <v>33</v>
      </c>
      <c r="D1" s="120"/>
      <c r="E1" s="120"/>
      <c r="F1" s="116" t="s">
        <v>8</v>
      </c>
      <c r="G1" s="44"/>
      <c r="H1" s="117" t="s">
        <v>103</v>
      </c>
      <c r="I1" s="108"/>
      <c r="J1" s="44"/>
    </row>
    <row r="2" spans="1:10" ht="21.75" customHeight="1">
      <c r="A2" s="4" t="s">
        <v>35</v>
      </c>
      <c r="B2" s="4" t="s">
        <v>36</v>
      </c>
      <c r="C2" s="4" t="s">
        <v>37</v>
      </c>
      <c r="D2" s="4" t="s">
        <v>38</v>
      </c>
      <c r="E2" s="4" t="s">
        <v>29</v>
      </c>
      <c r="F2" s="4" t="s">
        <v>39</v>
      </c>
      <c r="G2" s="4" t="s">
        <v>31</v>
      </c>
      <c r="H2" s="27" t="s">
        <v>37</v>
      </c>
      <c r="I2" s="27" t="s">
        <v>104</v>
      </c>
      <c r="J2" s="27" t="s">
        <v>29</v>
      </c>
    </row>
    <row r="3" spans="1:10" ht="18.75" customHeight="1">
      <c r="A3" s="127">
        <f>(E3-F3)/D3</f>
        <v>3639.9437038426886</v>
      </c>
      <c r="B3" s="125">
        <f>E3/D3</f>
        <v>3709.1878342646301</v>
      </c>
      <c r="C3" s="112">
        <f>H3*I3</f>
        <v>144773.12018924998</v>
      </c>
      <c r="D3" s="118">
        <f>SUM(D7:D505)</f>
        <v>48.926429999999996</v>
      </c>
      <c r="E3" s="114">
        <f>SUM(E7:E505)</f>
        <v>181477.31893000001</v>
      </c>
      <c r="F3" s="114">
        <f>SUM(F6:G505)</f>
        <v>3387.8680999999997</v>
      </c>
      <c r="G3" s="7">
        <f>G4/E3</f>
        <v>38.04961700285201</v>
      </c>
      <c r="H3" s="124">
        <v>4559.0653499999999</v>
      </c>
      <c r="I3" s="131">
        <f>投資!G2</f>
        <v>31.754999999999999</v>
      </c>
      <c r="J3" s="121">
        <f>SUM(J7:J505)</f>
        <v>5736.8300000000008</v>
      </c>
    </row>
    <row r="4" spans="1:10" ht="18.75" customHeight="1">
      <c r="A4" s="110"/>
      <c r="B4" s="110"/>
      <c r="C4" s="113"/>
      <c r="D4" s="110"/>
      <c r="E4" s="110"/>
      <c r="F4" s="110"/>
      <c r="G4" s="32">
        <f>D3*C3-E3+F3</f>
        <v>6905142.4799909247</v>
      </c>
      <c r="H4" s="113"/>
      <c r="I4" s="113"/>
      <c r="J4" s="113"/>
    </row>
    <row r="5" spans="1:10">
      <c r="A5" s="16" t="s">
        <v>40</v>
      </c>
      <c r="B5" s="24" t="s">
        <v>41</v>
      </c>
      <c r="C5" s="16" t="s">
        <v>42</v>
      </c>
      <c r="D5" s="16" t="s">
        <v>43</v>
      </c>
      <c r="E5" s="16" t="s">
        <v>44</v>
      </c>
      <c r="F5" s="115" t="s">
        <v>45</v>
      </c>
      <c r="G5" s="44"/>
      <c r="H5" s="122" t="s">
        <v>42</v>
      </c>
      <c r="I5" s="122" t="s">
        <v>105</v>
      </c>
      <c r="J5" s="122" t="s">
        <v>106</v>
      </c>
    </row>
    <row r="6" spans="1:10">
      <c r="A6" s="17">
        <v>1</v>
      </c>
      <c r="B6" s="128" t="s">
        <v>46</v>
      </c>
      <c r="C6" s="108"/>
      <c r="D6" s="108"/>
      <c r="E6" s="44"/>
      <c r="F6" s="126"/>
      <c r="G6" s="44"/>
      <c r="H6" s="113"/>
      <c r="I6" s="113"/>
      <c r="J6" s="113"/>
    </row>
    <row r="7" spans="1:10">
      <c r="A7" s="17">
        <v>2</v>
      </c>
      <c r="B7" s="25" t="s">
        <v>47</v>
      </c>
      <c r="C7" s="36">
        <f t="shared" ref="C7:C70" si="0">H7*I7</f>
        <v>3066.7917499999999</v>
      </c>
      <c r="D7" s="26">
        <v>0.326071</v>
      </c>
      <c r="E7" s="26">
        <v>1000</v>
      </c>
      <c r="F7" s="111"/>
      <c r="G7" s="44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107</v>
      </c>
      <c r="C8" s="36">
        <f t="shared" si="0"/>
        <v>3071.5083</v>
      </c>
      <c r="D8" s="26">
        <v>0.32553500000000002</v>
      </c>
      <c r="E8" s="26">
        <v>1000</v>
      </c>
      <c r="F8" s="111"/>
      <c r="G8" s="44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108</v>
      </c>
      <c r="C9" s="36">
        <f t="shared" si="0"/>
        <v>3114.2246399999999</v>
      </c>
      <c r="D9" s="26">
        <v>0.321135</v>
      </c>
      <c r="E9" s="26">
        <v>1000</v>
      </c>
      <c r="F9" s="111"/>
      <c r="G9" s="44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108</v>
      </c>
      <c r="C10" s="36">
        <f t="shared" si="0"/>
        <v>3114.2246399999999</v>
      </c>
      <c r="D10" s="26">
        <v>12.84426</v>
      </c>
      <c r="E10" s="18">
        <v>40004</v>
      </c>
      <c r="F10" s="111"/>
      <c r="G10" s="44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109</v>
      </c>
      <c r="C11" s="36">
        <f t="shared" si="0"/>
        <v>0</v>
      </c>
      <c r="D11" s="26"/>
      <c r="E11" s="26"/>
      <c r="F11" s="111">
        <v>126</v>
      </c>
      <c r="G11" s="44"/>
      <c r="H11" s="20"/>
      <c r="I11" s="20"/>
      <c r="J11" s="20"/>
    </row>
    <row r="12" spans="1:10">
      <c r="A12" s="17">
        <v>7</v>
      </c>
      <c r="B12" s="25" t="s">
        <v>52</v>
      </c>
      <c r="C12" s="36">
        <f t="shared" si="0"/>
        <v>2959.0029999999997</v>
      </c>
      <c r="D12" s="26">
        <v>0.337951</v>
      </c>
      <c r="E12" s="26">
        <v>1000</v>
      </c>
      <c r="F12" s="111"/>
      <c r="G12" s="44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54</v>
      </c>
      <c r="C13" s="36">
        <f t="shared" si="0"/>
        <v>3042.1262000000002</v>
      </c>
      <c r="D13" s="26">
        <v>0.32874100000000001</v>
      </c>
      <c r="E13" s="26">
        <v>1000</v>
      </c>
      <c r="F13" s="111"/>
      <c r="G13" s="44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55</v>
      </c>
      <c r="C14" s="36">
        <f t="shared" si="0"/>
        <v>3130.9049600000003</v>
      </c>
      <c r="D14" s="26">
        <v>0.319359</v>
      </c>
      <c r="E14" s="26">
        <v>1000</v>
      </c>
      <c r="F14" s="111"/>
      <c r="G14" s="44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110</v>
      </c>
      <c r="C15" s="36">
        <f t="shared" si="0"/>
        <v>0</v>
      </c>
      <c r="D15" s="26"/>
      <c r="E15" s="26"/>
      <c r="F15" s="111">
        <v>254</v>
      </c>
      <c r="G15" s="44"/>
      <c r="H15" s="20"/>
      <c r="I15" s="20"/>
      <c r="J15" s="20"/>
    </row>
    <row r="16" spans="1:10">
      <c r="A16" s="17">
        <v>11</v>
      </c>
      <c r="B16" s="25" t="s">
        <v>57</v>
      </c>
      <c r="C16" s="36">
        <f t="shared" si="0"/>
        <v>3137.1045200000003</v>
      </c>
      <c r="D16" s="26">
        <v>0.318718</v>
      </c>
      <c r="E16" s="26">
        <v>1003</v>
      </c>
      <c r="F16" s="111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111</v>
      </c>
      <c r="C17" s="36">
        <f t="shared" si="0"/>
        <v>3275.1165599999999</v>
      </c>
      <c r="D17" s="26">
        <v>0.30535299999999999</v>
      </c>
      <c r="E17" s="26">
        <v>1000</v>
      </c>
      <c r="F17" s="111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60</v>
      </c>
      <c r="C18" s="36">
        <f t="shared" si="0"/>
        <v>3434.2774399999998</v>
      </c>
      <c r="D18" s="26">
        <v>0.29116700000000001</v>
      </c>
      <c r="E18" s="26">
        <v>1000</v>
      </c>
      <c r="F18" s="111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112</v>
      </c>
      <c r="C19" s="36">
        <f t="shared" si="0"/>
        <v>0</v>
      </c>
      <c r="D19" s="26"/>
      <c r="E19" s="26"/>
      <c r="F19" s="111">
        <v>148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6">
        <f t="shared" si="0"/>
        <v>3535.0024500000004</v>
      </c>
      <c r="D20" s="26">
        <v>0.282856</v>
      </c>
      <c r="E20" s="26">
        <v>1000</v>
      </c>
      <c r="F20" s="111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62</v>
      </c>
      <c r="C21" s="36">
        <f t="shared" si="0"/>
        <v>3540.1177000000002</v>
      </c>
      <c r="D21" s="26">
        <v>0.28243400000000002</v>
      </c>
      <c r="E21" s="26">
        <v>1000</v>
      </c>
      <c r="F21" s="111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63</v>
      </c>
      <c r="C22" s="36">
        <f t="shared" si="0"/>
        <v>3642.9198000000001</v>
      </c>
      <c r="D22" s="26">
        <v>0.27448</v>
      </c>
      <c r="E22" s="26">
        <v>1000</v>
      </c>
      <c r="F22" s="111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113</v>
      </c>
      <c r="C23" s="36">
        <f t="shared" si="0"/>
        <v>0</v>
      </c>
      <c r="D23" s="26"/>
      <c r="E23" s="26"/>
      <c r="F23" s="111">
        <v>217</v>
      </c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64</v>
      </c>
      <c r="C24" s="36">
        <f t="shared" si="0"/>
        <v>3730.2285000000006</v>
      </c>
      <c r="D24" s="26">
        <v>7.7744299999999997</v>
      </c>
      <c r="E24" s="26">
        <v>29003</v>
      </c>
      <c r="F24" s="111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65</v>
      </c>
      <c r="C25" s="36">
        <f t="shared" si="0"/>
        <v>3532.7945999999997</v>
      </c>
      <c r="D25" s="26">
        <v>0.84916999999999998</v>
      </c>
      <c r="E25" s="26">
        <v>3000</v>
      </c>
      <c r="F25" s="111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68</v>
      </c>
      <c r="C26" s="36">
        <f t="shared" si="0"/>
        <v>3681.8798299999999</v>
      </c>
      <c r="D26" s="26">
        <v>0.81479999999999997</v>
      </c>
      <c r="E26" s="26">
        <v>3000</v>
      </c>
      <c r="F26" s="111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98</v>
      </c>
      <c r="C27" s="36">
        <f t="shared" si="0"/>
        <v>0</v>
      </c>
      <c r="D27" s="26"/>
      <c r="E27" s="26"/>
      <c r="F27" s="111">
        <v>241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69</v>
      </c>
      <c r="C28" s="36">
        <f t="shared" si="0"/>
        <v>3845.8385400000002</v>
      </c>
      <c r="D28" s="26">
        <v>0.78005999999999998</v>
      </c>
      <c r="E28" s="26">
        <v>3000</v>
      </c>
      <c r="F28" s="111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70</v>
      </c>
      <c r="C29" s="36">
        <f t="shared" si="0"/>
        <v>3860.76</v>
      </c>
      <c r="D29" s="26">
        <v>0.77710000000000001</v>
      </c>
      <c r="E29" s="26">
        <v>3000</v>
      </c>
      <c r="F29" s="111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71</v>
      </c>
      <c r="C30" s="36">
        <f t="shared" si="0"/>
        <v>4001.085</v>
      </c>
      <c r="D30" s="26">
        <v>0.74980000000000002</v>
      </c>
      <c r="E30" s="26">
        <v>3000</v>
      </c>
      <c r="F30" s="111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114</v>
      </c>
      <c r="C31" s="36">
        <f t="shared" si="0"/>
        <v>0</v>
      </c>
      <c r="D31" s="26"/>
      <c r="E31" s="26"/>
      <c r="F31" s="111">
        <v>568</v>
      </c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74</v>
      </c>
      <c r="C32" s="36">
        <f t="shared" si="0"/>
        <v>3935.0944</v>
      </c>
      <c r="D32" s="26">
        <v>0.76234000000000002</v>
      </c>
      <c r="E32" s="26">
        <v>3000</v>
      </c>
      <c r="F32" s="111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75</v>
      </c>
      <c r="C33" s="36">
        <f t="shared" si="0"/>
        <v>4020.7558500000005</v>
      </c>
      <c r="D33" s="26">
        <v>0.74614000000000003</v>
      </c>
      <c r="E33" s="26">
        <v>3000</v>
      </c>
      <c r="F33" s="111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76</v>
      </c>
      <c r="C34" s="36">
        <f t="shared" si="0"/>
        <v>3929.3636799999999</v>
      </c>
      <c r="D34" s="26">
        <v>0.76346999999999998</v>
      </c>
      <c r="E34" s="26">
        <v>3000</v>
      </c>
      <c r="F34" s="111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115</v>
      </c>
      <c r="C35" s="36">
        <f t="shared" si="0"/>
        <v>0</v>
      </c>
      <c r="D35" s="26"/>
      <c r="E35" s="26"/>
      <c r="F35" s="111">
        <v>273</v>
      </c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77</v>
      </c>
      <c r="C36" s="36">
        <f t="shared" si="0"/>
        <v>3387.8566500000002</v>
      </c>
      <c r="D36" s="26">
        <v>0.88548000000000004</v>
      </c>
      <c r="E36" s="26">
        <v>3000</v>
      </c>
      <c r="F36" s="111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78</v>
      </c>
      <c r="C37" s="36">
        <f t="shared" si="0"/>
        <v>3569.4848999999999</v>
      </c>
      <c r="D37" s="26">
        <v>0.84048</v>
      </c>
      <c r="E37" s="26">
        <v>3000</v>
      </c>
      <c r="F37" s="111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79</v>
      </c>
      <c r="C38" s="36">
        <f t="shared" si="0"/>
        <v>3755.3881199999996</v>
      </c>
      <c r="D38" s="26">
        <v>0.79884999999999995</v>
      </c>
      <c r="E38" s="26">
        <v>3000</v>
      </c>
      <c r="F38" s="111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116</v>
      </c>
      <c r="C39" s="36">
        <f t="shared" si="0"/>
        <v>0</v>
      </c>
      <c r="D39" s="26"/>
      <c r="E39" s="26"/>
      <c r="F39" s="111">
        <v>398</v>
      </c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80</v>
      </c>
      <c r="C40" s="36">
        <f t="shared" si="0"/>
        <v>3780.6701999999996</v>
      </c>
      <c r="D40" s="26">
        <v>1.0062599999999999</v>
      </c>
      <c r="E40" s="26">
        <v>3804.3505500000001</v>
      </c>
      <c r="F40" s="111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81</v>
      </c>
      <c r="C41" s="36">
        <f t="shared" si="0"/>
        <v>3868.9544400000004</v>
      </c>
      <c r="D41" s="26">
        <v>0.99724000000000002</v>
      </c>
      <c r="E41" s="26">
        <v>3859.1603700000001</v>
      </c>
      <c r="F41" s="111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117</v>
      </c>
      <c r="C42" s="36">
        <f t="shared" si="0"/>
        <v>4109.5728900000004</v>
      </c>
      <c r="D42" s="26">
        <v>0.96231999999999995</v>
      </c>
      <c r="E42" s="26">
        <v>3955.0342099999998</v>
      </c>
      <c r="F42" s="111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118</v>
      </c>
      <c r="C43" s="36">
        <f t="shared" si="0"/>
        <v>4113.4283999999998</v>
      </c>
      <c r="D43" s="26">
        <v>-33.100180000000002</v>
      </c>
      <c r="E43" s="26">
        <v>-135835</v>
      </c>
      <c r="F43" s="111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119</v>
      </c>
      <c r="C44" s="36">
        <f t="shared" si="0"/>
        <v>4140.5113499999998</v>
      </c>
      <c r="D44" s="26">
        <v>41.166679999999999</v>
      </c>
      <c r="E44" s="26">
        <v>170451.20115000001</v>
      </c>
      <c r="F44" s="111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120</v>
      </c>
      <c r="C45" s="36">
        <f t="shared" si="0"/>
        <v>4259.1959999999999</v>
      </c>
      <c r="D45" s="26">
        <v>0.93123</v>
      </c>
      <c r="E45" s="26">
        <v>3966.6051000000002</v>
      </c>
      <c r="F45" s="111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86</v>
      </c>
      <c r="C46" s="36">
        <f t="shared" si="0"/>
        <v>4323.4119999999994</v>
      </c>
      <c r="D46" s="26">
        <v>0.93123</v>
      </c>
      <c r="E46" s="26">
        <v>4027</v>
      </c>
      <c r="F46" s="111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87</v>
      </c>
      <c r="C47" s="36">
        <f t="shared" si="0"/>
        <v>4430.625</v>
      </c>
      <c r="D47" s="26">
        <v>0.91691</v>
      </c>
      <c r="E47" s="26">
        <v>4075</v>
      </c>
      <c r="F47" s="111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121</v>
      </c>
      <c r="C48" s="36">
        <f t="shared" si="0"/>
        <v>0</v>
      </c>
      <c r="D48" s="26"/>
      <c r="E48" s="26"/>
      <c r="F48" s="111">
        <f>36.62*投資!G2</f>
        <v>1162.8680999999999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122</v>
      </c>
      <c r="C49" s="36">
        <f t="shared" si="0"/>
        <v>4532.3911499999995</v>
      </c>
      <c r="D49" s="26">
        <v>0.21018000000000001</v>
      </c>
      <c r="E49" s="26">
        <f>30.01*投資!G2</f>
        <v>952.96755000000007</v>
      </c>
      <c r="F49" s="111"/>
      <c r="G49" s="44"/>
      <c r="H49" s="20">
        <v>142.72999999999999</v>
      </c>
      <c r="I49" s="20">
        <f>投資!G2</f>
        <v>31.754999999999999</v>
      </c>
      <c r="J49" s="20">
        <v>30.01</v>
      </c>
    </row>
    <row r="50" spans="1:10" s="12" customFormat="1" ht="16.5" customHeight="1">
      <c r="A50" s="17">
        <v>45</v>
      </c>
      <c r="B50" s="25" t="s">
        <v>90</v>
      </c>
      <c r="C50" s="36">
        <f t="shared" si="0"/>
        <v>4516.0830000000005</v>
      </c>
      <c r="D50" s="26">
        <v>0.90559999999999996</v>
      </c>
      <c r="E50" s="26">
        <v>4090</v>
      </c>
      <c r="F50" s="111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91</v>
      </c>
      <c r="C51" s="36">
        <f t="shared" si="0"/>
        <v>4580.025599999999</v>
      </c>
      <c r="D51" s="26">
        <v>0.89878000000000002</v>
      </c>
      <c r="E51" s="26">
        <v>4121</v>
      </c>
      <c r="F51" s="111"/>
      <c r="G51" s="44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/>
      <c r="C52" s="36">
        <f t="shared" si="0"/>
        <v>0</v>
      </c>
      <c r="D52" s="26"/>
      <c r="E52" s="26"/>
      <c r="F52" s="111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11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11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11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11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11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11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11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11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11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11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11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11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11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11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11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11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11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11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11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11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11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11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11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11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11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11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11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11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11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11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11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11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11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11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11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11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11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11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11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11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11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11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11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11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11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11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11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11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11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11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11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11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11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11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11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11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11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11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11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11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11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11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11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11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11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11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11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11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11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11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11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11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11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11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11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11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11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11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11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11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11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11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11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11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11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11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11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11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11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11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11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11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11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11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11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11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11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11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11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11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11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11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11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11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11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11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11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11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11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11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11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11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11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11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11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11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11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11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11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11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11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11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11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11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11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11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11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11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11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11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11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11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11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11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11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11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11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11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11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11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11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11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11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11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11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11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11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11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11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11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11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11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11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11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11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11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11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11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11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11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11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11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11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11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11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11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11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11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11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11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11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11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11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11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11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11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11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11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11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11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11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11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11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11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11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11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11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11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11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11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11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11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11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11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11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11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11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11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11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11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11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11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11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11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11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11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11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11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11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11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11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11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11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11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11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11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11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11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11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11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11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11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11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11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11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11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11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11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11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11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11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11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11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11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11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11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11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11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11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11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11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11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11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11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11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11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11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11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11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11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11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11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11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11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11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11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11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11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11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11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11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11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11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11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11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11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11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11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11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11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11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11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11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11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11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11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11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11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11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11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11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11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11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11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11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11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11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11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11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11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11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11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11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11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11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11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11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11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11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11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11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11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11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11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11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11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11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11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11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11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11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11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11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11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11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11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11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11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11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11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11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11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11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11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11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11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11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11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11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11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11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11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11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11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11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11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11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11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11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11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11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11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11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11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11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11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11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11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11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11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11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11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11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11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11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11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11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11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11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11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11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11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11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11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11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11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11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11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11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11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11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11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11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11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11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11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11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11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11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11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11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11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11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11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11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11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11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11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11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11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11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11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11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11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11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11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11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11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11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11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11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11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11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11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11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11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11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11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11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11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11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11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11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11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11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11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11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11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11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11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11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11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11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11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11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11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11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11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11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11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11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11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11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11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11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11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11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11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11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11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11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11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11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11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11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11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11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11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11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11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11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11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11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08:G408"/>
    <mergeCell ref="F237:G237"/>
    <mergeCell ref="F116:G116"/>
    <mergeCell ref="F26:G26"/>
    <mergeCell ref="F159:G159"/>
    <mergeCell ref="F219:G219"/>
    <mergeCell ref="F97:G97"/>
    <mergeCell ref="F497:G497"/>
    <mergeCell ref="F326:G326"/>
    <mergeCell ref="F70:G70"/>
    <mergeCell ref="F263:G263"/>
    <mergeCell ref="F355:G355"/>
    <mergeCell ref="F134:G134"/>
    <mergeCell ref="F487:G487"/>
    <mergeCell ref="F473:G473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241:G241"/>
    <mergeCell ref="F284:G284"/>
    <mergeCell ref="F10:G10"/>
    <mergeCell ref="F63:G63"/>
    <mergeCell ref="F24:G24"/>
    <mergeCell ref="F331:G331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F437:G437"/>
    <mergeCell ref="F190:G190"/>
    <mergeCell ref="F46:G46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9" t="s">
        <v>33</v>
      </c>
      <c r="D1" s="120"/>
      <c r="E1" s="120"/>
      <c r="F1" s="116" t="s">
        <v>123</v>
      </c>
      <c r="G1" s="44"/>
      <c r="H1" s="117"/>
      <c r="I1" s="108"/>
      <c r="J1" s="44"/>
    </row>
    <row r="2" spans="1:10" ht="21.75" customHeight="1">
      <c r="A2" s="4" t="s">
        <v>35</v>
      </c>
      <c r="B2" s="4" t="s">
        <v>36</v>
      </c>
      <c r="C2" s="4" t="s">
        <v>37</v>
      </c>
      <c r="D2" s="4" t="s">
        <v>38</v>
      </c>
      <c r="E2" s="4" t="s">
        <v>29</v>
      </c>
      <c r="F2" s="4" t="s">
        <v>39</v>
      </c>
      <c r="G2" s="4" t="s">
        <v>31</v>
      </c>
      <c r="H2" s="27"/>
      <c r="I2" s="27"/>
      <c r="J2" s="19"/>
    </row>
    <row r="3" spans="1:10" ht="18.75" customHeight="1">
      <c r="A3" s="127" t="e">
        <f>(E3-F3)/D3</f>
        <v>#DIV/0!</v>
      </c>
      <c r="B3" s="125" t="e">
        <f>E3/D3</f>
        <v>#DIV/0!</v>
      </c>
      <c r="C3" s="112" t="s">
        <v>124</v>
      </c>
      <c r="D3" s="118">
        <f>SUM(D7:D505)</f>
        <v>0</v>
      </c>
      <c r="E3" s="114">
        <f>SUM(E7:E505)</f>
        <v>61650</v>
      </c>
      <c r="F3" s="114">
        <f>SUM(F6:G505)</f>
        <v>98204</v>
      </c>
      <c r="G3" s="7">
        <f>G4/E3</f>
        <v>0.59292781832927821</v>
      </c>
      <c r="H3" s="124"/>
      <c r="I3" s="123"/>
      <c r="J3" s="121"/>
    </row>
    <row r="4" spans="1:10" ht="18.75" customHeight="1">
      <c r="A4" s="110"/>
      <c r="B4" s="110"/>
      <c r="C4" s="113"/>
      <c r="D4" s="110"/>
      <c r="E4" s="110"/>
      <c r="F4" s="110"/>
      <c r="G4" s="32">
        <f>D3*C3-E3+F3</f>
        <v>36554</v>
      </c>
      <c r="H4" s="113"/>
      <c r="I4" s="113"/>
      <c r="J4" s="113"/>
    </row>
    <row r="5" spans="1:10">
      <c r="A5" s="16" t="s">
        <v>40</v>
      </c>
      <c r="B5" s="24" t="s">
        <v>41</v>
      </c>
      <c r="C5" s="16" t="s">
        <v>42</v>
      </c>
      <c r="D5" s="16" t="s">
        <v>43</v>
      </c>
      <c r="E5" s="16" t="s">
        <v>44</v>
      </c>
      <c r="F5" s="115" t="s">
        <v>45</v>
      </c>
      <c r="G5" s="44"/>
      <c r="H5" s="122"/>
      <c r="I5" s="122"/>
      <c r="J5" s="122"/>
    </row>
    <row r="6" spans="1:10">
      <c r="A6" s="17">
        <v>1</v>
      </c>
      <c r="B6" s="128" t="s">
        <v>46</v>
      </c>
      <c r="C6" s="108"/>
      <c r="D6" s="108"/>
      <c r="E6" s="44"/>
      <c r="F6" s="126"/>
      <c r="G6" s="44"/>
      <c r="H6" s="113"/>
      <c r="I6" s="113"/>
      <c r="J6" s="113"/>
    </row>
    <row r="7" spans="1:10">
      <c r="A7" s="17">
        <v>2</v>
      </c>
      <c r="B7" s="25" t="s">
        <v>50</v>
      </c>
      <c r="C7" s="26">
        <v>31.92</v>
      </c>
      <c r="D7" s="26">
        <v>30</v>
      </c>
      <c r="E7" s="26">
        <v>958</v>
      </c>
      <c r="F7" s="111"/>
      <c r="G7" s="44"/>
      <c r="H7" s="20"/>
      <c r="I7" s="20"/>
      <c r="J7" s="20"/>
    </row>
    <row r="8" spans="1:10">
      <c r="A8" s="17">
        <v>3</v>
      </c>
      <c r="B8" s="25" t="s">
        <v>93</v>
      </c>
      <c r="C8" s="26">
        <v>31.18</v>
      </c>
      <c r="D8" s="26">
        <v>1000</v>
      </c>
      <c r="E8" s="26">
        <v>31224</v>
      </c>
      <c r="F8" s="111"/>
      <c r="G8" s="44"/>
      <c r="H8" s="20"/>
      <c r="I8" s="20"/>
      <c r="J8" s="20"/>
    </row>
    <row r="9" spans="1:10">
      <c r="A9" s="17">
        <v>4</v>
      </c>
      <c r="B9" s="25" t="s">
        <v>51</v>
      </c>
      <c r="C9" s="26">
        <v>31.03</v>
      </c>
      <c r="D9" s="26">
        <v>30</v>
      </c>
      <c r="E9" s="26">
        <v>932</v>
      </c>
      <c r="F9" s="111"/>
      <c r="G9" s="44"/>
      <c r="H9" s="20"/>
      <c r="I9" s="20"/>
      <c r="J9" s="20"/>
    </row>
    <row r="10" spans="1:10">
      <c r="A10" s="17">
        <v>5</v>
      </c>
      <c r="B10" s="25" t="s">
        <v>52</v>
      </c>
      <c r="C10" s="26">
        <v>31.12</v>
      </c>
      <c r="D10" s="26">
        <v>31</v>
      </c>
      <c r="E10" s="18">
        <v>966</v>
      </c>
      <c r="F10" s="111"/>
      <c r="G10" s="44"/>
      <c r="H10" s="20"/>
      <c r="I10" s="20"/>
      <c r="J10" s="20"/>
    </row>
    <row r="11" spans="1:10">
      <c r="A11" s="17">
        <v>6</v>
      </c>
      <c r="B11" s="25" t="s">
        <v>125</v>
      </c>
      <c r="C11" s="26">
        <v>30.79</v>
      </c>
      <c r="D11" s="26">
        <v>50</v>
      </c>
      <c r="E11" s="26">
        <v>1541</v>
      </c>
      <c r="F11" s="111"/>
      <c r="G11" s="44"/>
      <c r="H11" s="20"/>
      <c r="I11" s="20"/>
      <c r="J11" s="20"/>
    </row>
    <row r="12" spans="1:10">
      <c r="A12" s="17">
        <v>7</v>
      </c>
      <c r="B12" s="25" t="s">
        <v>54</v>
      </c>
      <c r="C12" s="26">
        <v>31.67</v>
      </c>
      <c r="D12" s="26">
        <v>30</v>
      </c>
      <c r="E12" s="26">
        <v>951</v>
      </c>
      <c r="F12" s="111"/>
      <c r="G12" s="44"/>
      <c r="H12" s="20"/>
      <c r="I12" s="20"/>
      <c r="J12" s="20"/>
    </row>
    <row r="13" spans="1:10">
      <c r="A13" s="17">
        <v>8</v>
      </c>
      <c r="B13" s="25" t="s">
        <v>55</v>
      </c>
      <c r="C13" s="26">
        <v>31.67</v>
      </c>
      <c r="D13" s="26">
        <v>30</v>
      </c>
      <c r="E13" s="26">
        <v>951</v>
      </c>
      <c r="F13" s="111"/>
      <c r="G13" s="44"/>
      <c r="H13" s="20"/>
      <c r="I13" s="20"/>
      <c r="J13" s="20"/>
    </row>
    <row r="14" spans="1:10">
      <c r="A14" s="17">
        <v>9</v>
      </c>
      <c r="B14" s="25" t="s">
        <v>56</v>
      </c>
      <c r="C14" s="26"/>
      <c r="D14" s="26"/>
      <c r="E14" s="26"/>
      <c r="F14" s="111">
        <v>1234</v>
      </c>
      <c r="G14" s="44"/>
      <c r="H14" s="20"/>
      <c r="I14" s="20"/>
      <c r="J14" s="20"/>
    </row>
    <row r="15" spans="1:10">
      <c r="A15" s="17">
        <v>10</v>
      </c>
      <c r="B15" s="25" t="s">
        <v>57</v>
      </c>
      <c r="C15" s="26">
        <v>32.1</v>
      </c>
      <c r="D15" s="26">
        <v>30</v>
      </c>
      <c r="E15" s="26">
        <v>964</v>
      </c>
      <c r="F15" s="111"/>
      <c r="G15" s="44"/>
      <c r="H15" s="20"/>
      <c r="I15" s="20"/>
      <c r="J15" s="20"/>
    </row>
    <row r="16" spans="1:10">
      <c r="A16" s="17">
        <v>11</v>
      </c>
      <c r="B16" s="25" t="s">
        <v>126</v>
      </c>
      <c r="C16" s="26">
        <v>31.57</v>
      </c>
      <c r="D16" s="26">
        <v>50</v>
      </c>
      <c r="E16" s="26">
        <v>1580</v>
      </c>
      <c r="F16" s="111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59</v>
      </c>
      <c r="C17" s="26">
        <v>34.36</v>
      </c>
      <c r="D17" s="26">
        <v>28</v>
      </c>
      <c r="E17" s="26">
        <v>863</v>
      </c>
      <c r="F17" s="111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60</v>
      </c>
      <c r="C18" s="26">
        <v>35.65</v>
      </c>
      <c r="D18" s="26">
        <v>26</v>
      </c>
      <c r="E18" s="26">
        <v>928</v>
      </c>
      <c r="F18" s="111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61</v>
      </c>
      <c r="C19" s="26">
        <v>38.24</v>
      </c>
      <c r="D19" s="26">
        <v>25</v>
      </c>
      <c r="E19" s="26">
        <v>957</v>
      </c>
      <c r="F19" s="111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62</v>
      </c>
      <c r="C20" s="26">
        <v>38.520000000000003</v>
      </c>
      <c r="D20" s="26">
        <v>25</v>
      </c>
      <c r="E20" s="26">
        <v>964</v>
      </c>
      <c r="F20" s="111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63</v>
      </c>
      <c r="C21" s="26">
        <v>41.65</v>
      </c>
      <c r="D21" s="26">
        <v>23</v>
      </c>
      <c r="E21" s="26">
        <v>959</v>
      </c>
      <c r="F21" s="111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64</v>
      </c>
      <c r="C22" s="26">
        <v>46.29</v>
      </c>
      <c r="D22" s="26">
        <v>21</v>
      </c>
      <c r="E22" s="26">
        <v>973</v>
      </c>
      <c r="F22" s="111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65</v>
      </c>
      <c r="C23" s="26">
        <v>39.24</v>
      </c>
      <c r="D23" s="26">
        <v>25</v>
      </c>
      <c r="E23" s="26">
        <v>982</v>
      </c>
      <c r="F23" s="111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26"/>
      <c r="D24" s="26"/>
      <c r="E24" s="26"/>
      <c r="F24" s="111">
        <v>593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67</v>
      </c>
      <c r="C25" s="26">
        <v>43</v>
      </c>
      <c r="D25" s="26">
        <v>11</v>
      </c>
      <c r="E25" s="26">
        <v>474</v>
      </c>
      <c r="F25" s="111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68</v>
      </c>
      <c r="C26" s="26">
        <v>41.04</v>
      </c>
      <c r="D26" s="26">
        <v>24</v>
      </c>
      <c r="E26" s="26">
        <v>986</v>
      </c>
      <c r="F26" s="111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69</v>
      </c>
      <c r="C27" s="26">
        <v>43.86</v>
      </c>
      <c r="D27" s="26">
        <v>22</v>
      </c>
      <c r="E27" s="26">
        <v>965</v>
      </c>
      <c r="F27" s="111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70</v>
      </c>
      <c r="C28" s="26">
        <v>45.76</v>
      </c>
      <c r="D28" s="26">
        <v>21</v>
      </c>
      <c r="E28" s="26">
        <v>962</v>
      </c>
      <c r="F28" s="111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71</v>
      </c>
      <c r="C29" s="26">
        <v>44.95</v>
      </c>
      <c r="D29" s="26">
        <v>22</v>
      </c>
      <c r="E29" s="26">
        <v>990</v>
      </c>
      <c r="F29" s="111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72</v>
      </c>
      <c r="C30" s="26"/>
      <c r="D30" s="26"/>
      <c r="E30" s="26"/>
      <c r="F30" s="111">
        <v>919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73</v>
      </c>
      <c r="C31" s="26">
        <v>44.45</v>
      </c>
      <c r="D31" s="26">
        <v>20</v>
      </c>
      <c r="E31" s="26">
        <v>890</v>
      </c>
      <c r="F31" s="111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74</v>
      </c>
      <c r="C32" s="26">
        <v>45.95</v>
      </c>
      <c r="D32" s="26">
        <v>21</v>
      </c>
      <c r="E32" s="26">
        <v>966</v>
      </c>
      <c r="F32" s="111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75</v>
      </c>
      <c r="C33" s="26">
        <v>45.67</v>
      </c>
      <c r="D33" s="26">
        <v>21</v>
      </c>
      <c r="E33" s="26">
        <v>960</v>
      </c>
      <c r="F33" s="111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76</v>
      </c>
      <c r="C34" s="26">
        <v>43.82</v>
      </c>
      <c r="D34" s="26">
        <v>22</v>
      </c>
      <c r="E34" s="26">
        <v>965</v>
      </c>
      <c r="F34" s="111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77</v>
      </c>
      <c r="C35" s="26">
        <v>37.08</v>
      </c>
      <c r="D35" s="26">
        <v>26</v>
      </c>
      <c r="E35" s="26">
        <v>965</v>
      </c>
      <c r="F35" s="111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78</v>
      </c>
      <c r="C36" s="26">
        <v>39.92</v>
      </c>
      <c r="D36" s="26">
        <v>24</v>
      </c>
      <c r="E36" s="26">
        <v>959</v>
      </c>
      <c r="F36" s="111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79</v>
      </c>
      <c r="C37" s="26">
        <v>42.22</v>
      </c>
      <c r="D37" s="26">
        <v>23</v>
      </c>
      <c r="E37" s="26">
        <v>972</v>
      </c>
      <c r="F37" s="111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80</v>
      </c>
      <c r="C38" s="26">
        <v>44.82</v>
      </c>
      <c r="D38" s="26">
        <v>22</v>
      </c>
      <c r="E38" s="26">
        <v>987</v>
      </c>
      <c r="F38" s="111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81</v>
      </c>
      <c r="C39" s="26">
        <v>46.48</v>
      </c>
      <c r="D39" s="26">
        <v>21</v>
      </c>
      <c r="E39" s="26">
        <v>977</v>
      </c>
      <c r="F39" s="111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26"/>
      <c r="D40" s="26"/>
      <c r="E40" s="26"/>
      <c r="F40" s="111">
        <v>1088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83</v>
      </c>
      <c r="C41" s="26">
        <v>48.25</v>
      </c>
      <c r="D41" s="26">
        <v>20</v>
      </c>
      <c r="E41" s="26">
        <v>966</v>
      </c>
      <c r="F41" s="111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84</v>
      </c>
      <c r="C42" s="26">
        <v>48.6</v>
      </c>
      <c r="D42" s="26">
        <v>20</v>
      </c>
      <c r="E42" s="26">
        <v>973</v>
      </c>
      <c r="F42" s="111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127</v>
      </c>
      <c r="C43" s="26">
        <v>48.75</v>
      </c>
      <c r="D43" s="26">
        <v>-1794</v>
      </c>
      <c r="E43" s="26"/>
      <c r="F43" s="111">
        <v>94370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11"/>
      <c r="G44" s="44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11"/>
      <c r="G45" s="44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11"/>
      <c r="G46" s="44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11"/>
      <c r="G47" s="44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11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11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11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11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11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11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11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11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11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11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11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11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11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11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11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11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11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11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11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11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11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11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11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11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11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11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11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11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11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11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11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11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11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11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11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11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11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11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11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11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11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11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11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11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11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11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11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11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11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11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11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11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11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11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11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11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11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11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11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11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11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11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11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11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11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11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11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11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11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11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11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11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11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11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11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11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11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11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11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11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11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11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11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11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11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11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11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11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11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11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11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11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11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11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11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11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11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11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11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11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11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11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11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11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11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11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11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11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11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11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11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11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11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11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11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11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11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11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11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11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11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11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11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11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11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11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11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11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11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11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11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11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11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11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11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11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11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11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11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11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11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11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11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11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11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11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11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11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11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11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11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11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11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11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11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11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11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11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11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11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11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11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11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11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11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11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11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11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11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11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11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11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11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11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11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11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11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11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11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11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11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11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11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11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11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11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11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11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11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11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11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11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11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11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11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11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11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11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11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11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11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11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11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11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11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11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11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11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11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11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11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11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11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11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11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11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11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11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11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11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11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11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11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11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11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11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11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11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11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11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11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11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11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11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11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11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11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11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11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11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11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11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11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11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11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11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11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11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11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11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11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11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11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11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11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11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11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11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11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11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11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11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11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11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11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11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11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11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11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11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11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11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11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11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11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11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11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11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11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11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11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11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11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11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11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11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11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11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11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11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11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11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11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11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11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11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11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11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11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11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11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11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11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11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11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11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11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11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11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11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11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11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11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11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11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11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11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11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11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11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11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11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11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11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11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11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11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11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11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11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11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11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11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11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11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11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11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11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11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11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11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11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11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11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11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11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11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11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11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11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11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11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11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11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11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11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11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11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11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11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11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11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11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11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11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11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11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11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11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11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11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11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11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11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11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11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11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11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11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11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11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11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11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11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11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11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11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11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11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11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11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11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11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11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11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11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11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11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11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11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11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11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11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11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11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11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11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11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11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11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11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11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11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11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11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11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11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11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11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11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11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11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11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11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11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11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11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11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11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11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11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11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11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11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11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11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11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11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11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11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11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11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11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11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11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11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11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11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11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11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11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11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11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11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11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11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11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11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237:G237"/>
    <mergeCell ref="F408:G408"/>
    <mergeCell ref="F116:G116"/>
    <mergeCell ref="F26:G26"/>
    <mergeCell ref="F159:G159"/>
    <mergeCell ref="F268:G268"/>
    <mergeCell ref="F97:G97"/>
    <mergeCell ref="F497:G497"/>
    <mergeCell ref="F326:G326"/>
    <mergeCell ref="F70:G70"/>
    <mergeCell ref="F263:G263"/>
    <mergeCell ref="F355:G355"/>
    <mergeCell ref="F134:G134"/>
    <mergeCell ref="F487:G487"/>
    <mergeCell ref="F473:G473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241:G241"/>
    <mergeCell ref="F284:G284"/>
    <mergeCell ref="F10:G10"/>
    <mergeCell ref="F63:G63"/>
    <mergeCell ref="F24:G24"/>
    <mergeCell ref="F331:G331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F437:G437"/>
    <mergeCell ref="F190:G190"/>
    <mergeCell ref="F46:G46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9" t="s">
        <v>33</v>
      </c>
      <c r="D1" s="120"/>
      <c r="E1" s="120"/>
      <c r="F1" s="116" t="s">
        <v>128</v>
      </c>
      <c r="G1" s="44"/>
      <c r="H1" s="117" t="s">
        <v>103</v>
      </c>
      <c r="I1" s="108"/>
      <c r="J1" s="44"/>
    </row>
    <row r="2" spans="1:10" ht="21.75" customHeight="1">
      <c r="A2" s="4" t="s">
        <v>35</v>
      </c>
      <c r="B2" s="4" t="s">
        <v>36</v>
      </c>
      <c r="C2" s="4" t="s">
        <v>37</v>
      </c>
      <c r="D2" s="4" t="s">
        <v>38</v>
      </c>
      <c r="E2" s="4" t="s">
        <v>29</v>
      </c>
      <c r="F2" s="4" t="s">
        <v>39</v>
      </c>
      <c r="G2" s="4" t="s">
        <v>31</v>
      </c>
      <c r="H2" s="27" t="s">
        <v>37</v>
      </c>
      <c r="I2" s="27" t="s">
        <v>104</v>
      </c>
      <c r="J2" s="27" t="s">
        <v>29</v>
      </c>
    </row>
    <row r="3" spans="1:10" ht="18.75" customHeight="1">
      <c r="A3" s="127" t="e">
        <f>(E3-F3)/D3</f>
        <v>#DIV/0!</v>
      </c>
      <c r="B3" s="125" t="e">
        <f>E3/D3</f>
        <v>#DIV/0!</v>
      </c>
      <c r="C3" s="129">
        <f>H3*I3</f>
        <v>2355.5859</v>
      </c>
      <c r="D3" s="118">
        <f>SUM(D7:D505)</f>
        <v>0</v>
      </c>
      <c r="E3" s="114">
        <f>SUM(E7:E505)</f>
        <v>1008</v>
      </c>
      <c r="F3" s="114">
        <f>SUM(F6:G505)</f>
        <v>1451</v>
      </c>
      <c r="G3" s="7">
        <f>G4/E3</f>
        <v>0.43948412698412698</v>
      </c>
      <c r="H3" s="124" t="s">
        <v>129</v>
      </c>
      <c r="I3" s="123">
        <f>投資!G2</f>
        <v>31.754999999999999</v>
      </c>
      <c r="J3" s="121">
        <f>SUM(J7:J505)</f>
        <v>-41.149999999999864</v>
      </c>
    </row>
    <row r="4" spans="1:10" ht="18.75" customHeight="1">
      <c r="A4" s="110"/>
      <c r="B4" s="110"/>
      <c r="C4" s="130"/>
      <c r="D4" s="110"/>
      <c r="E4" s="110"/>
      <c r="F4" s="110"/>
      <c r="G4" s="32">
        <f>D3*C3-E3+F3</f>
        <v>443</v>
      </c>
      <c r="H4" s="113"/>
      <c r="I4" s="113"/>
      <c r="J4" s="113"/>
    </row>
    <row r="5" spans="1:10">
      <c r="A5" s="16" t="s">
        <v>40</v>
      </c>
      <c r="B5" s="24" t="s">
        <v>41</v>
      </c>
      <c r="C5" s="16" t="s">
        <v>42</v>
      </c>
      <c r="D5" s="16" t="s">
        <v>43</v>
      </c>
      <c r="E5" s="16" t="s">
        <v>44</v>
      </c>
      <c r="F5" s="115" t="s">
        <v>45</v>
      </c>
      <c r="G5" s="44"/>
      <c r="H5" s="122" t="s">
        <v>42</v>
      </c>
      <c r="I5" s="122" t="s">
        <v>105</v>
      </c>
      <c r="J5" s="122" t="s">
        <v>106</v>
      </c>
    </row>
    <row r="6" spans="1:10">
      <c r="A6" s="17">
        <v>1</v>
      </c>
      <c r="B6" s="128" t="s">
        <v>46</v>
      </c>
      <c r="C6" s="108"/>
      <c r="D6" s="108"/>
      <c r="E6" s="44"/>
      <c r="F6" s="126"/>
      <c r="G6" s="44"/>
      <c r="H6" s="113"/>
      <c r="I6" s="113"/>
      <c r="J6" s="113"/>
    </row>
    <row r="7" spans="1:10">
      <c r="A7" s="17">
        <v>2</v>
      </c>
      <c r="B7" s="25" t="s">
        <v>47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11"/>
      <c r="G7" s="44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130</v>
      </c>
      <c r="C8" s="36">
        <f t="shared" si="0"/>
        <v>0</v>
      </c>
      <c r="D8" s="26"/>
      <c r="E8" s="26"/>
      <c r="F8" s="111">
        <v>2</v>
      </c>
      <c r="G8" s="44"/>
      <c r="H8" s="20"/>
      <c r="I8" s="20"/>
      <c r="J8" s="20"/>
    </row>
    <row r="9" spans="1:10">
      <c r="A9" s="17">
        <v>4</v>
      </c>
      <c r="B9" s="25" t="s">
        <v>107</v>
      </c>
      <c r="C9" s="36">
        <f t="shared" si="0"/>
        <v>2267.0656499999996</v>
      </c>
      <c r="D9" s="26">
        <v>0.441048</v>
      </c>
      <c r="E9" s="26">
        <v>1000</v>
      </c>
      <c r="F9" s="111"/>
      <c r="G9" s="44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131</v>
      </c>
      <c r="C10" s="36">
        <f t="shared" si="0"/>
        <v>2269.7217000000001</v>
      </c>
      <c r="D10" s="26">
        <v>0.44062099999999998</v>
      </c>
      <c r="E10" s="18">
        <v>1000</v>
      </c>
      <c r="F10" s="111"/>
      <c r="G10" s="44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131</v>
      </c>
      <c r="C11" s="36">
        <f t="shared" si="0"/>
        <v>2269.7217000000001</v>
      </c>
      <c r="D11" s="26">
        <v>4.4057849999999998</v>
      </c>
      <c r="E11" s="26">
        <v>10001</v>
      </c>
      <c r="F11" s="111"/>
      <c r="G11" s="44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94</v>
      </c>
      <c r="C12" s="36">
        <f t="shared" si="0"/>
        <v>0</v>
      </c>
      <c r="D12" s="26"/>
      <c r="E12" s="26"/>
      <c r="F12" s="111">
        <v>4</v>
      </c>
      <c r="G12" s="44"/>
      <c r="H12" s="20"/>
      <c r="I12" s="20"/>
      <c r="J12" s="20"/>
    </row>
    <row r="13" spans="1:10">
      <c r="A13" s="17">
        <v>8</v>
      </c>
      <c r="B13" s="25" t="s">
        <v>52</v>
      </c>
      <c r="C13" s="36">
        <f t="shared" si="0"/>
        <v>2213.8420000000001</v>
      </c>
      <c r="D13" s="26">
        <v>0.451706</v>
      </c>
      <c r="E13" s="26">
        <v>1000</v>
      </c>
      <c r="F13" s="111"/>
      <c r="G13" s="44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132</v>
      </c>
      <c r="C14" s="36">
        <f t="shared" si="0"/>
        <v>0</v>
      </c>
      <c r="D14" s="26"/>
      <c r="E14" s="26"/>
      <c r="F14" s="111">
        <v>25</v>
      </c>
      <c r="G14" s="44"/>
      <c r="H14" s="20"/>
      <c r="I14" s="20"/>
      <c r="J14" s="20"/>
    </row>
    <row r="15" spans="1:10">
      <c r="A15" s="17">
        <v>10</v>
      </c>
      <c r="B15" s="25" t="s">
        <v>54</v>
      </c>
      <c r="C15" s="36">
        <f t="shared" si="0"/>
        <v>2241.6852500000005</v>
      </c>
      <c r="D15" s="26">
        <v>0.44608700000000001</v>
      </c>
      <c r="E15" s="26">
        <v>1000</v>
      </c>
      <c r="F15" s="111"/>
      <c r="G15" s="44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133</v>
      </c>
      <c r="C16" s="36">
        <f t="shared" si="0"/>
        <v>0</v>
      </c>
      <c r="D16" s="26"/>
      <c r="E16" s="26"/>
      <c r="F16" s="111">
        <v>28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55</v>
      </c>
      <c r="C17" s="36">
        <f t="shared" si="0"/>
        <v>2276.4768000000004</v>
      </c>
      <c r="D17" s="26">
        <v>0.439224</v>
      </c>
      <c r="E17" s="26">
        <v>1000</v>
      </c>
      <c r="F17" s="111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56</v>
      </c>
      <c r="C18" s="36">
        <f t="shared" si="0"/>
        <v>0</v>
      </c>
      <c r="D18" s="26"/>
      <c r="E18" s="26"/>
      <c r="F18" s="111">
        <v>29</v>
      </c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134</v>
      </c>
      <c r="C19" s="36">
        <f t="shared" si="0"/>
        <v>0</v>
      </c>
      <c r="D19" s="26"/>
      <c r="E19" s="26"/>
      <c r="F19" s="111">
        <v>32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57</v>
      </c>
      <c r="C20" s="36">
        <f t="shared" si="0"/>
        <v>2260.7888600000001</v>
      </c>
      <c r="D20" s="26">
        <v>0.44240200000000002</v>
      </c>
      <c r="E20" s="26">
        <v>1003</v>
      </c>
      <c r="F20" s="111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111</v>
      </c>
      <c r="C21" s="36">
        <f t="shared" si="0"/>
        <v>2278.8200700000002</v>
      </c>
      <c r="D21" s="26">
        <v>0.43885299999999999</v>
      </c>
      <c r="E21" s="26">
        <v>1000</v>
      </c>
      <c r="F21" s="111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135</v>
      </c>
      <c r="C22" s="36">
        <f t="shared" si="0"/>
        <v>0</v>
      </c>
      <c r="D22" s="26"/>
      <c r="E22" s="26"/>
      <c r="F22" s="111">
        <v>35</v>
      </c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60</v>
      </c>
      <c r="C23" s="36">
        <f t="shared" si="0"/>
        <v>2299.4396800000004</v>
      </c>
      <c r="D23" s="26">
        <v>0.43486599999999997</v>
      </c>
      <c r="E23" s="26">
        <v>1000</v>
      </c>
      <c r="F23" s="111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136</v>
      </c>
      <c r="C24" s="36">
        <f t="shared" si="0"/>
        <v>0</v>
      </c>
      <c r="D24" s="26"/>
      <c r="E24" s="26"/>
      <c r="F24" s="111">
        <v>35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61</v>
      </c>
      <c r="C25" s="36">
        <f t="shared" si="0"/>
        <v>2302.6546200000003</v>
      </c>
      <c r="D25" s="26">
        <v>0.43423600000000001</v>
      </c>
      <c r="E25" s="26">
        <v>1000</v>
      </c>
      <c r="F25" s="111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137</v>
      </c>
      <c r="C26" s="36">
        <f t="shared" si="0"/>
        <v>0</v>
      </c>
      <c r="D26" s="26"/>
      <c r="E26" s="26"/>
      <c r="F26" s="111">
        <v>41</v>
      </c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62</v>
      </c>
      <c r="C27" s="36">
        <f t="shared" si="0"/>
        <v>2312.5746000000004</v>
      </c>
      <c r="D27" s="26">
        <v>0.43249399999999999</v>
      </c>
      <c r="E27" s="26">
        <v>1000</v>
      </c>
      <c r="F27" s="111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138</v>
      </c>
      <c r="C28" s="36">
        <f t="shared" si="0"/>
        <v>0</v>
      </c>
      <c r="D28" s="26"/>
      <c r="E28" s="26"/>
      <c r="F28" s="111">
        <v>43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63</v>
      </c>
      <c r="C29" s="36">
        <f t="shared" si="0"/>
        <v>2337.4376999999995</v>
      </c>
      <c r="D29" s="26">
        <v>0.42777999999999999</v>
      </c>
      <c r="E29" s="26">
        <v>1000</v>
      </c>
      <c r="F29" s="111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139</v>
      </c>
      <c r="C30" s="36">
        <f t="shared" si="0"/>
        <v>0</v>
      </c>
      <c r="D30" s="26"/>
      <c r="E30" s="26"/>
      <c r="F30" s="111">
        <v>46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12" t="s">
        <v>64</v>
      </c>
      <c r="C31" s="36">
        <f t="shared" si="0"/>
        <v>2350.1413500000003</v>
      </c>
      <c r="D31" s="26">
        <v>0.42548999999999998</v>
      </c>
      <c r="E31" s="26">
        <v>1000</v>
      </c>
      <c r="F31" s="111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140</v>
      </c>
      <c r="C32" s="36">
        <f t="shared" si="0"/>
        <v>0</v>
      </c>
      <c r="D32" s="26"/>
      <c r="E32" s="26"/>
      <c r="F32" s="111">
        <v>48</v>
      </c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65</v>
      </c>
      <c r="C33" s="36">
        <f t="shared" si="0"/>
        <v>2434.6574999999998</v>
      </c>
      <c r="D33" s="26">
        <v>0.41077999999999998</v>
      </c>
      <c r="E33" s="26">
        <v>1000</v>
      </c>
      <c r="F33" s="111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141</v>
      </c>
      <c r="C34" s="36">
        <f t="shared" si="0"/>
        <v>0</v>
      </c>
      <c r="D34" s="26"/>
      <c r="E34" s="26"/>
      <c r="F34" s="111">
        <v>51</v>
      </c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68</v>
      </c>
      <c r="C35" s="36">
        <f t="shared" si="0"/>
        <v>2403.2045299999995</v>
      </c>
      <c r="D35" s="26">
        <v>0.41619</v>
      </c>
      <c r="E35" s="26">
        <v>1000</v>
      </c>
      <c r="F35" s="111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142</v>
      </c>
      <c r="C36" s="36">
        <f t="shared" si="0"/>
        <v>0</v>
      </c>
      <c r="D36" s="26"/>
      <c r="E36" s="26"/>
      <c r="F36" s="111">
        <v>53</v>
      </c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69</v>
      </c>
      <c r="C37" s="36">
        <f t="shared" si="0"/>
        <v>2382.7372800000003</v>
      </c>
      <c r="D37" s="26">
        <v>0.41965999999999998</v>
      </c>
      <c r="E37" s="26">
        <v>1000</v>
      </c>
      <c r="F37" s="111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143</v>
      </c>
      <c r="C38" s="36">
        <f t="shared" si="0"/>
        <v>0</v>
      </c>
      <c r="D38" s="26"/>
      <c r="E38" s="26"/>
      <c r="F38" s="111">
        <v>54</v>
      </c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70</v>
      </c>
      <c r="C39" s="36">
        <f t="shared" si="0"/>
        <v>2326.1079</v>
      </c>
      <c r="D39" s="26">
        <v>0.42987999999999998</v>
      </c>
      <c r="E39" s="26">
        <v>1000</v>
      </c>
      <c r="F39" s="111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144</v>
      </c>
      <c r="C40" s="36">
        <f t="shared" si="0"/>
        <v>0</v>
      </c>
      <c r="D40" s="26"/>
      <c r="E40" s="26"/>
      <c r="F40" s="111">
        <v>58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71</v>
      </c>
      <c r="C41" s="36">
        <f t="shared" si="0"/>
        <v>2393.8364999999999</v>
      </c>
      <c r="D41" s="26">
        <v>0.41778999999999999</v>
      </c>
      <c r="E41" s="26">
        <v>1000</v>
      </c>
      <c r="F41" s="111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145</v>
      </c>
      <c r="C42" s="36">
        <f t="shared" si="0"/>
        <v>0</v>
      </c>
      <c r="D42" s="26"/>
      <c r="E42" s="26"/>
      <c r="F42" s="111">
        <v>60</v>
      </c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146</v>
      </c>
      <c r="C43" s="36">
        <f t="shared" si="0"/>
        <v>0</v>
      </c>
      <c r="D43" s="26"/>
      <c r="E43" s="26"/>
      <c r="F43" s="111">
        <v>65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74</v>
      </c>
      <c r="C44" s="36">
        <f t="shared" si="0"/>
        <v>2367.1871999999998</v>
      </c>
      <c r="D44" s="26">
        <v>0.42244999999999999</v>
      </c>
      <c r="E44" s="26">
        <v>1000</v>
      </c>
      <c r="F44" s="111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75</v>
      </c>
      <c r="C45" s="36">
        <f t="shared" si="0"/>
        <v>2387.1901499999999</v>
      </c>
      <c r="D45" s="26">
        <v>0.41891</v>
      </c>
      <c r="E45" s="26">
        <v>1000</v>
      </c>
      <c r="F45" s="111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147</v>
      </c>
      <c r="C46" s="36">
        <f t="shared" si="0"/>
        <v>0</v>
      </c>
      <c r="D46" s="26"/>
      <c r="E46" s="26"/>
      <c r="F46" s="111">
        <v>68</v>
      </c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76</v>
      </c>
      <c r="C47" s="36">
        <f t="shared" si="0"/>
        <v>2406.5254399999999</v>
      </c>
      <c r="D47" s="26">
        <v>0.41561999999999999</v>
      </c>
      <c r="E47" s="26">
        <v>1000</v>
      </c>
      <c r="F47" s="111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148</v>
      </c>
      <c r="C48" s="36">
        <f t="shared" si="0"/>
        <v>0</v>
      </c>
      <c r="D48" s="26"/>
      <c r="E48" s="26"/>
      <c r="F48" s="111">
        <v>66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77</v>
      </c>
      <c r="C49" s="36">
        <f t="shared" si="0"/>
        <v>2442.0841500000001</v>
      </c>
      <c r="D49" s="26">
        <v>0.40956999999999999</v>
      </c>
      <c r="E49" s="26">
        <v>1000</v>
      </c>
      <c r="F49" s="111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149</v>
      </c>
      <c r="C50" s="36">
        <f t="shared" si="0"/>
        <v>0</v>
      </c>
      <c r="D50" s="26"/>
      <c r="E50" s="26"/>
      <c r="F50" s="111">
        <v>246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78</v>
      </c>
      <c r="C51" s="36">
        <f t="shared" si="0"/>
        <v>2195.3027999999999</v>
      </c>
      <c r="D51" s="26">
        <v>0.45549000000000001</v>
      </c>
      <c r="E51" s="26">
        <v>1000</v>
      </c>
      <c r="F51" s="111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150</v>
      </c>
      <c r="C52" s="36">
        <f t="shared" si="0"/>
        <v>0</v>
      </c>
      <c r="D52" s="26"/>
      <c r="E52" s="26"/>
      <c r="F52" s="111">
        <v>69</v>
      </c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79</v>
      </c>
      <c r="C53" s="36">
        <f t="shared" si="0"/>
        <v>2167.5957600000002</v>
      </c>
      <c r="D53" s="26">
        <v>0.46128999999999998</v>
      </c>
      <c r="E53" s="26">
        <v>1000</v>
      </c>
      <c r="F53" s="111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151</v>
      </c>
      <c r="C54" s="36">
        <f t="shared" si="0"/>
        <v>0</v>
      </c>
      <c r="D54" s="26"/>
      <c r="E54" s="26"/>
      <c r="F54" s="111">
        <v>72</v>
      </c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152</v>
      </c>
      <c r="C55" s="36">
        <f t="shared" si="0"/>
        <v>0</v>
      </c>
      <c r="D55" s="26"/>
      <c r="E55" s="26"/>
      <c r="F55" s="111">
        <v>71</v>
      </c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82</v>
      </c>
      <c r="C56" s="36">
        <f t="shared" si="0"/>
        <v>0</v>
      </c>
      <c r="D56" s="26"/>
      <c r="E56" s="26"/>
      <c r="F56" s="111">
        <v>74</v>
      </c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117</v>
      </c>
      <c r="C57" s="36">
        <f t="shared" si="0"/>
        <v>0</v>
      </c>
      <c r="D57" s="26"/>
      <c r="E57" s="26"/>
      <c r="F57" s="111">
        <v>76</v>
      </c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118</v>
      </c>
      <c r="C58" s="36">
        <f t="shared" si="0"/>
        <v>2239.0533999999998</v>
      </c>
      <c r="D58" s="26">
        <v>-14.781594999999999</v>
      </c>
      <c r="E58" s="26">
        <v>-32996</v>
      </c>
      <c r="F58" s="111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11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11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11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11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11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11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11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11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11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11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11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11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11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11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11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11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11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11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11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11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11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11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11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11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11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11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11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11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11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11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11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11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11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11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11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11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11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11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11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11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11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11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11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11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11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11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11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11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11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11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11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11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11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11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11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11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11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11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11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11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11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11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11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11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11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11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11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11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11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11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11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11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11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11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11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11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11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11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11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11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11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11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11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11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11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11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11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11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11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11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11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11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11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11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11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11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11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11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11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11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11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11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11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11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11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11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11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11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11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11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11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11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11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11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11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11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11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11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11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11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11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11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11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11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11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11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11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11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11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11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11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11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11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11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11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11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11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11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11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11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11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11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11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11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11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11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11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11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11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11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11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11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11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11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11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11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11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11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11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11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11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11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11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11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11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11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11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11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11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11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11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11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11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11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11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11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11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11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11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11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11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11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11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11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11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11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11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11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11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11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11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11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11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11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11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11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11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11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11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11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11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11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11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11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11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11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11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11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11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11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11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11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11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11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11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11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11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11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11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11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11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11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11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11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11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11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11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11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11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11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11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11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11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11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11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11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11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11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11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11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11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11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11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11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11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11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11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11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11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11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11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11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11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11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11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11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11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11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11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11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11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11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11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11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11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11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11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11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11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11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11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11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11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11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11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11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11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11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11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11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11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11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11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11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11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11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11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11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11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11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11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11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11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11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11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11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11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11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11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11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11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11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11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11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11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11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11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11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11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11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11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11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11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11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11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11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11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11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11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11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11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11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11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11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11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11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11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11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11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11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11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11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11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11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11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11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11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11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11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11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11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11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11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11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11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11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11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11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11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11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11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11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11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11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11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11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11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11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11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11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11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11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11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11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11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11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11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11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11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11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11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11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11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11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11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11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11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11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11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11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11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11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11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11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11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11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11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11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11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11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11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11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11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11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11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11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11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11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11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11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11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11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11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11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11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11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11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11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11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11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11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11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11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11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11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11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11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11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11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11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11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11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11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11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11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11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11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11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11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11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11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11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11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11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11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11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11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11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11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11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11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11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11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11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11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11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11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08:G408"/>
    <mergeCell ref="F237:G237"/>
    <mergeCell ref="F116:G116"/>
    <mergeCell ref="F26:G26"/>
    <mergeCell ref="F159:G159"/>
    <mergeCell ref="F219:G219"/>
    <mergeCell ref="F97:G97"/>
    <mergeCell ref="F497:G497"/>
    <mergeCell ref="F326:G326"/>
    <mergeCell ref="F70:G70"/>
    <mergeCell ref="F263:G263"/>
    <mergeCell ref="F355:G355"/>
    <mergeCell ref="F134:G134"/>
    <mergeCell ref="F487:G487"/>
    <mergeCell ref="F473:G473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241:G241"/>
    <mergeCell ref="F284:G284"/>
    <mergeCell ref="F10:G10"/>
    <mergeCell ref="F63:G63"/>
    <mergeCell ref="F24:G24"/>
    <mergeCell ref="F331:G331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F437:G437"/>
    <mergeCell ref="F190:G190"/>
    <mergeCell ref="F46:G46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</vt:lpstr>
      <vt:lpstr>2890</vt:lpstr>
      <vt:lpstr>VT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2026-03-06T03:49:18Z</dcterms:modified>
  <dc:language>en-US</dc:language>
</cp:coreProperties>
</file>