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9E146EAE-F5C2-4ECE-94C2-6A1ABD28C8CF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S5" i="1"/>
  <c r="S4" i="1"/>
  <c r="S3" i="1"/>
  <c r="S2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F3" i="7"/>
  <c r="E3" i="7"/>
  <c r="A3" i="7" s="1"/>
  <c r="D3" i="7"/>
  <c r="G4" i="7" s="1"/>
  <c r="G3" i="7" s="1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B3" i="5" s="1"/>
  <c r="D3" i="5"/>
  <c r="O2" i="1" s="1"/>
  <c r="O10" i="1" s="1"/>
  <c r="B10" i="2" s="1"/>
  <c r="C3" i="5"/>
  <c r="F3" i="4"/>
  <c r="E3" i="4"/>
  <c r="D3" i="4"/>
  <c r="G4" i="4" s="1"/>
  <c r="G3" i="4" s="1"/>
  <c r="B3" i="4"/>
  <c r="A3" i="4"/>
  <c r="F3" i="3"/>
  <c r="E3" i="3"/>
  <c r="A3" i="2" s="1"/>
  <c r="D3" i="3"/>
  <c r="G4" i="3" s="1"/>
  <c r="G3" i="3" s="1"/>
  <c r="B3" i="3"/>
  <c r="A3" i="3"/>
  <c r="G10" i="1"/>
  <c r="C10" i="1"/>
  <c r="S10" i="1" l="1"/>
  <c r="B17" i="2" s="1"/>
  <c r="C18" i="2" s="1"/>
  <c r="C17" i="2" s="1"/>
  <c r="G4" i="5"/>
  <c r="G3" i="5" s="1"/>
  <c r="K2" i="1"/>
  <c r="K3" i="1"/>
  <c r="A3" i="5"/>
  <c r="B3" i="7"/>
  <c r="A10" i="2"/>
  <c r="C11" i="2" s="1"/>
  <c r="C10" i="2" s="1"/>
  <c r="K10" i="1" l="1"/>
  <c r="E10" i="2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<sst xmlns="http://schemas.openxmlformats.org/spreadsheetml/2006/main" count="373" uniqueCount="157">
  <si>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</si>
  <si>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</si>
  <si>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</si>
  <si>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</si>
  <si>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</si>
  <si>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</si>
  <si>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</si>
  <si>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</si>
  <si>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</si>
  <si>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</si>
  <si>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</si>
  <si>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</si>
  <si>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</si>
  <si>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</si>
  <si>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</si>
  <si>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</si>
  <si>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</si>
  <si>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</si>
  <si>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</si>
  <si>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</si>
  <si>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</si>
  <si>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</si>
  <si>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</si>
  <si>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</si>
  <si>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</si>
  <si>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</si>
  <si>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</si>
  <si>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</si>
  <si>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</si>
  <si>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</si>
  <si>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</si>
  <si>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</si>
  <si>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</si>
  <si>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</si>
  <si>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</si>
  <si>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</si>
  <si>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</si>
  <si>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</si>
  <si>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</si>
  <si>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</si>
  <si>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</si>
  <si>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178.65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</si>
  <si>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</si>
  <si>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</si>
  <si>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</si>
  <si>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</si>
  <si>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</si>
  <si>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</si>
  <si>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</si>
  <si>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</si>
  <si>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</si>
  <si>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</si>
  <si>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</si>
  <si>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</si>
  <si>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</si>
  <si>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</si>
  <si>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</si>
  <si>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</si>
  <si>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</si>
  <si>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</si>
  <si>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</si>
  <si>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</si>
  <si>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</si>
  <si>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</si>
  <si>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</si>
  <si>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</si>
  <si>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</si>
  <si>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</si>
  <si>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</si>
  <si>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</si>
  <si>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</si>
  <si>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</si>
  <si>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</si>
  <si>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</si>
  <si>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</si>
  <si>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</si>
  <si>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</si>
  <si>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</si>
  <si>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</si>
  <si>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</si>
  <si>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</si>
  <si>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</si>
  <si>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</si>
  <si>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</si>
  <si>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</si>
  <si>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</si>
  <si>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</si>
  <si>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</si>
  <si>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</si>
  <si>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</si>
  <si>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</si>
  <si>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</si>
  <si>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</si>
  <si>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</si>
  <si>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</si>
  <si>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31.10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</si>
  <si>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</si>
  <si>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</si>
  <si>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</si>
  <si>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</si>
  <si>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</si>
  <si>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</si>
  <si>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</si>
  <si>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</si>
  <si>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</si>
  <si>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</si>
  <si>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</si>
  <si>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</si>
  <si>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147.98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</si>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</sst>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2" borderId="1" xfId="0" applyFont="1" applyFill="1" applyBorder="1" applyAlignment="1">
      <alignment horizontal="center" vertical="center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7A4-46F7-B8B0-F18512BF6F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7A4-46F7-B8B0-F18512BF6F8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7A4-46F7-B8B0-F18512BF6F8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7A4-46F7-B8B0-F18512BF6F8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7A4-46F7-B8B0-F18512BF6F8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534120</c:v>
                </c:pt>
                <c:pt idx="1">
                  <c:v>132042.45540000001</c:v>
                </c:pt>
                <c:pt idx="2">
                  <c:v>299856.77285000001</c:v>
                </c:pt>
                <c:pt idx="3">
                  <c:v>227846.98901575795</c:v>
                </c:pt>
                <c:pt idx="4">
                  <c:v>120937.00709999999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7A4-46F7-B8B0-F18512BF6F8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F0E-413D-9CB6-0C4B170A4E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F0E-413D-9CB6-0C4B170A4E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F0E-413D-9CB6-0C4B170A4E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F0E-413D-9CB6-0C4B170A4E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F0E-413D-9CB6-0C4B170A4EF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F0E-413D-9CB6-0C4B170A4EF7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143738.03835000002</c:v>
                </c:pt>
                <c:pt idx="1">
                  <c:v>156118.73449999999</c:v>
                </c:pt>
                <c:pt idx="2">
                  <c:v>227846.98901575795</c:v>
                </c:pt>
                <c:pt idx="3">
                  <c:v>62258.989199999996</c:v>
                </c:pt>
                <c:pt idx="4">
                  <c:v>8958.2502000000004</c:v>
                </c:pt>
                <c:pt idx="5">
                  <c:v>7808.3364000000001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F0E-413D-9CB6-0C4B170A4EF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G4" sqref="G4:H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68" t="s">
        <v>0</v>
      </c>
      <c r="B1" s="42"/>
      <c r="C1" s="42"/>
      <c r="D1" s="43"/>
      <c r="E1" s="58" t="s">
        <v>1</v>
      </c>
      <c r="F1" s="42"/>
      <c r="G1" s="42"/>
      <c r="H1" s="43"/>
      <c r="I1" s="41" t="s">
        <v>2</v>
      </c>
      <c r="J1" s="42"/>
      <c r="K1" s="42"/>
      <c r="L1" s="43"/>
      <c r="M1" s="94" t="s">
        <v>3</v>
      </c>
      <c r="N1" s="42"/>
      <c r="O1" s="42"/>
      <c r="P1" s="43"/>
      <c r="Q1" s="84" t="s">
        <v>4</v>
      </c>
      <c r="R1" s="42"/>
      <c r="S1" s="42"/>
      <c r="T1" s="43"/>
    </row>
    <row r="2" spans="1:26" ht="17.25" customHeight="1">
      <c r="A2" s="100" t="s">
        <v>5</v>
      </c>
      <c r="B2" s="101"/>
      <c r="C2" s="102">
        <v>222392</v>
      </c>
      <c r="D2" s="55"/>
      <c r="E2" s="103" t="s">
        <v>6</v>
      </c>
      <c r="F2" s="101"/>
      <c r="G2" s="87">
        <v>4.5999999999999996</v>
      </c>
      <c r="H2" s="55"/>
      <c r="I2" s="88" t="s">
        <v>7</v>
      </c>
      <c r="J2" s="64"/>
      <c r="K2" s="54">
        <f>'006208.TW'!D3*'006208.TW'!C3*0.997</f>
        <v>143738.03835000002</v>
      </c>
      <c r="L2" s="55"/>
      <c r="M2" s="93" t="s">
        <v>8</v>
      </c>
      <c r="N2" s="64"/>
      <c r="O2" s="62">
        <f>VT!H3*VT!D3*投資!G2</f>
        <v>227846.98901575795</v>
      </c>
      <c r="P2" s="55"/>
      <c r="Q2" s="63" t="s">
        <v>9</v>
      </c>
      <c r="R2" s="64"/>
      <c r="S2" s="95">
        <f>(1978.36)*投資!G2</f>
        <v>62258.989199999996</v>
      </c>
      <c r="T2" s="55"/>
    </row>
    <row r="3" spans="1:26" ht="17.25" customHeight="1">
      <c r="A3" s="48" t="s">
        <v>10</v>
      </c>
      <c r="B3" s="47"/>
      <c r="C3" s="67">
        <v>25651</v>
      </c>
      <c r="D3" s="45"/>
      <c r="E3" s="46" t="s">
        <v>11</v>
      </c>
      <c r="F3" s="47"/>
      <c r="G3" s="80">
        <v>4191.22</v>
      </c>
      <c r="H3" s="45"/>
      <c r="I3" s="99" t="s">
        <v>12</v>
      </c>
      <c r="J3" s="78"/>
      <c r="K3" s="81">
        <f>'2890.TW'!D3*'2890.TW'!C3*0.997</f>
        <v>156118.73449999999</v>
      </c>
      <c r="L3" s="45"/>
      <c r="M3" s="91"/>
      <c r="N3" s="78"/>
      <c r="O3" s="44"/>
      <c r="P3" s="45"/>
      <c r="Q3" s="77" t="s">
        <v>13</v>
      </c>
      <c r="R3" s="78"/>
      <c r="S3" s="49">
        <f>284.66*投資!G2</f>
        <v>8958.2502000000004</v>
      </c>
      <c r="T3" s="45"/>
    </row>
    <row r="4" spans="1:26" ht="15.75" customHeight="1">
      <c r="A4" s="48" t="s">
        <v>14</v>
      </c>
      <c r="B4" s="47"/>
      <c r="C4" s="67">
        <v>120075</v>
      </c>
      <c r="D4" s="45"/>
      <c r="E4" s="46"/>
      <c r="F4" s="47"/>
      <c r="G4" s="80"/>
      <c r="H4" s="45"/>
      <c r="I4" s="99"/>
      <c r="J4" s="78"/>
      <c r="K4" s="81"/>
      <c r="L4" s="45"/>
      <c r="M4" s="91"/>
      <c r="N4" s="78"/>
      <c r="O4" s="44"/>
      <c r="P4" s="45"/>
      <c r="Q4" s="77" t="s">
        <v>15</v>
      </c>
      <c r="R4" s="78"/>
      <c r="S4" s="49">
        <f>248.12*投資!G2</f>
        <v>7808.3364000000001</v>
      </c>
      <c r="T4" s="45"/>
    </row>
    <row r="5" spans="1:26" ht="16.5" customHeight="1">
      <c r="A5" s="48" t="s">
        <v>16</v>
      </c>
      <c r="B5" s="47"/>
      <c r="C5" s="67">
        <v>0</v>
      </c>
      <c r="D5" s="45"/>
      <c r="E5" s="46"/>
      <c r="F5" s="47"/>
      <c r="G5" s="80"/>
      <c r="H5" s="45"/>
      <c r="I5" s="76"/>
      <c r="J5" s="47"/>
      <c r="K5" s="81"/>
      <c r="L5" s="45"/>
      <c r="M5" s="91"/>
      <c r="N5" s="78"/>
      <c r="O5" s="44"/>
      <c r="P5" s="45"/>
      <c r="Q5" s="77" t="s">
        <v>17</v>
      </c>
      <c r="R5" s="78"/>
      <c r="S5" s="49">
        <f>(1005.57+155.41+170.81)*投資!G2</f>
        <v>41911.431299999997</v>
      </c>
      <c r="T5" s="45"/>
    </row>
    <row r="6" spans="1:26" ht="17.25" customHeight="1">
      <c r="A6" s="48" t="s">
        <v>18</v>
      </c>
      <c r="B6" s="47"/>
      <c r="C6" s="67">
        <v>2</v>
      </c>
      <c r="D6" s="45"/>
      <c r="E6" s="46"/>
      <c r="F6" s="47"/>
      <c r="G6" s="80"/>
      <c r="H6" s="45"/>
      <c r="I6" s="76"/>
      <c r="J6" s="47"/>
      <c r="K6" s="81"/>
      <c r="L6" s="45"/>
      <c r="M6" s="61"/>
      <c r="N6" s="47"/>
      <c r="O6" s="44"/>
      <c r="P6" s="45"/>
      <c r="Q6" s="82"/>
      <c r="R6" s="47"/>
      <c r="S6" s="49"/>
      <c r="T6" s="45"/>
    </row>
    <row r="7" spans="1:26" ht="17.25" customHeight="1">
      <c r="A7" s="48" t="s">
        <v>19</v>
      </c>
      <c r="B7" s="47"/>
      <c r="C7" s="67">
        <v>100000</v>
      </c>
      <c r="D7" s="45"/>
      <c r="E7" s="46"/>
      <c r="F7" s="47"/>
      <c r="G7" s="80"/>
      <c r="H7" s="45"/>
      <c r="I7" s="76"/>
      <c r="J7" s="47"/>
      <c r="K7" s="81"/>
      <c r="L7" s="45"/>
      <c r="M7" s="61"/>
      <c r="N7" s="47"/>
      <c r="O7" s="44"/>
      <c r="P7" s="45"/>
      <c r="Q7" s="82"/>
      <c r="R7" s="47"/>
      <c r="S7" s="49"/>
      <c r="T7" s="45"/>
    </row>
    <row r="8" spans="1:26" ht="17.25" customHeight="1">
      <c r="A8" s="48" t="s">
        <v>20</v>
      </c>
      <c r="B8" s="47"/>
      <c r="C8" s="67">
        <v>60000</v>
      </c>
      <c r="D8" s="45"/>
      <c r="E8" s="46"/>
      <c r="F8" s="47"/>
      <c r="G8" s="80"/>
      <c r="H8" s="45"/>
      <c r="I8" s="76"/>
      <c r="J8" s="47"/>
      <c r="K8" s="81"/>
      <c r="L8" s="45"/>
      <c r="M8" s="61"/>
      <c r="N8" s="47"/>
      <c r="O8" s="44"/>
      <c r="P8" s="45"/>
      <c r="Q8" s="82"/>
      <c r="R8" s="47"/>
      <c r="S8" s="49"/>
      <c r="T8" s="45"/>
    </row>
    <row r="9" spans="1:26" ht="17.25" customHeight="1" thickBot="1">
      <c r="A9" s="65" t="s">
        <v>21</v>
      </c>
      <c r="B9" s="66"/>
      <c r="C9" s="96">
        <v>6000</v>
      </c>
      <c r="D9" s="97"/>
      <c r="E9" s="98"/>
      <c r="F9" s="57"/>
      <c r="G9" s="85"/>
      <c r="H9" s="60"/>
      <c r="I9" s="86"/>
      <c r="J9" s="57"/>
      <c r="K9" s="89"/>
      <c r="L9" s="60"/>
      <c r="M9" s="90"/>
      <c r="N9" s="57"/>
      <c r="O9" s="92"/>
      <c r="P9" s="60"/>
      <c r="Q9" s="56"/>
      <c r="R9" s="57"/>
      <c r="S9" s="59"/>
      <c r="T9" s="60"/>
    </row>
    <row r="10" spans="1:26" ht="17.25" customHeight="1" thickBot="1">
      <c r="A10" s="50" t="s">
        <v>22</v>
      </c>
      <c r="B10" s="51"/>
      <c r="C10" s="52">
        <f>SUM(C2:D9)</f>
        <v>534120</v>
      </c>
      <c r="D10" s="53"/>
      <c r="E10" s="50" t="s">
        <v>22</v>
      </c>
      <c r="F10" s="51"/>
      <c r="G10" s="52">
        <f>SUM(G2:H9)*投資!G2</f>
        <v>132042.45540000001</v>
      </c>
      <c r="H10" s="53"/>
      <c r="I10" s="50" t="s">
        <v>22</v>
      </c>
      <c r="J10" s="51"/>
      <c r="K10" s="52">
        <f>SUM(K2:L9)</f>
        <v>299856.77285000001</v>
      </c>
      <c r="L10" s="53"/>
      <c r="M10" s="50" t="s">
        <v>22</v>
      </c>
      <c r="N10" s="51"/>
      <c r="O10" s="52">
        <f>SUM(O2:P9)</f>
        <v>227846.98901575795</v>
      </c>
      <c r="P10" s="53"/>
      <c r="Q10" s="50" t="s">
        <v>22</v>
      </c>
      <c r="R10" s="51"/>
      <c r="S10" s="52">
        <f>SUM(S2:T9)</f>
        <v>120937.00709999999</v>
      </c>
      <c r="T10" s="53"/>
    </row>
    <row r="11" spans="1:26" ht="31.5" customHeight="1" thickBot="1">
      <c r="A11" s="79" t="s">
        <v>23</v>
      </c>
      <c r="B11" s="53"/>
      <c r="C11" s="104" t="s">
        <v>24</v>
      </c>
      <c r="D11" s="53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1314803.224365758</v>
      </c>
      <c r="B12" s="43"/>
      <c r="C12" s="72">
        <f>23010+9528</f>
        <v>32538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25</v>
      </c>
      <c r="B14" s="43"/>
      <c r="C14" s="104" t="s">
        <v>26</v>
      </c>
      <c r="D14" s="43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1282265.224365758</v>
      </c>
      <c r="B16" s="43"/>
      <c r="C16" s="83">
        <f>C12/A12</f>
        <v>2.4747429422905361E-2</v>
      </c>
      <c r="D16" s="43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Q6:R6"/>
    <mergeCell ref="A5:B5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M1:P1"/>
    <mergeCell ref="S6:T6"/>
    <mergeCell ref="A4:B4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7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31.47</v>
      </c>
    </row>
    <row r="3" spans="1:10" ht="17.25" customHeight="1">
      <c r="A3" s="107">
        <f>('006208.TW'!E3+'00692.TW'!E3+'2890.TW'!E3)-('006208.TW'!F3+'00692.TW'!F3+'2890.TW'!F3)-E2+7345</f>
        <v>133945</v>
      </c>
      <c r="B3" s="107">
        <f>總資產!K10</f>
        <v>299856.77285000001</v>
      </c>
      <c r="C3" s="7">
        <f>C4/A3</f>
        <v>1.2386559621486433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165911.77285000001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7"/>
      <c r="D8" s="5"/>
      <c r="E8" s="105" t="s">
        <v>33</v>
      </c>
      <c r="F8" s="106"/>
      <c r="G8" s="47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177648.33468</v>
      </c>
      <c r="B10" s="107">
        <f>總資產!O10</f>
        <v>227846.98901575795</v>
      </c>
      <c r="C10" s="7">
        <f>C11/A10</f>
        <v>0.28257317709271729</v>
      </c>
      <c r="D10" s="5"/>
      <c r="E10" s="107">
        <f>A3+A10+A17</f>
        <v>459654.33467999997</v>
      </c>
      <c r="F10" s="107">
        <f>B3+B10+B17</f>
        <v>648640.76896575792</v>
      </c>
      <c r="G10" s="7">
        <f>G11/E10</f>
        <v>0.41114903097199257</v>
      </c>
    </row>
    <row r="11" spans="1:10" ht="18" customHeight="1">
      <c r="A11" s="108"/>
      <c r="B11" s="108"/>
      <c r="C11" s="29">
        <f>B10-A10</f>
        <v>50198.65433575795</v>
      </c>
      <c r="D11" s="5"/>
      <c r="E11" s="108"/>
      <c r="F11" s="108"/>
      <c r="G11" s="31">
        <f>F10-E10</f>
        <v>188986.43428575795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7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148061</v>
      </c>
      <c r="B17" s="107">
        <f>總資產!S10</f>
        <v>120937.00709999999</v>
      </c>
      <c r="C17" s="7">
        <f>C18/A17</f>
        <v>-0.1831947163669029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-27123.992900000012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D47" sqref="D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34</v>
      </c>
      <c r="D1" s="120"/>
      <c r="E1" s="120"/>
      <c r="F1" s="124" t="s">
        <v>35</v>
      </c>
      <c r="G1" s="47"/>
      <c r="H1" s="122"/>
      <c r="I1" s="106"/>
      <c r="J1" s="47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97.109045848822802</v>
      </c>
      <c r="B3" s="114">
        <f>E3/D3</f>
        <v>102.0272614622057</v>
      </c>
      <c r="C3" s="126" t="s">
        <v>41</v>
      </c>
      <c r="D3" s="121">
        <f>SUM(D7:D505)</f>
        <v>807</v>
      </c>
      <c r="E3" s="123">
        <f>SUM(E7:E505)</f>
        <v>82336</v>
      </c>
      <c r="F3" s="123">
        <f>SUM(F6:G505)</f>
        <v>3969</v>
      </c>
      <c r="G3" s="7">
        <f>G4/E3</f>
        <v>0.7992075155460554</v>
      </c>
      <c r="H3" s="116"/>
      <c r="I3" s="118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65803.550000000017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7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7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7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7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7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7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7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16</v>
      </c>
      <c r="E46" s="26">
        <v>1996</v>
      </c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7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 t="s">
        <v>93</v>
      </c>
      <c r="C53" s="33">
        <v>166.67</v>
      </c>
      <c r="D53" s="26">
        <v>18</v>
      </c>
      <c r="E53" s="26">
        <v>3001</v>
      </c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9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34</v>
      </c>
      <c r="D1" s="120"/>
      <c r="E1" s="120"/>
      <c r="F1" s="124" t="s">
        <v>94</v>
      </c>
      <c r="G1" s="47"/>
      <c r="H1" s="122"/>
      <c r="I1" s="106"/>
      <c r="J1" s="47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16.899900695134061</v>
      </c>
      <c r="B3" s="114">
        <f>E3/D3</f>
        <v>18.526911618669313</v>
      </c>
      <c r="C3" s="127" t="s">
        <v>95</v>
      </c>
      <c r="D3" s="121">
        <f>SUM(D7:D505)</f>
        <v>5035</v>
      </c>
      <c r="E3" s="123">
        <f>SUM(E7:E505)</f>
        <v>93283</v>
      </c>
      <c r="F3" s="123">
        <f>SUM(F6:G505)</f>
        <v>8192</v>
      </c>
      <c r="G3" s="7">
        <f>G4/E3</f>
        <v>0.76645798269781207</v>
      </c>
      <c r="H3" s="116"/>
      <c r="I3" s="118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71497.5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7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7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7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7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7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7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7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7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93</v>
      </c>
      <c r="C49" s="34">
        <v>29.37</v>
      </c>
      <c r="D49" s="26">
        <v>30</v>
      </c>
      <c r="E49" s="26">
        <v>882</v>
      </c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7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L47" sqref="L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34</v>
      </c>
      <c r="D1" s="120"/>
      <c r="E1" s="120"/>
      <c r="F1" s="124" t="s">
        <v>8</v>
      </c>
      <c r="G1" s="47"/>
      <c r="H1" s="122" t="s">
        <v>106</v>
      </c>
      <c r="I1" s="106"/>
      <c r="J1" s="47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>
        <f>(E3-F3)/D3</f>
        <v>3639.9822075716543</v>
      </c>
      <c r="B3" s="114">
        <f>E3/D3</f>
        <v>3709.0130238400802</v>
      </c>
      <c r="C3" s="126">
        <f>H3*I3</f>
        <v>4656.9305999999997</v>
      </c>
      <c r="D3" s="121">
        <f>SUM(D7:D505)</f>
        <v>48.926429999999996</v>
      </c>
      <c r="E3" s="123">
        <f>SUM(E7:E505)</f>
        <v>181468.76608</v>
      </c>
      <c r="F3" s="123">
        <f>SUM(F6:G505)</f>
        <v>3377.4313999999999</v>
      </c>
      <c r="G3" s="7">
        <f>G4/E3</f>
        <v>0.27418302008965739</v>
      </c>
      <c r="H3" s="116" t="s">
        <v>108</v>
      </c>
      <c r="I3" s="129">
        <f>投資!G2</f>
        <v>31.47</v>
      </c>
      <c r="J3" s="117">
        <f>SUM(J7:J505)</f>
        <v>5736.8300000000008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49755.654335757979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7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7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111</v>
      </c>
      <c r="C8" s="36">
        <f t="shared" si="0"/>
        <v>3071.5083</v>
      </c>
      <c r="D8" s="26">
        <v>0.32553500000000002</v>
      </c>
      <c r="E8" s="26">
        <v>1000</v>
      </c>
      <c r="F8" s="109"/>
      <c r="G8" s="47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112</v>
      </c>
      <c r="C9" s="36">
        <f t="shared" si="0"/>
        <v>3114.2246399999999</v>
      </c>
      <c r="D9" s="26">
        <v>0.321135</v>
      </c>
      <c r="E9" s="26">
        <v>1000</v>
      </c>
      <c r="F9" s="109"/>
      <c r="G9" s="47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112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7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113</v>
      </c>
      <c r="C11" s="36">
        <f t="shared" si="0"/>
        <v>0</v>
      </c>
      <c r="D11" s="26"/>
      <c r="E11" s="26"/>
      <c r="F11" s="109">
        <v>126</v>
      </c>
      <c r="G11" s="47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7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7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7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114</v>
      </c>
      <c r="C15" s="36">
        <f t="shared" si="0"/>
        <v>0</v>
      </c>
      <c r="D15" s="26"/>
      <c r="E15" s="26"/>
      <c r="F15" s="109">
        <v>254</v>
      </c>
      <c r="G15" s="47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7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115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7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7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116</v>
      </c>
      <c r="C19" s="36">
        <f t="shared" si="0"/>
        <v>0</v>
      </c>
      <c r="D19" s="26"/>
      <c r="E19" s="26"/>
      <c r="F19" s="109">
        <v>148</v>
      </c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7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7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7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117</v>
      </c>
      <c r="C23" s="36">
        <f t="shared" si="0"/>
        <v>0</v>
      </c>
      <c r="D23" s="26"/>
      <c r="E23" s="26"/>
      <c r="F23" s="109">
        <v>217</v>
      </c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7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7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7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7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7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7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118</v>
      </c>
      <c r="C31" s="36">
        <f t="shared" si="0"/>
        <v>0</v>
      </c>
      <c r="D31" s="26"/>
      <c r="E31" s="26"/>
      <c r="F31" s="109">
        <v>568</v>
      </c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7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7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7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119</v>
      </c>
      <c r="C35" s="36">
        <f t="shared" si="0"/>
        <v>0</v>
      </c>
      <c r="D35" s="26"/>
      <c r="E35" s="26"/>
      <c r="F35" s="109">
        <v>273</v>
      </c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7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7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7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120</v>
      </c>
      <c r="C39" s="36">
        <f t="shared" si="0"/>
        <v>0</v>
      </c>
      <c r="D39" s="26"/>
      <c r="E39" s="26"/>
      <c r="F39" s="109">
        <v>398</v>
      </c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7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7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121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7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122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7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123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7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124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7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7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7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125</v>
      </c>
      <c r="C48" s="36">
        <f t="shared" si="0"/>
        <v>0</v>
      </c>
      <c r="D48" s="26"/>
      <c r="E48" s="26"/>
      <c r="F48" s="109">
        <f>36.62*投資!G2</f>
        <v>1152.4313999999999</v>
      </c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126</v>
      </c>
      <c r="C49" s="36">
        <f t="shared" si="0"/>
        <v>4491.7130999999999</v>
      </c>
      <c r="D49" s="26">
        <v>0.21018000000000001</v>
      </c>
      <c r="E49" s="26">
        <f>30.01*投資!G2</f>
        <v>944.41470000000004</v>
      </c>
      <c r="F49" s="109"/>
      <c r="G49" s="47"/>
      <c r="H49" s="20">
        <v>142.72999999999999</v>
      </c>
      <c r="I49" s="20">
        <f>投資!G2</f>
        <v>31.47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7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93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7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34</v>
      </c>
      <c r="D1" s="120"/>
      <c r="E1" s="120"/>
      <c r="F1" s="124" t="s">
        <v>127</v>
      </c>
      <c r="G1" s="47"/>
      <c r="H1" s="122"/>
      <c r="I1" s="106"/>
      <c r="J1" s="47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128</v>
      </c>
      <c r="D3" s="121">
        <f>SUM(D7:D505)</f>
        <v>0</v>
      </c>
      <c r="E3" s="123">
        <f>SUM(E7:E505)</f>
        <v>61650</v>
      </c>
      <c r="F3" s="123">
        <f>SUM(F6:G505)</f>
        <v>98204</v>
      </c>
      <c r="G3" s="7">
        <f>G4/E3</f>
        <v>0.59292781832927821</v>
      </c>
      <c r="H3" s="116"/>
      <c r="I3" s="118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7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7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7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7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7"/>
      <c r="H10" s="20"/>
      <c r="I10" s="20"/>
      <c r="J10" s="20"/>
    </row>
    <row r="11" spans="1:10">
      <c r="A11" s="17">
        <v>6</v>
      </c>
      <c r="B11" s="25" t="s">
        <v>129</v>
      </c>
      <c r="C11" s="26">
        <v>30.79</v>
      </c>
      <c r="D11" s="26">
        <v>50</v>
      </c>
      <c r="E11" s="26">
        <v>1541</v>
      </c>
      <c r="F11" s="109"/>
      <c r="G11" s="47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7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7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7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7"/>
      <c r="H15" s="20"/>
      <c r="I15" s="20"/>
      <c r="J15" s="20"/>
    </row>
    <row r="16" spans="1:10">
      <c r="A16" s="17">
        <v>11</v>
      </c>
      <c r="B16" s="25" t="s">
        <v>130</v>
      </c>
      <c r="C16" s="26">
        <v>31.57</v>
      </c>
      <c r="D16" s="26">
        <v>50</v>
      </c>
      <c r="E16" s="26">
        <v>1580</v>
      </c>
      <c r="F16" s="109"/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7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7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7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7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7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7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7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7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7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7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7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7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7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7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131</v>
      </c>
      <c r="C43" s="26">
        <v>48.75</v>
      </c>
      <c r="D43" s="26">
        <v>-1794</v>
      </c>
      <c r="E43" s="26"/>
      <c r="F43" s="109">
        <v>94370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7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7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7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7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7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7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7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7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7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7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7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7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7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7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7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34</v>
      </c>
      <c r="D1" s="120"/>
      <c r="E1" s="120"/>
      <c r="F1" s="124" t="s">
        <v>132</v>
      </c>
      <c r="G1" s="47"/>
      <c r="H1" s="122" t="s">
        <v>106</v>
      </c>
      <c r="I1" s="106"/>
      <c r="J1" s="47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2334.4446000000003</v>
      </c>
      <c r="D3" s="121">
        <f>SUM(D7:D505)</f>
        <v>0</v>
      </c>
      <c r="E3" s="123">
        <f>SUM(E7:E505)</f>
        <v>1008</v>
      </c>
      <c r="F3" s="123">
        <f>SUM(F6:G505)</f>
        <v>1451</v>
      </c>
      <c r="G3" s="7">
        <f>G4/E3</f>
        <v>0.43948412698412698</v>
      </c>
      <c r="H3" s="116" t="s">
        <v>133</v>
      </c>
      <c r="I3" s="118">
        <f>投資!G2</f>
        <v>31.47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7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7"/>
      <c r="F6" s="115"/>
      <c r="G6" s="47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7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134</v>
      </c>
      <c r="C8" s="36">
        <f t="shared" si="0"/>
        <v>0</v>
      </c>
      <c r="D8" s="26"/>
      <c r="E8" s="26"/>
      <c r="F8" s="109">
        <v>2</v>
      </c>
      <c r="G8" s="47"/>
      <c r="H8" s="20"/>
      <c r="I8" s="20"/>
      <c r="J8" s="20"/>
    </row>
    <row r="9" spans="1:10">
      <c r="A9" s="17">
        <v>4</v>
      </c>
      <c r="B9" s="25" t="s">
        <v>111</v>
      </c>
      <c r="C9" s="36">
        <f t="shared" si="0"/>
        <v>2267.0656499999996</v>
      </c>
      <c r="D9" s="26">
        <v>0.441048</v>
      </c>
      <c r="E9" s="26">
        <v>1000</v>
      </c>
      <c r="F9" s="109"/>
      <c r="G9" s="47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135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7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135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7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7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7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136</v>
      </c>
      <c r="C14" s="36">
        <f t="shared" si="0"/>
        <v>0</v>
      </c>
      <c r="D14" s="26"/>
      <c r="E14" s="26"/>
      <c r="F14" s="109">
        <v>25</v>
      </c>
      <c r="G14" s="47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7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137</v>
      </c>
      <c r="C16" s="36">
        <f t="shared" si="0"/>
        <v>0</v>
      </c>
      <c r="D16" s="26"/>
      <c r="E16" s="26"/>
      <c r="F16" s="109">
        <v>28</v>
      </c>
      <c r="G16" s="47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7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7"/>
      <c r="H18" s="20"/>
      <c r="I18" s="20"/>
      <c r="J18" s="20"/>
    </row>
    <row r="19" spans="1:10" s="12" customFormat="1" ht="16.5" customHeight="1">
      <c r="A19" s="17">
        <v>14</v>
      </c>
      <c r="B19" s="25" t="s">
        <v>138</v>
      </c>
      <c r="C19" s="36">
        <f t="shared" si="0"/>
        <v>0</v>
      </c>
      <c r="D19" s="26"/>
      <c r="E19" s="26"/>
      <c r="F19" s="109">
        <v>32</v>
      </c>
      <c r="G19" s="47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7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115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7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139</v>
      </c>
      <c r="C22" s="36">
        <f t="shared" si="0"/>
        <v>0</v>
      </c>
      <c r="D22" s="26"/>
      <c r="E22" s="26"/>
      <c r="F22" s="109">
        <v>35</v>
      </c>
      <c r="G22" s="47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7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140</v>
      </c>
      <c r="C24" s="36">
        <f t="shared" si="0"/>
        <v>0</v>
      </c>
      <c r="D24" s="26"/>
      <c r="E24" s="26"/>
      <c r="F24" s="109">
        <v>35</v>
      </c>
      <c r="G24" s="47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7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141</v>
      </c>
      <c r="C26" s="36">
        <f t="shared" si="0"/>
        <v>0</v>
      </c>
      <c r="D26" s="26"/>
      <c r="E26" s="26"/>
      <c r="F26" s="109">
        <v>41</v>
      </c>
      <c r="G26" s="47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7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142</v>
      </c>
      <c r="C28" s="36">
        <f t="shared" si="0"/>
        <v>0</v>
      </c>
      <c r="D28" s="26"/>
      <c r="E28" s="26"/>
      <c r="F28" s="109">
        <v>43</v>
      </c>
      <c r="G28" s="47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7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143</v>
      </c>
      <c r="C30" s="36">
        <f t="shared" si="0"/>
        <v>0</v>
      </c>
      <c r="D30" s="26"/>
      <c r="E30" s="26"/>
      <c r="F30" s="109">
        <v>46</v>
      </c>
      <c r="G30" s="47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7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144</v>
      </c>
      <c r="C32" s="36">
        <f t="shared" si="0"/>
        <v>0</v>
      </c>
      <c r="D32" s="26"/>
      <c r="E32" s="26"/>
      <c r="F32" s="109">
        <v>48</v>
      </c>
      <c r="G32" s="47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7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145</v>
      </c>
      <c r="C34" s="36">
        <f t="shared" si="0"/>
        <v>0</v>
      </c>
      <c r="D34" s="26"/>
      <c r="E34" s="26"/>
      <c r="F34" s="109">
        <v>51</v>
      </c>
      <c r="G34" s="47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7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146</v>
      </c>
      <c r="C36" s="36">
        <f t="shared" si="0"/>
        <v>0</v>
      </c>
      <c r="D36" s="26"/>
      <c r="E36" s="26"/>
      <c r="F36" s="109">
        <v>53</v>
      </c>
      <c r="G36" s="47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7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147</v>
      </c>
      <c r="C38" s="36">
        <f t="shared" si="0"/>
        <v>0</v>
      </c>
      <c r="D38" s="26"/>
      <c r="E38" s="26"/>
      <c r="F38" s="109">
        <v>54</v>
      </c>
      <c r="G38" s="47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7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148</v>
      </c>
      <c r="C40" s="36">
        <f t="shared" si="0"/>
        <v>0</v>
      </c>
      <c r="D40" s="26"/>
      <c r="E40" s="26"/>
      <c r="F40" s="109">
        <v>58</v>
      </c>
      <c r="G40" s="47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7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149</v>
      </c>
      <c r="C42" s="36">
        <f t="shared" si="0"/>
        <v>0</v>
      </c>
      <c r="D42" s="26"/>
      <c r="E42" s="26"/>
      <c r="F42" s="109">
        <v>60</v>
      </c>
      <c r="G42" s="47"/>
      <c r="H42" s="20"/>
      <c r="I42" s="20"/>
      <c r="J42" s="20"/>
    </row>
    <row r="43" spans="1:10" s="12" customFormat="1" ht="16.5" customHeight="1">
      <c r="A43" s="17">
        <v>38</v>
      </c>
      <c r="B43" s="25" t="s">
        <v>150</v>
      </c>
      <c r="C43" s="36">
        <f t="shared" si="0"/>
        <v>0</v>
      </c>
      <c r="D43" s="26"/>
      <c r="E43" s="26"/>
      <c r="F43" s="109">
        <v>65</v>
      </c>
      <c r="G43" s="47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7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7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151</v>
      </c>
      <c r="C46" s="36">
        <f t="shared" si="0"/>
        <v>0</v>
      </c>
      <c r="D46" s="26"/>
      <c r="E46" s="26"/>
      <c r="F46" s="109">
        <v>68</v>
      </c>
      <c r="G46" s="47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7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152</v>
      </c>
      <c r="C48" s="36">
        <f t="shared" si="0"/>
        <v>0</v>
      </c>
      <c r="D48" s="26"/>
      <c r="E48" s="26"/>
      <c r="F48" s="109">
        <v>66</v>
      </c>
      <c r="G48" s="47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7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153</v>
      </c>
      <c r="C50" s="36">
        <f t="shared" si="0"/>
        <v>0</v>
      </c>
      <c r="D50" s="26"/>
      <c r="E50" s="26"/>
      <c r="F50" s="109">
        <v>246</v>
      </c>
      <c r="G50" s="47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7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154</v>
      </c>
      <c r="C52" s="36">
        <f t="shared" si="0"/>
        <v>0</v>
      </c>
      <c r="D52" s="26"/>
      <c r="E52" s="26"/>
      <c r="F52" s="109">
        <v>69</v>
      </c>
      <c r="G52" s="47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7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155</v>
      </c>
      <c r="C54" s="36">
        <f t="shared" si="0"/>
        <v>0</v>
      </c>
      <c r="D54" s="26"/>
      <c r="E54" s="26"/>
      <c r="F54" s="109">
        <v>72</v>
      </c>
      <c r="G54" s="47"/>
      <c r="H54" s="20"/>
      <c r="I54" s="20"/>
      <c r="J54" s="20"/>
    </row>
    <row r="55" spans="1:10" s="12" customFormat="1" ht="16.5" customHeight="1">
      <c r="A55" s="17">
        <v>50</v>
      </c>
      <c r="B55" s="25" t="s">
        <v>156</v>
      </c>
      <c r="C55" s="36">
        <f t="shared" si="0"/>
        <v>0</v>
      </c>
      <c r="D55" s="26"/>
      <c r="E55" s="26"/>
      <c r="F55" s="109">
        <v>71</v>
      </c>
      <c r="G55" s="47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7"/>
      <c r="H56" s="20"/>
      <c r="I56" s="20"/>
      <c r="J56" s="20"/>
    </row>
    <row r="57" spans="1:10" s="12" customFormat="1" ht="16.5" customHeight="1">
      <c r="A57" s="17">
        <v>52</v>
      </c>
      <c r="B57" s="25" t="s">
        <v>121</v>
      </c>
      <c r="C57" s="36">
        <f t="shared" si="0"/>
        <v>0</v>
      </c>
      <c r="D57" s="26"/>
      <c r="E57" s="26"/>
      <c r="F57" s="109">
        <v>76</v>
      </c>
      <c r="G57" s="47"/>
      <c r="H57" s="20"/>
      <c r="I57" s="20"/>
      <c r="J57" s="20"/>
    </row>
    <row r="58" spans="1:10" s="12" customFormat="1" ht="16.5" customHeight="1">
      <c r="A58" s="17">
        <v>53</v>
      </c>
      <c r="B58" s="25" t="s">
        <v>122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7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7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7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7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7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7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7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7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7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7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7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7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7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7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7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7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7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7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7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7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7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7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7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7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7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7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7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7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7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7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7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7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7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7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7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7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7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7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7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7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7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7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7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7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7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7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7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7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7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7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7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7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7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7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7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7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7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7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7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7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7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7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7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7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7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7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7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7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7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7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7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7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7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7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7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7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7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7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7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7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7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7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7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7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7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7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7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7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7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7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7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7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7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7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7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7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7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7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7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7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7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7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7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7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7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7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7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7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7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7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7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7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7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7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7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7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7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7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7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7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7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7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7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7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7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7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7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7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7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7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7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7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7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7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7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7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7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7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7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7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7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7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7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7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7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7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7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7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7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7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7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7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7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7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7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7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7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7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7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7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7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7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7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7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7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7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7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7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7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7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7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7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7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7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7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7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7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7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7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7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7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7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7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7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7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7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7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7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7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7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7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7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7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7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7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7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7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7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7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7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7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7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7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7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7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7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7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7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7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7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7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7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7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7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7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7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7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7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7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7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7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7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7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7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7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7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7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7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7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7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7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7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7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7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7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7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7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7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7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7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7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7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7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7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7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7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7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7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7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7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7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7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7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7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7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7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7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7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7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7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7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7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7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7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7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7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7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7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7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7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7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7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7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7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7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7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7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7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7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7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7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7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7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7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7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7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7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7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7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7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7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7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7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7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7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7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7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7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7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7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7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7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7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7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7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7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7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7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7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7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7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7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7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7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7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7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7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7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7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7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7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7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7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7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7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7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7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7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7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7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7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7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7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7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7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7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7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7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7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7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7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7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7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7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7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7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7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7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7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7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7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7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7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7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7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7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7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7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7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7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7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7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7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7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7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7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7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7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7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7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7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7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7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7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7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7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7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7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7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7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7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7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7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7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7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7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7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7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7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7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7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7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7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7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7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7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7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7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7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7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7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7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7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7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7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7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7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7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7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7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7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7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7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7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7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7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7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7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7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7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7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7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7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7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7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7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7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7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7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7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7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7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7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7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7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7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7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7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7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7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7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7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7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7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7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7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7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7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2026-02-17T05:48:34Z</dcterms:modified>
  <dc:language>en-US</dc:language>
</cp:coreProperties>
</file>