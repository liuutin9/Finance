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4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00692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8" fillId="0" borderId="0" pivotButton="0" quotePrefix="0" xfId="0"/>
    <xf numFmtId="0" fontId="11" fillId="0" borderId="0" pivotButton="0" quotePrefix="0" xfId="0"/>
    <xf numFmtId="0" fontId="11" fillId="0" borderId="0" applyProtection="1" pivotButton="0" quotePrefix="0" xfId="0">
      <protection locked="0" hidden="0"/>
    </xf>
    <xf numFmtId="0" fontId="13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40" fontId="11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2" fillId="29" borderId="5" applyAlignment="1" applyProtection="1" pivotButton="0" quotePrefix="0" xfId="0">
      <alignment horizontal="center" vertical="center"/>
      <protection locked="0" hidden="0"/>
    </xf>
    <xf numFmtId="40" fontId="11" fillId="9" borderId="6" applyAlignment="1" applyProtection="1" pivotButton="0" quotePrefix="0" xfId="0">
      <alignment horizontal="right" vertical="center"/>
      <protection locked="0" hidden="0"/>
    </xf>
    <xf numFmtId="0" fontId="9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10" fillId="10" borderId="5" applyAlignment="1" applyProtection="1" pivotButton="0" quotePrefix="0" xfId="0">
      <alignment horizontal="center" vertical="center"/>
      <protection locked="0" hidden="0"/>
    </xf>
    <xf numFmtId="0" fontId="10" fillId="8" borderId="5" applyAlignment="1" applyProtection="1" pivotButton="0" quotePrefix="0" xfId="0">
      <alignment horizontal="center" vertical="center"/>
      <protection locked="0" hidden="0"/>
    </xf>
    <xf numFmtId="40" fontId="11" fillId="28" borderId="6" applyAlignment="1" applyProtection="1" pivotButton="0" quotePrefix="0" xfId="0">
      <alignment horizontal="right" vertical="center"/>
      <protection locked="0" hidden="0"/>
    </xf>
    <xf numFmtId="0" fontId="12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1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1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2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3" borderId="1" applyAlignment="1" pivotButton="0" quotePrefix="0" xfId="0">
      <alignment horizontal="center" vertical="center"/>
    </xf>
    <xf numFmtId="40" fontId="11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2" fillId="14" borderId="5" applyAlignment="1" applyProtection="1" pivotButton="0" quotePrefix="0" xfId="0">
      <alignment horizontal="center" vertical="center"/>
      <protection locked="0" hidden="0"/>
    </xf>
    <xf numFmtId="40" fontId="11" fillId="15" borderId="4" applyAlignment="1" applyProtection="1" pivotButton="0" quotePrefix="0" xfId="0">
      <alignment horizontal="right" vertical="center"/>
      <protection locked="0" hidden="0"/>
    </xf>
    <xf numFmtId="0" fontId="12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10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1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1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2" fillId="12" borderId="5" applyAlignment="1" applyProtection="1" pivotButton="0" quotePrefix="0" xfId="0">
      <alignment horizontal="center" vertical="center"/>
      <protection locked="0" hidden="0"/>
    </xf>
    <xf numFmtId="0" fontId="12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9" fillId="6" borderId="2" applyAlignment="1" pivotButton="0" quotePrefix="0" xfId="0">
      <alignment horizontal="center" vertical="center"/>
    </xf>
    <xf numFmtId="40" fontId="11" fillId="11" borderId="6" applyAlignment="1" applyProtection="1" pivotButton="0" quotePrefix="0" xfId="0">
      <alignment horizontal="right" vertical="center"/>
      <protection locked="0" hidden="0"/>
    </xf>
    <xf numFmtId="10" fontId="11" fillId="16" borderId="2" applyAlignment="1" pivotButton="0" quotePrefix="0" xfId="0">
      <alignment horizontal="right" vertical="center"/>
    </xf>
    <xf numFmtId="0" fontId="9" fillId="27" borderId="1" applyAlignment="1" pivotButton="0" quotePrefix="0" xfId="0">
      <alignment horizontal="center" vertical="center"/>
    </xf>
    <xf numFmtId="40" fontId="11" fillId="13" borderId="6" applyAlignment="1" applyProtection="1" pivotButton="0" quotePrefix="0" xfId="0">
      <alignment horizontal="right" vertical="center"/>
      <protection locked="0" hidden="0"/>
    </xf>
    <xf numFmtId="40" fontId="11" fillId="11" borderId="8" applyAlignment="1" applyProtection="1" pivotButton="0" quotePrefix="0" xfId="0">
      <alignment horizontal="right" vertical="center"/>
      <protection locked="0" hidden="0"/>
    </xf>
    <xf numFmtId="49" fontId="12" fillId="12" borderId="7" applyAlignment="1" applyProtection="1" pivotButton="0" quotePrefix="0" xfId="0">
      <alignment horizontal="center" vertical="center"/>
      <protection locked="0" hidden="0"/>
    </xf>
    <xf numFmtId="40" fontId="11" fillId="11" borderId="4" applyAlignment="1" applyProtection="1" pivotButton="0" quotePrefix="0" xfId="0">
      <alignment horizontal="right" vertical="center"/>
      <protection locked="0" hidden="0"/>
    </xf>
    <xf numFmtId="49" fontId="12" fillId="12" borderId="3" applyAlignment="1" pivotButton="0" quotePrefix="0" xfId="0">
      <alignment horizontal="center" vertical="center"/>
    </xf>
    <xf numFmtId="40" fontId="11" fillId="13" borderId="8" applyAlignment="1" applyProtection="1" pivotButton="0" quotePrefix="0" xfId="0">
      <alignment horizontal="right" vertical="center"/>
      <protection locked="0" hidden="0"/>
    </xf>
    <xf numFmtId="0" fontId="12" fillId="14" borderId="7" applyAlignment="1" applyProtection="1" pivotButton="0" quotePrefix="0" xfId="0">
      <alignment horizontal="center" vertical="center"/>
      <protection locked="0" hidden="0"/>
    </xf>
    <xf numFmtId="0" fontId="12" fillId="14" borderId="5" applyAlignment="1" pivotButton="0" quotePrefix="0" xfId="0">
      <alignment horizontal="center" vertical="center"/>
    </xf>
    <xf numFmtId="40" fontId="11" fillId="15" borderId="8" applyAlignment="1" applyProtection="1" pivotButton="0" quotePrefix="0" xfId="0">
      <alignment horizontal="right" vertical="center"/>
      <protection locked="0" hidden="0"/>
    </xf>
    <xf numFmtId="0" fontId="12" fillId="14" borderId="3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40" fontId="11" fillId="28" borderId="4" applyAlignment="1" applyProtection="1" pivotButton="0" quotePrefix="0" xfId="0">
      <alignment horizontal="right" vertical="center"/>
      <protection locked="0" hidden="0"/>
    </xf>
    <xf numFmtId="40" fontId="11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10" fillId="10" borderId="7" applyAlignment="1" applyProtection="1" pivotButton="0" quotePrefix="0" xfId="0">
      <alignment horizontal="center" vertical="center"/>
      <protection locked="0" hidden="0"/>
    </xf>
    <xf numFmtId="49" fontId="12" fillId="12" borderId="5" applyAlignment="1" pivotButton="0" quotePrefix="0" xfId="0">
      <alignment horizontal="center" vertical="center"/>
    </xf>
    <xf numFmtId="0" fontId="10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1" fillId="9" borderId="4" applyAlignment="1" applyProtection="1" pivotButton="0" quotePrefix="0" xfId="0">
      <alignment horizontal="right" vertical="center"/>
      <protection locked="0" hidden="0"/>
    </xf>
    <xf numFmtId="0" fontId="10" fillId="10" borderId="3" applyAlignment="1" applyProtection="1" pivotButton="0" quotePrefix="0" xfId="0">
      <alignment horizontal="center" vertical="center"/>
      <protection locked="0" hidden="0"/>
    </xf>
    <xf numFmtId="0" fontId="9" fillId="7" borderId="2" applyAlignment="1" pivotButton="0" quotePrefix="0" xfId="0">
      <alignment horizontal="center" vertical="center"/>
    </xf>
    <xf numFmtId="49" fontId="13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517305</v>
                </pt>
                <pt idx="1">
                  <v>19635.65</v>
                </pt>
                <pt idx="2">
                  <v>350839.5144</v>
                </pt>
                <pt idx="3">
                  <v>249988.43725128</v>
                </pt>
                <pt idx="4">
                  <v>232470.1986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193106.1384</v>
                </pt>
                <pt idx="1">
                  <v>157733.376</v>
                </pt>
                <pt idx="2">
                  <v>249988.43725128</v>
                </pt>
                <pt idx="3">
                  <v>68534.1636</v>
                </pt>
                <pt idx="4">
                  <v>7392.4484</v>
                </pt>
                <pt idx="5">
                  <v>9753.133599999999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S4" sqref="S4:T4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113" t="inlineStr">
        <is>
          <t>新台幣</t>
        </is>
      </c>
      <c r="B1" s="67" t="n"/>
      <c r="C1" s="67" t="n"/>
      <c r="D1" s="68" t="n"/>
      <c r="E1" s="80" t="inlineStr">
        <is>
          <t>美元</t>
        </is>
      </c>
      <c r="F1" s="67" t="n"/>
      <c r="G1" s="67" t="n"/>
      <c r="H1" s="68" t="n"/>
      <c r="I1" s="66" t="inlineStr">
        <is>
          <t>台股</t>
        </is>
      </c>
      <c r="J1" s="67" t="n"/>
      <c r="K1" s="67" t="n"/>
      <c r="L1" s="68" t="n"/>
      <c r="M1" s="114" t="inlineStr">
        <is>
          <t>美股</t>
        </is>
      </c>
      <c r="N1" s="67" t="n"/>
      <c r="O1" s="67" t="n"/>
      <c r="P1" s="68" t="n"/>
      <c r="Q1" s="102" t="inlineStr">
        <is>
          <t>加密貨幣</t>
        </is>
      </c>
      <c r="R1" s="67" t="n"/>
      <c r="S1" s="67" t="n"/>
      <c r="T1" s="68" t="n"/>
    </row>
    <row r="2" ht="17.25" customHeight="1">
      <c r="A2" s="120" t="inlineStr">
        <is>
          <t>永豐大戶活存</t>
        </is>
      </c>
      <c r="B2" s="121" t="n"/>
      <c r="C2" s="122" t="n">
        <v>224827</v>
      </c>
      <c r="D2" s="77" t="n"/>
      <c r="E2" s="123" t="inlineStr">
        <is>
          <t>美元活存</t>
        </is>
      </c>
      <c r="F2" s="121" t="n"/>
      <c r="G2" s="106" t="n">
        <v>4.72</v>
      </c>
      <c r="H2" s="77" t="n"/>
      <c r="I2" s="107" t="inlineStr">
        <is>
          <t>006208</t>
        </is>
      </c>
      <c r="J2" s="86" t="n"/>
      <c r="K2" s="76">
        <f>'006208'!D3*'006208'!C3*0.997</f>
        <v/>
      </c>
      <c r="L2" s="77" t="n"/>
      <c r="M2" s="112" t="inlineStr">
        <is>
          <t>VT</t>
        </is>
      </c>
      <c r="N2" s="86" t="n"/>
      <c r="O2" s="84">
        <f>VT!H3*VT!D3</f>
        <v/>
      </c>
      <c r="P2" s="77" t="n"/>
      <c r="Q2" s="85" t="inlineStr">
        <is>
          <t>BTC</t>
        </is>
      </c>
      <c r="R2" s="86" t="n"/>
      <c r="S2" s="115">
        <f>(682.1+1166.72+328.25)*投資!G2</f>
        <v/>
      </c>
      <c r="T2" s="77" t="n"/>
    </row>
    <row r="3" ht="17.25" customHeight="1">
      <c r="A3" s="70" t="inlineStr">
        <is>
          <t>玉山銀行活存</t>
        </is>
      </c>
      <c r="B3" s="42" t="n"/>
      <c r="C3" s="65" t="n">
        <v>11601</v>
      </c>
      <c r="D3" s="63" t="n"/>
      <c r="E3" s="69" t="inlineStr">
        <is>
          <t>Chase</t>
        </is>
      </c>
      <c r="F3" s="42" t="n"/>
      <c r="G3" s="100" t="n">
        <v>521.76</v>
      </c>
      <c r="H3" s="63" t="n"/>
      <c r="I3" s="119" t="inlineStr">
        <is>
          <t>2890</t>
        </is>
      </c>
      <c r="J3" s="98" t="n"/>
      <c r="K3" s="103">
        <f>'2890'!D3*'2890'!C3*0.997</f>
        <v/>
      </c>
      <c r="L3" s="63" t="n"/>
      <c r="M3" s="110" t="n"/>
      <c r="N3" s="98" t="n"/>
      <c r="O3" s="62" t="n"/>
      <c r="P3" s="63" t="n"/>
      <c r="Q3" s="97" t="inlineStr">
        <is>
          <t>ETH</t>
        </is>
      </c>
      <c r="R3" s="98" t="n"/>
      <c r="S3" s="71">
        <f>234.83*投資!G2</f>
        <v/>
      </c>
      <c r="T3" s="63" t="n"/>
    </row>
    <row r="4" ht="15.75" customHeight="1">
      <c r="A4" s="70" t="inlineStr">
        <is>
          <t>一銀iLeo活存</t>
        </is>
      </c>
      <c r="B4" s="42" t="n"/>
      <c r="C4" s="65" t="n">
        <v>120075</v>
      </c>
      <c r="D4" s="63" t="n"/>
      <c r="E4" s="69" t="inlineStr">
        <is>
          <t>Ether.fi</t>
        </is>
      </c>
      <c r="F4" s="42" t="n"/>
      <c r="G4" s="100" t="n">
        <v>97.27</v>
      </c>
      <c r="H4" s="63" t="n"/>
      <c r="I4" s="119" t="n"/>
      <c r="J4" s="98" t="n"/>
      <c r="K4" s="103" t="n"/>
      <c r="L4" s="63" t="n"/>
      <c r="M4" s="110" t="n"/>
      <c r="N4" s="98" t="n"/>
      <c r="O4" s="62" t="n"/>
      <c r="P4" s="63" t="n"/>
      <c r="Q4" s="97" t="inlineStr">
        <is>
          <t>SOL</t>
        </is>
      </c>
      <c r="R4" s="98" t="n"/>
      <c r="S4" s="71">
        <f>309.82*投資!G2</f>
        <v/>
      </c>
      <c r="T4" s="63" t="n"/>
    </row>
    <row r="5" ht="16.5" customHeight="1">
      <c r="A5" s="70" t="inlineStr">
        <is>
          <t>中華郵政活存</t>
        </is>
      </c>
      <c r="B5" s="42" t="n"/>
      <c r="C5" s="65" t="n">
        <v>0</v>
      </c>
      <c r="D5" s="63" t="n"/>
      <c r="E5" s="69" t="n"/>
      <c r="F5" s="42" t="n"/>
      <c r="G5" s="100" t="n"/>
      <c r="H5" s="63" t="n"/>
      <c r="I5" s="96" t="n"/>
      <c r="J5" s="42" t="n"/>
      <c r="K5" s="103" t="n"/>
      <c r="L5" s="63" t="n"/>
      <c r="M5" s="110" t="n"/>
      <c r="N5" s="98" t="n"/>
      <c r="O5" s="62" t="n"/>
      <c r="P5" s="63" t="n"/>
      <c r="Q5" s="97" t="inlineStr">
        <is>
          <t>SUI</t>
        </is>
      </c>
      <c r="R5" s="98" t="n"/>
      <c r="S5" s="71">
        <f>15.45*投資!G2</f>
        <v/>
      </c>
      <c r="T5" s="63" t="n"/>
    </row>
    <row r="6" ht="17.25" customHeight="1">
      <c r="A6" s="70" t="inlineStr">
        <is>
          <t>中國信託活存</t>
        </is>
      </c>
      <c r="B6" s="42" t="n"/>
      <c r="C6" s="65" t="n">
        <v>2</v>
      </c>
      <c r="D6" s="63" t="n"/>
      <c r="E6" s="69" t="n"/>
      <c r="F6" s="42" t="n"/>
      <c r="G6" s="100" t="n"/>
      <c r="H6" s="63" t="n"/>
      <c r="I6" s="96" t="n"/>
      <c r="J6" s="42" t="n"/>
      <c r="K6" s="103" t="n"/>
      <c r="L6" s="63" t="n"/>
      <c r="M6" s="83" t="n"/>
      <c r="N6" s="42" t="n"/>
      <c r="O6" s="62" t="n"/>
      <c r="P6" s="63" t="n"/>
      <c r="Q6" s="64" t="inlineStr">
        <is>
          <t>USDT</t>
        </is>
      </c>
      <c r="R6" s="42" t="n"/>
      <c r="S6" s="71">
        <f>(502.19+483.32+301.6+2206.02+151.975)*投資!G2</f>
        <v/>
      </c>
      <c r="T6" s="63" t="n"/>
    </row>
    <row r="7" ht="17.25" customHeight="1">
      <c r="A7" s="70" t="inlineStr">
        <is>
          <t>華南Sny活存</t>
        </is>
      </c>
      <c r="B7" s="42" t="n"/>
      <c r="C7" s="65" t="n">
        <v>100000</v>
      </c>
      <c r="D7" s="63" t="n"/>
      <c r="E7" s="69" t="n"/>
      <c r="F7" s="42" t="n"/>
      <c r="G7" s="100" t="n"/>
      <c r="H7" s="63" t="n"/>
      <c r="I7" s="96" t="n"/>
      <c r="J7" s="42" t="n"/>
      <c r="K7" s="103" t="n"/>
      <c r="L7" s="63" t="n"/>
      <c r="M7" s="83" t="n"/>
      <c r="N7" s="42" t="n"/>
      <c r="O7" s="62" t="n"/>
      <c r="P7" s="63" t="n"/>
      <c r="Q7" s="64" t="inlineStr">
        <is>
          <t>USDC</t>
        </is>
      </c>
      <c r="R7" s="42" t="n"/>
      <c r="S7" s="71">
        <f>(501.74+500.68)*投資!G2</f>
        <v/>
      </c>
      <c r="T7" s="63" t="n"/>
    </row>
    <row r="8" ht="17.25" customHeight="1">
      <c r="A8" s="70" t="inlineStr">
        <is>
          <t>定存</t>
        </is>
      </c>
      <c r="B8" s="42" t="n"/>
      <c r="C8" s="65" t="n">
        <v>60000</v>
      </c>
      <c r="D8" s="63" t="n"/>
      <c r="E8" s="69" t="n"/>
      <c r="F8" s="42" t="n"/>
      <c r="G8" s="100" t="n"/>
      <c r="H8" s="63" t="n"/>
      <c r="I8" s="96" t="n"/>
      <c r="J8" s="42" t="n"/>
      <c r="K8" s="103" t="n"/>
      <c r="L8" s="63" t="n"/>
      <c r="M8" s="83" t="n"/>
      <c r="N8" s="42" t="n"/>
      <c r="O8" s="62" t="n"/>
      <c r="P8" s="63" t="n"/>
      <c r="Q8" s="64" t="n"/>
      <c r="R8" s="42" t="n"/>
      <c r="S8" s="71" t="n"/>
      <c r="T8" s="63" t="n"/>
    </row>
    <row r="9" ht="17.25" customHeight="1" thickBot="1">
      <c r="A9" s="87" t="inlineStr">
        <is>
          <t>錢包</t>
        </is>
      </c>
      <c r="B9" s="88" t="n"/>
      <c r="C9" s="116" t="n">
        <v>800</v>
      </c>
      <c r="D9" s="117" t="n"/>
      <c r="E9" s="118" t="n"/>
      <c r="F9" s="79" t="n"/>
      <c r="G9" s="104" t="n"/>
      <c r="H9" s="82" t="n"/>
      <c r="I9" s="105" t="n"/>
      <c r="J9" s="79" t="n"/>
      <c r="K9" s="108" t="n"/>
      <c r="L9" s="82" t="n"/>
      <c r="M9" s="109" t="n"/>
      <c r="N9" s="79" t="n"/>
      <c r="O9" s="111" t="n"/>
      <c r="P9" s="82" t="n"/>
      <c r="Q9" s="78" t="n"/>
      <c r="R9" s="79" t="n"/>
      <c r="S9" s="81" t="n"/>
      <c r="T9" s="82" t="n"/>
    </row>
    <row r="10" ht="17.25" customHeight="1" thickBot="1">
      <c r="A10" s="72" t="inlineStr">
        <is>
          <t>總計</t>
        </is>
      </c>
      <c r="B10" s="73" t="n"/>
      <c r="C10" s="74">
        <f>SUM(C2:D9)</f>
        <v/>
      </c>
      <c r="D10" s="75" t="n"/>
      <c r="E10" s="72" t="inlineStr">
        <is>
          <t>總計</t>
        </is>
      </c>
      <c r="F10" s="73" t="n"/>
      <c r="G10" s="74">
        <f>SUM(G2:H9)*投資!G2</f>
        <v/>
      </c>
      <c r="H10" s="75" t="n"/>
      <c r="I10" s="72" t="inlineStr">
        <is>
          <t>總計</t>
        </is>
      </c>
      <c r="J10" s="73" t="n"/>
      <c r="K10" s="74">
        <f>SUM(K2:L9)</f>
        <v/>
      </c>
      <c r="L10" s="75" t="n"/>
      <c r="M10" s="72" t="inlineStr">
        <is>
          <t>總計</t>
        </is>
      </c>
      <c r="N10" s="73" t="n"/>
      <c r="O10" s="74">
        <f>SUM(O2:P9)</f>
        <v/>
      </c>
      <c r="P10" s="75" t="n"/>
      <c r="Q10" s="72" t="inlineStr">
        <is>
          <t>總計</t>
        </is>
      </c>
      <c r="R10" s="73" t="n"/>
      <c r="S10" s="74">
        <f>SUM(S2:T9)</f>
        <v/>
      </c>
      <c r="T10" s="75" t="n"/>
    </row>
    <row r="11" ht="31.5" customHeight="1" thickBot="1">
      <c r="A11" s="99" t="inlineStr">
        <is>
          <t>總資產</t>
        </is>
      </c>
      <c r="B11" s="75" t="n"/>
      <c r="C11" s="124" t="inlineStr">
        <is>
          <t>負債</t>
        </is>
      </c>
      <c r="D11" s="7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89">
        <f>C10+G10+K10+O10+S10</f>
        <v/>
      </c>
      <c r="B12" s="68" t="n"/>
      <c r="C12" s="92">
        <f>12012</f>
        <v/>
      </c>
      <c r="D12" s="9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0" t="n"/>
      <c r="B13" s="91" t="n"/>
      <c r="C13" s="94" t="n"/>
      <c r="D13" s="9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99" t="inlineStr">
        <is>
          <t>淨資產</t>
        </is>
      </c>
      <c r="B14" s="68" t="n"/>
      <c r="C14" s="124" t="inlineStr">
        <is>
          <t>負債率</t>
        </is>
      </c>
      <c r="D14" s="6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0" t="n"/>
      <c r="B15" s="91" t="n"/>
      <c r="C15" s="90" t="n"/>
      <c r="D15" s="9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89">
        <f>A12-C12</f>
        <v/>
      </c>
      <c r="B16" s="68" t="n"/>
      <c r="C16" s="101">
        <f>C12/A12</f>
        <v/>
      </c>
      <c r="D16" s="6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0" t="n"/>
      <c r="B17" s="91" t="n"/>
      <c r="C17" s="90" t="n"/>
      <c r="D17" s="9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5" customHeight="1">
      <c r="A1" s="125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31.585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5" t="inlineStr">
        <is>
          <t>美股</t>
        </is>
      </c>
      <c r="B8" s="44" t="n"/>
      <c r="C8" s="42" t="n"/>
      <c r="D8" s="5" t="n"/>
      <c r="E8" s="125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5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42" zoomScaleNormal="100" workbookViewId="0">
      <selection activeCell="F9" sqref="F9:G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221.2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41" t="n"/>
      <c r="E16" s="41" t="n"/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41" t="n"/>
      <c r="E27" s="41" t="n"/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41" t="n"/>
      <c r="E33" s="41" t="n"/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41" t="n"/>
      <c r="E44" s="41" t="n"/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41" t="n"/>
      <c r="E50" s="41" t="n"/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41" t="n">
        <v>13</v>
      </c>
      <c r="E56" s="41" t="n">
        <v>2882</v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7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7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E53" sqref="E53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n">
        <v>30.55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41" t="n">
        <v>29</v>
      </c>
      <c r="E52" s="41" t="n">
        <v>899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38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8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E56" sqref="E56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4908.309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41" t="n">
        <v>0.84398</v>
      </c>
      <c r="E55" s="41" t="n">
        <v>4119</v>
      </c>
      <c r="F55" s="41" t="n"/>
      <c r="G55" s="42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2026-05-13T22:00:22Z</dcterms:modified>
  <cp:lastModifiedBy>劉祐廷</cp:lastModifiedBy>
  <cp:revision>39</cp:revision>
  <cp:lastPrinted>2024-02-22T01:18:13Z</cp:lastPrinted>
</cp:coreProperties>
</file>