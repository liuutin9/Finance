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559446</v>
                </pt>
                <pt idx="1">
                  <v>126441.456</v>
                </pt>
                <pt idx="2">
                  <v>278692.85565</v>
                </pt>
                <pt idx="3">
                  <v>220813.6406284875</v>
                </pt>
                <pt idx="4">
                  <v>87157.91050000001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dLbl>
              <idx val="0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5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/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132486.29515</v>
                </pt>
                <pt idx="1">
                  <v>146206.5605</v>
                </pt>
                <pt idx="2">
                  <v>220813.6406284875</v>
                </pt>
                <pt idx="3">
                  <v>67770.68550000001</v>
                </pt>
                <pt idx="4">
                  <v>10463.3235</v>
                </pt>
                <pt idx="5">
                  <v>8285.9115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/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S3" sqref="S3:T3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93" t="inlineStr">
        <is>
          <t>新台幣</t>
        </is>
      </c>
      <c r="B1" s="47" t="n"/>
      <c r="C1" s="47" t="n"/>
      <c r="D1" s="48" t="n"/>
      <c r="E1" s="60" t="inlineStr">
        <is>
          <t>美元</t>
        </is>
      </c>
      <c r="F1" s="47" t="n"/>
      <c r="G1" s="47" t="n"/>
      <c r="H1" s="48" t="n"/>
      <c r="I1" s="46" t="inlineStr">
        <is>
          <t>台股</t>
        </is>
      </c>
      <c r="J1" s="47" t="n"/>
      <c r="K1" s="47" t="n"/>
      <c r="L1" s="48" t="n"/>
      <c r="M1" s="94" t="inlineStr">
        <is>
          <t>美股</t>
        </is>
      </c>
      <c r="N1" s="47" t="n"/>
      <c r="O1" s="47" t="n"/>
      <c r="P1" s="48" t="n"/>
      <c r="Q1" s="82" t="inlineStr">
        <is>
          <t>加密貨幣</t>
        </is>
      </c>
      <c r="R1" s="47" t="n"/>
      <c r="S1" s="47" t="n"/>
      <c r="T1" s="48" t="n"/>
    </row>
    <row r="2" ht="17.25" customHeight="1">
      <c r="A2" s="100" t="inlineStr">
        <is>
          <t>永豐大戶活存</t>
        </is>
      </c>
      <c r="B2" s="101" t="n"/>
      <c r="C2" s="102" t="n">
        <v>212282</v>
      </c>
      <c r="D2" s="57" t="n"/>
      <c r="E2" s="103" t="inlineStr">
        <is>
          <t>美元活存</t>
        </is>
      </c>
      <c r="F2" s="101" t="n"/>
      <c r="G2" s="86" t="n">
        <v>4.48</v>
      </c>
      <c r="H2" s="57" t="n"/>
      <c r="I2" s="87" t="inlineStr">
        <is>
          <t>006208</t>
        </is>
      </c>
      <c r="J2" s="66" t="n"/>
      <c r="K2" s="56">
        <f>'006208.TW'!D3*'006208.TW'!C3*0.997</f>
        <v/>
      </c>
      <c r="L2" s="57" t="n"/>
      <c r="M2" s="92" t="inlineStr">
        <is>
          <t>VT</t>
        </is>
      </c>
      <c r="N2" s="66" t="n"/>
      <c r="O2" s="64">
        <f>VT!H3*VT!D3*投資!G2</f>
        <v/>
      </c>
      <c r="P2" s="57" t="n"/>
      <c r="Q2" s="65" t="inlineStr">
        <is>
          <t>BTC</t>
        </is>
      </c>
      <c r="R2" s="66" t="n"/>
      <c r="S2" s="95">
        <f>(1968.96+177.38)*投資!G2</f>
        <v/>
      </c>
      <c r="T2" s="57" t="n"/>
    </row>
    <row r="3" ht="17.25" customHeight="1">
      <c r="A3" s="50" t="inlineStr">
        <is>
          <t>玉山銀行活存</t>
        </is>
      </c>
      <c r="B3" s="44" t="n"/>
      <c r="C3" s="45" t="n">
        <v>12651</v>
      </c>
      <c r="D3" s="42" t="n"/>
      <c r="E3" s="49" t="inlineStr">
        <is>
          <t>Chase</t>
        </is>
      </c>
      <c r="F3" s="44" t="n"/>
      <c r="G3" s="80" t="n">
        <v>4000</v>
      </c>
      <c r="H3" s="42" t="n"/>
      <c r="I3" s="99" t="inlineStr">
        <is>
          <t>2890</t>
        </is>
      </c>
      <c r="J3" s="78" t="n"/>
      <c r="K3" s="83">
        <f>'2890.TW'!D3*'2890.TW'!C3*0.997</f>
        <v/>
      </c>
      <c r="L3" s="42" t="n"/>
      <c r="M3" s="90" t="n"/>
      <c r="N3" s="78" t="n"/>
      <c r="O3" s="41" t="n"/>
      <c r="P3" s="42" t="n"/>
      <c r="Q3" s="77" t="inlineStr">
        <is>
          <t>ETH</t>
        </is>
      </c>
      <c r="R3" s="78" t="n"/>
      <c r="S3" s="51">
        <f>331.38*投資!G2</f>
        <v/>
      </c>
      <c r="T3" s="42" t="n"/>
    </row>
    <row r="4" ht="15.75" customHeight="1">
      <c r="A4" s="50" t="inlineStr">
        <is>
          <t>一銀iLeo活存</t>
        </is>
      </c>
      <c r="B4" s="44" t="n"/>
      <c r="C4" s="45" t="n">
        <v>120000</v>
      </c>
      <c r="D4" s="42" t="n"/>
      <c r="E4" s="49" t="n"/>
      <c r="F4" s="44" t="n"/>
      <c r="G4" s="80" t="n"/>
      <c r="H4" s="42" t="n"/>
      <c r="I4" s="99" t="n"/>
      <c r="J4" s="78" t="n"/>
      <c r="K4" s="83" t="n"/>
      <c r="L4" s="42" t="n"/>
      <c r="M4" s="90" t="n"/>
      <c r="N4" s="78" t="n"/>
      <c r="O4" s="41" t="n"/>
      <c r="P4" s="42" t="n"/>
      <c r="Q4" s="77" t="inlineStr">
        <is>
          <t>SOL</t>
        </is>
      </c>
      <c r="R4" s="78" t="n"/>
      <c r="S4" s="51">
        <f>262.42*投資!G2</f>
        <v/>
      </c>
      <c r="T4" s="42" t="n"/>
    </row>
    <row r="5" ht="16.5" customHeight="1">
      <c r="A5" s="50" t="inlineStr">
        <is>
          <t>中華郵政活存</t>
        </is>
      </c>
      <c r="B5" s="44" t="n"/>
      <c r="C5" s="45" t="n">
        <v>48513</v>
      </c>
      <c r="D5" s="42" t="n"/>
      <c r="E5" s="49" t="n"/>
      <c r="F5" s="44" t="n"/>
      <c r="G5" s="80" t="n"/>
      <c r="H5" s="42" t="n"/>
      <c r="I5" s="76" t="n"/>
      <c r="J5" s="44" t="n"/>
      <c r="K5" s="83" t="n"/>
      <c r="L5" s="42" t="n"/>
      <c r="M5" s="90" t="n"/>
      <c r="N5" s="78" t="n"/>
      <c r="O5" s="41" t="n"/>
      <c r="P5" s="42" t="n"/>
      <c r="Q5" s="77" t="inlineStr">
        <is>
          <t>USDT</t>
        </is>
      </c>
      <c r="R5" s="78" t="n"/>
      <c r="S5" s="51">
        <f>501.62+136.37</f>
        <v/>
      </c>
      <c r="T5" s="42" t="n"/>
    </row>
    <row r="6" ht="17.25" customHeight="1">
      <c r="A6" s="50" t="inlineStr">
        <is>
          <t>中國信託活存</t>
        </is>
      </c>
      <c r="B6" s="44" t="n"/>
      <c r="C6" s="45" t="n">
        <v>0</v>
      </c>
      <c r="D6" s="42" t="n"/>
      <c r="E6" s="49" t="n"/>
      <c r="F6" s="44" t="n"/>
      <c r="G6" s="80" t="n"/>
      <c r="H6" s="42" t="n"/>
      <c r="I6" s="76" t="n"/>
      <c r="J6" s="44" t="n"/>
      <c r="K6" s="83" t="n"/>
      <c r="L6" s="42" t="n"/>
      <c r="M6" s="63" t="n"/>
      <c r="N6" s="44" t="n"/>
      <c r="O6" s="41" t="n"/>
      <c r="P6" s="42" t="n"/>
      <c r="Q6" s="43" t="n"/>
      <c r="R6" s="44" t="n"/>
      <c r="S6" s="51" t="n"/>
      <c r="T6" s="42" t="n"/>
    </row>
    <row r="7" ht="17.25" customHeight="1">
      <c r="A7" s="50" t="inlineStr">
        <is>
          <t>華南Sny活存</t>
        </is>
      </c>
      <c r="B7" s="44" t="n"/>
      <c r="C7" s="45" t="n">
        <v>100000</v>
      </c>
      <c r="D7" s="42" t="n"/>
      <c r="E7" s="49" t="n"/>
      <c r="F7" s="44" t="n"/>
      <c r="G7" s="80" t="n"/>
      <c r="H7" s="42" t="n"/>
      <c r="I7" s="76" t="n"/>
      <c r="J7" s="44" t="n"/>
      <c r="K7" s="83" t="n"/>
      <c r="L7" s="42" t="n"/>
      <c r="M7" s="63" t="n"/>
      <c r="N7" s="44" t="n"/>
      <c r="O7" s="41" t="n"/>
      <c r="P7" s="42" t="n"/>
      <c r="Q7" s="43" t="n"/>
      <c r="R7" s="44" t="n"/>
      <c r="S7" s="51" t="n"/>
      <c r="T7" s="42" t="n"/>
    </row>
    <row r="8" ht="17.25" customHeight="1">
      <c r="A8" s="50" t="inlineStr">
        <is>
          <t>定存</t>
        </is>
      </c>
      <c r="B8" s="44" t="n"/>
      <c r="C8" s="45" t="n">
        <v>60000</v>
      </c>
      <c r="D8" s="42" t="n"/>
      <c r="E8" s="49" t="n"/>
      <c r="F8" s="44" t="n"/>
      <c r="G8" s="80" t="n"/>
      <c r="H8" s="42" t="n"/>
      <c r="I8" s="76" t="n"/>
      <c r="J8" s="44" t="n"/>
      <c r="K8" s="83" t="n"/>
      <c r="L8" s="42" t="n"/>
      <c r="M8" s="63" t="n"/>
      <c r="N8" s="44" t="n"/>
      <c r="O8" s="41" t="n"/>
      <c r="P8" s="42" t="n"/>
      <c r="Q8" s="43" t="n"/>
      <c r="R8" s="44" t="n"/>
      <c r="S8" s="51" t="n"/>
      <c r="T8" s="42" t="n"/>
    </row>
    <row r="9" ht="17.25" customHeight="1" thickBot="1">
      <c r="A9" s="67" t="inlineStr">
        <is>
          <t>錢包</t>
        </is>
      </c>
      <c r="B9" s="68" t="n"/>
      <c r="C9" s="96" t="n">
        <v>6000</v>
      </c>
      <c r="D9" s="97" t="n"/>
      <c r="E9" s="98" t="n"/>
      <c r="F9" s="59" t="n"/>
      <c r="G9" s="84" t="n"/>
      <c r="H9" s="62" t="n"/>
      <c r="I9" s="85" t="n"/>
      <c r="J9" s="59" t="n"/>
      <c r="K9" s="88" t="n"/>
      <c r="L9" s="62" t="n"/>
      <c r="M9" s="89" t="n"/>
      <c r="N9" s="59" t="n"/>
      <c r="O9" s="91" t="n"/>
      <c r="P9" s="62" t="n"/>
      <c r="Q9" s="58" t="n"/>
      <c r="R9" s="59" t="n"/>
      <c r="S9" s="61" t="n"/>
      <c r="T9" s="62" t="n"/>
    </row>
    <row r="10" ht="17.25" customHeight="1" thickBot="1">
      <c r="A10" s="52" t="inlineStr">
        <is>
          <t>總計</t>
        </is>
      </c>
      <c r="B10" s="53" t="n"/>
      <c r="C10" s="54">
        <f>SUM(C2:D9)</f>
        <v/>
      </c>
      <c r="D10" s="55" t="n"/>
      <c r="E10" s="52" t="inlineStr">
        <is>
          <t>總計</t>
        </is>
      </c>
      <c r="F10" s="53" t="n"/>
      <c r="G10" s="54">
        <f>SUM(G2:H9)*投資!G2</f>
        <v/>
      </c>
      <c r="H10" s="55" t="n"/>
      <c r="I10" s="52" t="inlineStr">
        <is>
          <t>總計</t>
        </is>
      </c>
      <c r="J10" s="53" t="n"/>
      <c r="K10" s="54">
        <f>SUM(K2:L9)</f>
        <v/>
      </c>
      <c r="L10" s="55" t="n"/>
      <c r="M10" s="52" t="inlineStr">
        <is>
          <t>總計</t>
        </is>
      </c>
      <c r="N10" s="53" t="n"/>
      <c r="O10" s="54">
        <f>SUM(O2:P9)</f>
        <v/>
      </c>
      <c r="P10" s="55" t="n"/>
      <c r="Q10" s="52" t="inlineStr">
        <is>
          <t>總計</t>
        </is>
      </c>
      <c r="R10" s="53" t="n"/>
      <c r="S10" s="54">
        <f>SUM(S2:T9)</f>
        <v/>
      </c>
      <c r="T10" s="55" t="n"/>
    </row>
    <row r="11" ht="31.5" customHeight="1" thickBot="1">
      <c r="A11" s="79" t="inlineStr">
        <is>
          <t>總資產</t>
        </is>
      </c>
      <c r="B11" s="55" t="n"/>
      <c r="C11" s="104" t="inlineStr">
        <is>
          <t>負債</t>
        </is>
      </c>
      <c r="D11" s="5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69">
        <f>C10+G10+K10+O10+S10</f>
        <v/>
      </c>
      <c r="B12" s="48" t="n"/>
      <c r="C12" s="72" t="n">
        <v>19182</v>
      </c>
      <c r="D12" s="7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70" t="n"/>
      <c r="B13" s="71" t="n"/>
      <c r="C13" s="74" t="n"/>
      <c r="D13" s="7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79" t="inlineStr">
        <is>
          <t>淨資產</t>
        </is>
      </c>
      <c r="B14" s="48" t="n"/>
      <c r="C14" s="104" t="inlineStr">
        <is>
          <t>負債率</t>
        </is>
      </c>
      <c r="D14" s="4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70" t="n"/>
      <c r="B15" s="71" t="n"/>
      <c r="C15" s="70" t="n"/>
      <c r="D15" s="7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69">
        <f>A12-C12</f>
        <v/>
      </c>
      <c r="B16" s="48" t="n"/>
      <c r="C16" s="81">
        <f>C12/A12</f>
        <v/>
      </c>
      <c r="D16" s="4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70" t="n"/>
      <c r="B17" s="71" t="n"/>
      <c r="C17" s="70" t="n"/>
      <c r="D17" s="7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H5" sqref="H5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05" t="inlineStr">
        <is>
          <t>台股</t>
        </is>
      </c>
      <c r="B1" s="106" t="n"/>
      <c r="C1" s="44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31.63</v>
      </c>
    </row>
    <row r="3" ht="17.25" customHeight="1">
      <c r="A3" s="131">
        <f>('006208.TW'!E3+'00692.TW'!E3+'2890.TW'!E3)-('006208.TW'!F3+'00692.TW'!F3+'2890.TW'!F3)-E2+7345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108" t="n"/>
      <c r="B4" s="108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05" t="inlineStr">
        <is>
          <t>美股</t>
        </is>
      </c>
      <c r="B8" s="106" t="n"/>
      <c r="C8" s="44" t="n"/>
      <c r="D8" s="5" t="n"/>
      <c r="E8" s="105" t="inlineStr">
        <is>
          <t>Total</t>
        </is>
      </c>
      <c r="F8" s="106" t="n"/>
      <c r="G8" s="44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108" t="n"/>
      <c r="B11" s="108" t="n"/>
      <c r="C11" s="132">
        <f>B10-A10</f>
        <v/>
      </c>
      <c r="D11" s="5" t="n"/>
      <c r="E11" s="108" t="n"/>
      <c r="F11" s="108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05" t="inlineStr">
        <is>
          <t>加密貨幣</t>
        </is>
      </c>
      <c r="B15" s="106" t="n"/>
      <c r="C15" s="44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120060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108" t="n"/>
      <c r="B18" s="108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51" sqref="I51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006208.TW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168.85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109" t="n">
        <v>6</v>
      </c>
      <c r="E7" s="109" t="n">
        <v>459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109" t="n">
        <v>20</v>
      </c>
      <c r="E8" s="109" t="n">
        <v>1475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109" t="n">
        <v>40</v>
      </c>
      <c r="E9" s="109" t="n">
        <v>2976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109" t="n">
        <v>20</v>
      </c>
      <c r="E10" s="109" t="n">
        <v>1472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109" t="n">
        <v>21</v>
      </c>
      <c r="E11" s="109" t="n">
        <v>1505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109" t="n">
        <v>21</v>
      </c>
      <c r="E12" s="109" t="n">
        <v>1510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109" t="n">
        <v>30</v>
      </c>
      <c r="E13" s="109" t="n">
        <v>2125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109" t="n">
        <v>21</v>
      </c>
      <c r="E14" s="18" t="n">
        <v>1539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109" t="n">
        <v>20</v>
      </c>
      <c r="E15" s="109" t="n">
        <v>1497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109" t="n"/>
      <c r="E16" s="109" t="n"/>
      <c r="F16" s="109" t="n">
        <v>152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109" t="n">
        <v>20</v>
      </c>
      <c r="E17" s="109" t="n">
        <v>1505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109" t="n">
        <v>20</v>
      </c>
      <c r="E18" s="109" t="n">
        <v>1520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109" t="n">
        <v>20</v>
      </c>
      <c r="E19" s="109" t="n">
        <v>1565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109" t="n">
        <v>19</v>
      </c>
      <c r="E20" s="109" t="n">
        <v>1576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109" t="n">
        <v>17</v>
      </c>
      <c r="E21" s="109" t="n">
        <v>1473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109" t="n">
        <v>16</v>
      </c>
      <c r="E22" s="109" t="n">
        <v>1493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109" t="n">
        <v>17</v>
      </c>
      <c r="E23" s="109" t="n">
        <v>1591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109" t="n">
        <v>15</v>
      </c>
      <c r="E24" s="109" t="n">
        <v>1530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109" t="n">
        <v>13</v>
      </c>
      <c r="E25" s="109" t="n">
        <v>1500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109" t="n">
        <v>16</v>
      </c>
      <c r="E26" s="109" t="n">
        <v>1555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109" t="n"/>
      <c r="E27" s="109" t="n"/>
      <c r="F27" s="109" t="n">
        <v>279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109" t="n">
        <v>1</v>
      </c>
      <c r="E28" s="109" t="n">
        <v>108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109" t="n">
        <v>15</v>
      </c>
      <c r="E29" s="109" t="n">
        <v>1532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109" t="n">
        <v>14</v>
      </c>
      <c r="E30" s="109" t="n">
        <v>1535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109" t="n">
        <v>13</v>
      </c>
      <c r="E31" s="109" t="n">
        <v>1493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109" t="n">
        <v>14</v>
      </c>
      <c r="E32" s="109" t="n">
        <v>1592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109" t="n"/>
      <c r="E33" s="109" t="n"/>
      <c r="F33" s="109" t="n">
        <v>374</v>
      </c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109" t="n">
        <v>2</v>
      </c>
      <c r="E34" s="109" t="n">
        <v>226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109" t="n">
        <v>13</v>
      </c>
      <c r="E35" s="109" t="n">
        <v>1515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109" t="n">
        <v>13</v>
      </c>
      <c r="E36" s="109" t="n">
        <v>1511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109" t="n">
        <v>100</v>
      </c>
      <c r="E37" s="109" t="n">
        <v>10814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109" t="n">
        <v>18</v>
      </c>
      <c r="E38" s="109" t="n">
        <v>1989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109" t="n">
        <v>22</v>
      </c>
      <c r="E39" s="109" t="n">
        <v>2054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109" t="n">
        <v>20</v>
      </c>
      <c r="E40" s="109" t="n">
        <v>2011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109" t="n">
        <v>19</v>
      </c>
      <c r="E41" s="109" t="n">
        <v>2034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109" t="n">
        <v>18</v>
      </c>
      <c r="E42" s="109" t="n">
        <v>2053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109" t="n">
        <v>17</v>
      </c>
      <c r="E43" s="109" t="n">
        <v>2028</v>
      </c>
      <c r="F43" s="109" t="n"/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109" t="n"/>
      <c r="E44" s="109" t="n"/>
      <c r="F44" s="109" t="n">
        <v>647</v>
      </c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109" t="n">
        <v>4</v>
      </c>
      <c r="E45" s="109" t="n">
        <v>499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109" t="n">
        <v>14</v>
      </c>
      <c r="E46" s="109" t="n">
        <v>1996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109" t="n">
        <v>21</v>
      </c>
      <c r="E47" s="109" t="n">
        <v>3016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109" t="n">
        <v>20</v>
      </c>
      <c r="E48" s="109" t="n">
        <v>2971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109" t="n">
        <v>21</v>
      </c>
      <c r="E49" s="109" t="n">
        <v>3051</v>
      </c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109" t="n"/>
      <c r="E50" s="109" t="n"/>
      <c r="F50" s="109" t="n">
        <v>2517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109" t="n">
        <v>17</v>
      </c>
      <c r="E51" s="109" t="n">
        <v>2412</v>
      </c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109" t="n">
        <v>19</v>
      </c>
      <c r="E52" s="109" t="n">
        <v>3029</v>
      </c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7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7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7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49" sqref="E4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2890.TW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7" t="inlineStr">
        <is>
          <t>29.30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109" t="n">
        <v>2000</v>
      </c>
      <c r="E7" s="109" t="n">
        <v>37453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109" t="n">
        <v>65</v>
      </c>
      <c r="E8" s="109" t="n">
        <v>1171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109" t="n">
        <v>50</v>
      </c>
      <c r="E9" s="109" t="n">
        <v>897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109" t="n">
        <v>1000</v>
      </c>
      <c r="E10" s="18" t="n">
        <v>17124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109" t="n">
        <v>50</v>
      </c>
      <c r="E11" s="109" t="n">
        <v>864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109" t="n">
        <v>40</v>
      </c>
      <c r="E12" s="109" t="n">
        <v>0</v>
      </c>
      <c r="F12" s="109" t="n">
        <v>1200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109" t="n">
        <v>50</v>
      </c>
      <c r="E13" s="109" t="n">
        <v>882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109" t="n">
        <v>100</v>
      </c>
      <c r="E14" s="109" t="n">
        <v>1812</v>
      </c>
      <c r="F14" s="109" t="n"/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109" t="n">
        <v>30</v>
      </c>
      <c r="E15" s="109" t="n">
        <v>535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109" t="n">
        <v>47</v>
      </c>
      <c r="E16" s="109" t="n">
        <v>871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109" t="n">
        <v>45</v>
      </c>
      <c r="E17" s="109" t="n">
        <v>869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109" t="n">
        <v>45</v>
      </c>
      <c r="E18" s="109" t="n">
        <v>862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109" t="n">
        <v>44</v>
      </c>
      <c r="E19" s="109" t="n">
        <v>864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109" t="n">
        <v>45</v>
      </c>
      <c r="E20" s="109" t="n">
        <v>875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109" t="n">
        <v>43</v>
      </c>
      <c r="E21" s="109" t="n">
        <v>863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109" t="n">
        <v>41</v>
      </c>
      <c r="E22" s="109" t="n">
        <v>880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109" t="n">
        <v>39</v>
      </c>
      <c r="E23" s="109" t="n">
        <v>879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109" t="n">
        <v>38</v>
      </c>
      <c r="E24" s="109" t="n">
        <v>883</v>
      </c>
      <c r="F24" s="109" t="n"/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109" t="n">
        <v>36</v>
      </c>
      <c r="E26" s="109" t="n">
        <v>893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109" t="n">
        <v>38</v>
      </c>
      <c r="E27" s="109" t="n">
        <v>894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109" t="n">
        <v>96</v>
      </c>
      <c r="E28" s="109" t="n">
        <v>0</v>
      </c>
      <c r="F28" s="109" t="n">
        <v>2880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109" t="n">
        <v>37</v>
      </c>
      <c r="E29" s="109" t="n">
        <v>891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109" t="n">
        <v>63</v>
      </c>
      <c r="E30" s="109" t="n">
        <v>1491</v>
      </c>
      <c r="F30" s="109" t="n"/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109" t="n">
        <v>59</v>
      </c>
      <c r="E31" s="109" t="n">
        <v>1395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109" t="n">
        <v>39</v>
      </c>
      <c r="E32" s="109" t="n">
        <v>889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109" t="n">
        <v>36</v>
      </c>
      <c r="E33" s="109" t="n">
        <v>880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109" t="n">
        <v>38</v>
      </c>
      <c r="E34" s="109" t="n">
        <v>879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109" t="n">
        <v>39</v>
      </c>
      <c r="E35" s="109" t="n">
        <v>880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109" t="n">
        <v>39</v>
      </c>
      <c r="E36" s="109" t="n">
        <v>888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109" t="n">
        <v>44</v>
      </c>
      <c r="E37" s="109" t="n">
        <v>894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109" t="n">
        <v>41</v>
      </c>
      <c r="E38" s="109" t="n">
        <v>898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109" t="n">
        <v>39</v>
      </c>
      <c r="E39" s="109" t="n">
        <v>898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109" t="n">
        <v>36</v>
      </c>
      <c r="E40" s="109" t="n">
        <v>884</v>
      </c>
      <c r="F40" s="109" t="n"/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109" t="n">
        <v>34</v>
      </c>
      <c r="E41" s="109" t="n">
        <v>892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109" t="n">
        <v>36</v>
      </c>
      <c r="E42" s="109" t="n">
        <v>888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109" t="n">
        <v>153</v>
      </c>
      <c r="E43" s="109" t="n">
        <v>0</v>
      </c>
      <c r="F43" s="109" t="n">
        <v>4112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109" t="n">
        <v>167</v>
      </c>
      <c r="E44" s="109" t="n">
        <v>4085</v>
      </c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109" t="n">
        <v>34</v>
      </c>
      <c r="E45" s="109" t="n">
        <v>872</v>
      </c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109" t="n">
        <v>33</v>
      </c>
      <c r="E46" s="109" t="n">
        <v>874</v>
      </c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109" t="n">
        <v>32</v>
      </c>
      <c r="E47" s="109" t="n">
        <v>878</v>
      </c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109" t="n">
        <v>31</v>
      </c>
      <c r="E48" s="109" t="n">
        <v>899</v>
      </c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38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38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38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N50" sqref="N5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VT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6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145.13</t>
        </is>
      </c>
      <c r="I3" s="140">
        <f>投資!G2</f>
        <v/>
      </c>
      <c r="J3" s="117">
        <f>SUM(J7:J505)</f>
        <v/>
      </c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0.326071</v>
      </c>
      <c r="E7" s="109" t="n">
        <v>1000</v>
      </c>
      <c r="F7" s="109" t="n"/>
      <c r="G7" s="44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109" t="n">
        <v>0.325535</v>
      </c>
      <c r="E8" s="109" t="n">
        <v>1000</v>
      </c>
      <c r="F8" s="109" t="n"/>
      <c r="G8" s="44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109" t="n">
        <v>0.321135</v>
      </c>
      <c r="E9" s="109" t="n">
        <v>1000</v>
      </c>
      <c r="F9" s="109" t="n"/>
      <c r="G9" s="44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109" t="n">
        <v>12.84426</v>
      </c>
      <c r="E10" s="18" t="n">
        <v>40004</v>
      </c>
      <c r="F10" s="109" t="n"/>
      <c r="G10" s="44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109" t="n"/>
      <c r="E11" s="109" t="n"/>
      <c r="F11" s="109" t="n">
        <v>126</v>
      </c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109" t="n">
        <v>0.337951</v>
      </c>
      <c r="E12" s="109" t="n">
        <v>1000</v>
      </c>
      <c r="F12" s="109" t="n"/>
      <c r="G12" s="44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109" t="n">
        <v>0.328741</v>
      </c>
      <c r="E13" s="109" t="n">
        <v>1000</v>
      </c>
      <c r="F13" s="109" t="n"/>
      <c r="G13" s="44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109" t="n">
        <v>0.319359</v>
      </c>
      <c r="E14" s="109" t="n">
        <v>1000</v>
      </c>
      <c r="F14" s="109" t="n"/>
      <c r="G14" s="44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109" t="n"/>
      <c r="E15" s="109" t="n"/>
      <c r="F15" s="109" t="n">
        <v>254</v>
      </c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109" t="n">
        <v>0.318718</v>
      </c>
      <c r="E16" s="109" t="n">
        <v>1003</v>
      </c>
      <c r="F16" s="109" t="n"/>
      <c r="G16" s="44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109" t="n">
        <v>0.305353</v>
      </c>
      <c r="E17" s="109" t="n">
        <v>1000</v>
      </c>
      <c r="F17" s="109" t="n"/>
      <c r="G17" s="44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109" t="n">
        <v>0.291167</v>
      </c>
      <c r="E18" s="109" t="n">
        <v>1000</v>
      </c>
      <c r="F18" s="109" t="n"/>
      <c r="G18" s="44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109" t="n"/>
      <c r="E19" s="109" t="n"/>
      <c r="F19" s="109" t="n">
        <v>148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109" t="n">
        <v>0.282856</v>
      </c>
      <c r="E20" s="109" t="n">
        <v>1000</v>
      </c>
      <c r="F20" s="109" t="n"/>
      <c r="G20" s="44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109" t="n">
        <v>0.282434</v>
      </c>
      <c r="E21" s="109" t="n">
        <v>1000</v>
      </c>
      <c r="F21" s="109" t="n"/>
      <c r="G21" s="44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109" t="n">
        <v>0.27448</v>
      </c>
      <c r="E22" s="109" t="n">
        <v>1000</v>
      </c>
      <c r="F22" s="109" t="n"/>
      <c r="G22" s="44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109" t="n"/>
      <c r="E23" s="109" t="n"/>
      <c r="F23" s="109" t="n">
        <v>217</v>
      </c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109" t="n">
        <v>7.77443</v>
      </c>
      <c r="E24" s="109" t="n">
        <v>29003</v>
      </c>
      <c r="F24" s="109" t="n"/>
      <c r="G24" s="44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109" t="n">
        <v>0.84917</v>
      </c>
      <c r="E25" s="109" t="n">
        <v>3000</v>
      </c>
      <c r="F25" s="109" t="n"/>
      <c r="G25" s="44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109" t="n">
        <v>0.8148</v>
      </c>
      <c r="E26" s="109" t="n">
        <v>3000</v>
      </c>
      <c r="F26" s="109" t="n"/>
      <c r="G26" s="44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109" t="n"/>
      <c r="E27" s="109" t="n"/>
      <c r="F27" s="109" t="n">
        <v>241</v>
      </c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109" t="n">
        <v>0.78006</v>
      </c>
      <c r="E28" s="109" t="n">
        <v>3000</v>
      </c>
      <c r="F28" s="109" t="n"/>
      <c r="G28" s="44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109" t="n">
        <v>0.7771</v>
      </c>
      <c r="E29" s="109" t="n">
        <v>3000</v>
      </c>
      <c r="F29" s="109" t="n"/>
      <c r="G29" s="44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109" t="n">
        <v>0.7498</v>
      </c>
      <c r="E30" s="109" t="n">
        <v>3000</v>
      </c>
      <c r="F30" s="109" t="n"/>
      <c r="G30" s="44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109" t="n"/>
      <c r="E31" s="109" t="n"/>
      <c r="F31" s="109" t="n">
        <v>568</v>
      </c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109" t="n">
        <v>0.76234</v>
      </c>
      <c r="E32" s="109" t="n">
        <v>3000</v>
      </c>
      <c r="F32" s="109" t="n"/>
      <c r="G32" s="44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109" t="n">
        <v>0.74614</v>
      </c>
      <c r="E33" s="109" t="n">
        <v>3000</v>
      </c>
      <c r="F33" s="109" t="n"/>
      <c r="G33" s="44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109" t="n">
        <v>0.76347</v>
      </c>
      <c r="E34" s="109" t="n">
        <v>3000</v>
      </c>
      <c r="F34" s="109" t="n"/>
      <c r="G34" s="44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109" t="n"/>
      <c r="E35" s="109" t="n"/>
      <c r="F35" s="109" t="n">
        <v>273</v>
      </c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109" t="n">
        <v>0.88548</v>
      </c>
      <c r="E36" s="109" t="n">
        <v>3000</v>
      </c>
      <c r="F36" s="109" t="n"/>
      <c r="G36" s="44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109" t="n">
        <v>0.84048</v>
      </c>
      <c r="E37" s="109" t="n">
        <v>3000</v>
      </c>
      <c r="F37" s="109" t="n"/>
      <c r="G37" s="44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109" t="n">
        <v>0.7988499999999999</v>
      </c>
      <c r="E38" s="109" t="n">
        <v>3000</v>
      </c>
      <c r="F38" s="109" t="n"/>
      <c r="G38" s="44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109" t="n"/>
      <c r="E39" s="109" t="n"/>
      <c r="F39" s="109" t="n">
        <v>398</v>
      </c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109" t="n">
        <v>1.00626</v>
      </c>
      <c r="E40" s="109" t="n">
        <v>3804.35055</v>
      </c>
      <c r="F40" s="109" t="n"/>
      <c r="G40" s="44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109" t="n">
        <v>0.99724</v>
      </c>
      <c r="E41" s="109" t="n">
        <v>3859.16037</v>
      </c>
      <c r="F41" s="109" t="n"/>
      <c r="G41" s="44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109" t="n">
        <v>0.96232</v>
      </c>
      <c r="E42" s="109" t="n">
        <v>3955.03421</v>
      </c>
      <c r="F42" s="109" t="n"/>
      <c r="G42" s="44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109" t="n">
        <v>-33.10018</v>
      </c>
      <c r="E43" s="109" t="n">
        <v>-135835</v>
      </c>
      <c r="F43" s="109" t="n"/>
      <c r="G43" s="44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109" t="n">
        <v>41.16668</v>
      </c>
      <c r="E44" s="109" t="n">
        <v>170451.20115</v>
      </c>
      <c r="F44" s="109" t="n"/>
      <c r="G44" s="44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109" t="n">
        <v>0.93123</v>
      </c>
      <c r="E45" s="109" t="n">
        <v>3966.6051</v>
      </c>
      <c r="F45" s="109" t="n"/>
      <c r="G45" s="44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109" t="n">
        <v>0.93123</v>
      </c>
      <c r="E46" s="109" t="n">
        <v>4027</v>
      </c>
      <c r="F46" s="109" t="n"/>
      <c r="G46" s="44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109" t="n">
        <v>0.91691</v>
      </c>
      <c r="E47" s="109" t="n">
        <v>4075</v>
      </c>
      <c r="F47" s="109" t="n"/>
      <c r="G47" s="44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109" t="n"/>
      <c r="E48" s="109" t="n"/>
      <c r="F48" s="109">
        <f>36.62*投資!G2</f>
        <v/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109" t="n">
        <v>0.21018</v>
      </c>
      <c r="E49" s="109">
        <f>30.01*投資!G2</f>
        <v/>
      </c>
      <c r="F49" s="109" t="n"/>
      <c r="G49" s="44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109" t="n">
        <v>0.9056</v>
      </c>
      <c r="E50" s="109" t="n">
        <v>4090</v>
      </c>
      <c r="F50" s="109" t="n"/>
      <c r="G50" s="44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n"/>
      <c r="C51" s="141">
        <f>H51*I51</f>
        <v/>
      </c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00692.TW</t>
        </is>
      </c>
      <c r="G1" s="44" t="n"/>
      <c r="H1" s="122" t="n"/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n"/>
      <c r="I2" s="112" t="n"/>
      <c r="J2" s="19" t="n"/>
    </row>
    <row r="3" ht="18.75" customHeight="1">
      <c r="A3" s="111">
        <f>(E3-F3)/D3</f>
        <v/>
      </c>
      <c r="B3" s="114">
        <f>E3/D3</f>
        <v/>
      </c>
      <c r="C3" s="126" t="inlineStr">
        <is>
          <t>61.25</t>
        </is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n"/>
      <c r="I3" s="135" t="n"/>
      <c r="J3" s="117" t="n"/>
    </row>
    <row r="4" ht="18.75" customHeight="1">
      <c r="A4" s="108" t="n"/>
      <c r="B4" s="108" t="n"/>
      <c r="C4" s="113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n"/>
      <c r="I5" s="112" t="n"/>
      <c r="J5" s="112" t="n"/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2023.08.09</t>
        </is>
      </c>
      <c r="C7" s="109" t="n">
        <v>31.92</v>
      </c>
      <c r="D7" s="109" t="n">
        <v>30</v>
      </c>
      <c r="E7" s="109" t="n">
        <v>958</v>
      </c>
      <c r="F7" s="109" t="n"/>
      <c r="G7" s="44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109" t="n">
        <v>31.18</v>
      </c>
      <c r="D8" s="109" t="n">
        <v>1000</v>
      </c>
      <c r="E8" s="109" t="n">
        <v>31224</v>
      </c>
      <c r="F8" s="109" t="n"/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109" t="n">
        <v>31.03</v>
      </c>
      <c r="D9" s="109" t="n">
        <v>30</v>
      </c>
      <c r="E9" s="109" t="n">
        <v>932</v>
      </c>
      <c r="F9" s="109" t="n"/>
      <c r="G9" s="44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109" t="n">
        <v>31.12</v>
      </c>
      <c r="D10" s="109" t="n">
        <v>31</v>
      </c>
      <c r="E10" s="18" t="n">
        <v>966</v>
      </c>
      <c r="F10" s="109" t="n"/>
      <c r="G10" s="44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109" t="n">
        <v>30.79</v>
      </c>
      <c r="D11" s="109" t="n">
        <v>50</v>
      </c>
      <c r="E11" s="109" t="n">
        <v>1541</v>
      </c>
      <c r="F11" s="109" t="n"/>
      <c r="G11" s="44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109" t="n">
        <v>31.67</v>
      </c>
      <c r="D12" s="109" t="n">
        <v>30</v>
      </c>
      <c r="E12" s="109" t="n">
        <v>951</v>
      </c>
      <c r="F12" s="109" t="n"/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109" t="n">
        <v>31.67</v>
      </c>
      <c r="D13" s="109" t="n">
        <v>30</v>
      </c>
      <c r="E13" s="109" t="n">
        <v>951</v>
      </c>
      <c r="F13" s="109" t="n"/>
      <c r="G13" s="44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109" t="n"/>
      <c r="D14" s="109" t="n"/>
      <c r="E14" s="109" t="n"/>
      <c r="F14" s="109" t="n">
        <v>1234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109" t="n">
        <v>32.1</v>
      </c>
      <c r="D15" s="109" t="n">
        <v>30</v>
      </c>
      <c r="E15" s="109" t="n">
        <v>964</v>
      </c>
      <c r="F15" s="109" t="n"/>
      <c r="G15" s="44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109" t="n">
        <v>31.57</v>
      </c>
      <c r="D16" s="109" t="n">
        <v>50</v>
      </c>
      <c r="E16" s="109" t="n">
        <v>1580</v>
      </c>
      <c r="F16" s="109" t="n"/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109" t="n">
        <v>34.36</v>
      </c>
      <c r="D17" s="109" t="n">
        <v>28</v>
      </c>
      <c r="E17" s="109" t="n">
        <v>863</v>
      </c>
      <c r="F17" s="109" t="n"/>
      <c r="G17" s="44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109" t="n">
        <v>35.65</v>
      </c>
      <c r="D18" s="109" t="n">
        <v>26</v>
      </c>
      <c r="E18" s="109" t="n">
        <v>928</v>
      </c>
      <c r="F18" s="109" t="n"/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109" t="n">
        <v>38.24</v>
      </c>
      <c r="D19" s="109" t="n">
        <v>25</v>
      </c>
      <c r="E19" s="109" t="n">
        <v>957</v>
      </c>
      <c r="F19" s="109" t="n"/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109" t="n">
        <v>38.52</v>
      </c>
      <c r="D20" s="109" t="n">
        <v>25</v>
      </c>
      <c r="E20" s="109" t="n">
        <v>964</v>
      </c>
      <c r="F20" s="109" t="n"/>
      <c r="G20" s="44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109" t="n">
        <v>41.65</v>
      </c>
      <c r="D21" s="109" t="n">
        <v>23</v>
      </c>
      <c r="E21" s="109" t="n">
        <v>959</v>
      </c>
      <c r="F21" s="109" t="n"/>
      <c r="G21" s="44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109" t="n">
        <v>46.29</v>
      </c>
      <c r="D22" s="109" t="n">
        <v>21</v>
      </c>
      <c r="E22" s="109" t="n">
        <v>973</v>
      </c>
      <c r="F22" s="109" t="n"/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109" t="n">
        <v>39.24</v>
      </c>
      <c r="D23" s="109" t="n">
        <v>25</v>
      </c>
      <c r="E23" s="109" t="n">
        <v>982</v>
      </c>
      <c r="F23" s="109" t="n"/>
      <c r="G23" s="44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109" t="n"/>
      <c r="D24" s="109" t="n"/>
      <c r="E24" s="109" t="n"/>
      <c r="F24" s="109" t="n">
        <v>593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109" t="n">
        <v>43</v>
      </c>
      <c r="D25" s="109" t="n">
        <v>11</v>
      </c>
      <c r="E25" s="109" t="n">
        <v>474</v>
      </c>
      <c r="F25" s="109" t="n"/>
      <c r="G25" s="44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109" t="n">
        <v>41.04</v>
      </c>
      <c r="D26" s="109" t="n">
        <v>24</v>
      </c>
      <c r="E26" s="109" t="n">
        <v>986</v>
      </c>
      <c r="F26" s="109" t="n"/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109" t="n">
        <v>43.86</v>
      </c>
      <c r="D27" s="109" t="n">
        <v>22</v>
      </c>
      <c r="E27" s="109" t="n">
        <v>965</v>
      </c>
      <c r="F27" s="109" t="n"/>
      <c r="G27" s="44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109" t="n">
        <v>45.76</v>
      </c>
      <c r="D28" s="109" t="n">
        <v>21</v>
      </c>
      <c r="E28" s="109" t="n">
        <v>962</v>
      </c>
      <c r="F28" s="109" t="n"/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109" t="n">
        <v>44.95</v>
      </c>
      <c r="D29" s="109" t="n">
        <v>22</v>
      </c>
      <c r="E29" s="109" t="n">
        <v>990</v>
      </c>
      <c r="F29" s="109" t="n"/>
      <c r="G29" s="44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109" t="n"/>
      <c r="D30" s="109" t="n"/>
      <c r="E30" s="109" t="n"/>
      <c r="F30" s="109" t="n">
        <v>919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109" t="n">
        <v>44.45</v>
      </c>
      <c r="D31" s="109" t="n">
        <v>20</v>
      </c>
      <c r="E31" s="109" t="n">
        <v>890</v>
      </c>
      <c r="F31" s="109" t="n"/>
      <c r="G31" s="44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09" t="n">
        <v>45.95</v>
      </c>
      <c r="D32" s="109" t="n">
        <v>21</v>
      </c>
      <c r="E32" s="109" t="n">
        <v>966</v>
      </c>
      <c r="F32" s="109" t="n"/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109" t="n">
        <v>45.67</v>
      </c>
      <c r="D33" s="109" t="n">
        <v>21</v>
      </c>
      <c r="E33" s="109" t="n">
        <v>960</v>
      </c>
      <c r="F33" s="109" t="n"/>
      <c r="G33" s="44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109" t="n">
        <v>43.82</v>
      </c>
      <c r="D34" s="109" t="n">
        <v>22</v>
      </c>
      <c r="E34" s="109" t="n">
        <v>965</v>
      </c>
      <c r="F34" s="109" t="n"/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109" t="n">
        <v>37.08</v>
      </c>
      <c r="D35" s="109" t="n">
        <v>26</v>
      </c>
      <c r="E35" s="109" t="n">
        <v>965</v>
      </c>
      <c r="F35" s="109" t="n"/>
      <c r="G35" s="44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109" t="n">
        <v>39.92</v>
      </c>
      <c r="D36" s="109" t="n">
        <v>24</v>
      </c>
      <c r="E36" s="109" t="n">
        <v>959</v>
      </c>
      <c r="F36" s="109" t="n"/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109" t="n">
        <v>42.22</v>
      </c>
      <c r="D37" s="109" t="n">
        <v>23</v>
      </c>
      <c r="E37" s="109" t="n">
        <v>972</v>
      </c>
      <c r="F37" s="109" t="n"/>
      <c r="G37" s="44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109" t="n">
        <v>44.82</v>
      </c>
      <c r="D38" s="109" t="n">
        <v>22</v>
      </c>
      <c r="E38" s="109" t="n">
        <v>987</v>
      </c>
      <c r="F38" s="109" t="n"/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109" t="n">
        <v>46.48</v>
      </c>
      <c r="D39" s="109" t="n">
        <v>21</v>
      </c>
      <c r="E39" s="109" t="n">
        <v>977</v>
      </c>
      <c r="F39" s="109" t="n"/>
      <c r="G39" s="44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109" t="n"/>
      <c r="D40" s="109" t="n"/>
      <c r="E40" s="109" t="n"/>
      <c r="F40" s="109" t="n">
        <v>1088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109" t="n">
        <v>48.25</v>
      </c>
      <c r="D41" s="109" t="n">
        <v>20</v>
      </c>
      <c r="E41" s="109" t="n">
        <v>966</v>
      </c>
      <c r="F41" s="109" t="n"/>
      <c r="G41" s="44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09" t="n">
        <v>48.6</v>
      </c>
      <c r="D42" s="109" t="n">
        <v>20</v>
      </c>
      <c r="E42" s="109" t="n">
        <v>973</v>
      </c>
      <c r="F42" s="109" t="n"/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109" t="n">
        <v>48.75</v>
      </c>
      <c r="D43" s="109" t="n">
        <v>-1794</v>
      </c>
      <c r="E43" s="109" t="n"/>
      <c r="F43" s="109" t="n">
        <v>94370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09" t="n"/>
      <c r="D44" s="109" t="n"/>
      <c r="E44" s="109" t="n"/>
      <c r="F44" s="109" t="n"/>
      <c r="G44" s="44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09" t="n"/>
      <c r="D45" s="109" t="n"/>
      <c r="E45" s="109" t="n"/>
      <c r="F45" s="109" t="n"/>
      <c r="G45" s="44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09" t="n"/>
      <c r="D46" s="109" t="n"/>
      <c r="E46" s="109" t="n"/>
      <c r="F46" s="109" t="n"/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09" t="n"/>
      <c r="D47" s="109" t="n"/>
      <c r="E47" s="109" t="n"/>
      <c r="F47" s="109" t="n"/>
      <c r="G47" s="44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09" t="n"/>
      <c r="D48" s="109" t="n"/>
      <c r="E48" s="109" t="n"/>
      <c r="F48" s="109" t="n"/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09" t="n"/>
      <c r="D49" s="109" t="n"/>
      <c r="E49" s="109" t="n"/>
      <c r="F49" s="109" t="n"/>
      <c r="G49" s="44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09" t="n"/>
      <c r="D50" s="109" t="n"/>
      <c r="E50" s="109" t="n"/>
      <c r="F50" s="109" t="n"/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09" t="n"/>
      <c r="D51" s="109" t="n"/>
      <c r="E51" s="109" t="n"/>
      <c r="F51" s="109" t="n"/>
      <c r="G51" s="44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09" t="n"/>
      <c r="D52" s="109" t="n"/>
      <c r="E52" s="109" t="n"/>
      <c r="F52" s="109" t="n"/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09" t="n"/>
      <c r="D53" s="109" t="n"/>
      <c r="E53" s="109" t="n"/>
      <c r="F53" s="109" t="n"/>
      <c r="G53" s="44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09" t="n"/>
      <c r="D54" s="109" t="n"/>
      <c r="E54" s="109" t="n"/>
      <c r="F54" s="109" t="n"/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09" t="n"/>
      <c r="D55" s="109" t="n"/>
      <c r="E55" s="109" t="n"/>
      <c r="F55" s="109" t="n"/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09" t="n"/>
      <c r="D56" s="109" t="n"/>
      <c r="E56" s="109" t="n"/>
      <c r="F56" s="109" t="n"/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09" t="n"/>
      <c r="D57" s="109" t="n"/>
      <c r="E57" s="109" t="n"/>
      <c r="F57" s="109" t="n"/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09" t="n"/>
      <c r="D58" s="109" t="n"/>
      <c r="E58" s="109" t="n"/>
      <c r="F58" s="109" t="n"/>
      <c r="G58" s="44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09" t="n"/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09" t="n"/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09" t="n"/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09" t="n"/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09" t="n"/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09" t="n"/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09" t="n"/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09" t="n"/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09" t="n"/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09" t="n"/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09" t="n"/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09" t="n"/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09" t="n"/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09" t="n"/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09" t="n"/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09" t="n"/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09" t="n"/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09" t="n"/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09" t="n"/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09" t="n"/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09" t="n"/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09" t="n"/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09" t="n"/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09" t="n"/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09" t="n"/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09" t="n"/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09" t="n"/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09" t="n"/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09" t="n"/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09" t="n"/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09" t="n"/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09" t="n"/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09" t="n"/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09" t="n"/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09" t="n"/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09" t="n"/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09" t="n"/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09" t="n"/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09" t="n"/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09" t="n"/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09" t="n"/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09" t="n"/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09" t="n"/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09" t="n"/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09" t="n"/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09" t="n"/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09" t="n"/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09" t="n"/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09" t="n"/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09" t="n"/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09" t="n"/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09" t="n"/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09" t="n"/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09" t="n"/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09" t="n"/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09" t="n"/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09" t="n"/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09" t="n"/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09" t="n"/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09" t="n"/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09" t="n"/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09" t="n"/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09" t="n"/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09" t="n"/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09" t="n"/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09" t="n"/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09" t="n"/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09" t="n"/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09" t="n"/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09" t="n"/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09" t="n"/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09" t="n"/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09" t="n"/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09" t="n"/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09" t="n"/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09" t="n"/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09" t="n"/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09" t="n"/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09" t="n"/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09" t="n"/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09" t="n"/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09" t="n"/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09" t="n"/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09" t="n"/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09" t="n"/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09" t="n"/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09" t="n"/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09" t="n"/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09" t="n"/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09" t="n"/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09" t="n"/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09" t="n"/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09" t="n"/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09" t="n"/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09" t="n"/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09" t="n"/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09" t="n"/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09" t="n"/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09" t="n"/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09" t="n"/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09" t="n"/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09" t="n"/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09" t="n"/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09" t="n"/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09" t="n"/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09" t="n"/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09" t="n"/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09" t="n"/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09" t="n"/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09" t="n"/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09" t="n"/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09" t="n"/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09" t="n"/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09" t="n"/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09" t="n"/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09" t="n"/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09" t="n"/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09" t="n"/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09" t="n"/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09" t="n"/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09" t="n"/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09" t="n"/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09" t="n"/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09" t="n"/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09" t="n"/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09" t="n"/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09" t="n"/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09" t="n"/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09" t="n"/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09" t="n"/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09" t="n"/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09" t="n"/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09" t="n"/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09" t="n"/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09" t="n"/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09" t="n"/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09" t="n"/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09" t="n"/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09" t="n"/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09" t="n"/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09" t="n"/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09" t="n"/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09" t="n"/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09" t="n"/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09" t="n"/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09" t="n"/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09" t="n"/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09" t="n"/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09" t="n"/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09" t="n"/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09" t="n"/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09" t="n"/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09" t="n"/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09" t="n"/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09" t="n"/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09" t="n"/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09" t="n"/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09" t="n"/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09" t="n"/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09" t="n"/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09" t="n"/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09" t="n"/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09" t="n"/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09" t="n"/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09" t="n"/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09" t="n"/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09" t="n"/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09" t="n"/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09" t="n"/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09" t="n"/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09" t="n"/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09" t="n"/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09" t="n"/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09" t="n"/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09" t="n"/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09" t="n"/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09" t="n"/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09" t="n"/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09" t="n"/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09" t="n"/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09" t="n"/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09" t="n"/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09" t="n"/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09" t="n"/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09" t="n"/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09" t="n"/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09" t="n"/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09" t="n"/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09" t="n"/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09" t="n"/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09" t="n"/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09" t="n"/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09" t="n"/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09" t="n"/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09" t="n"/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09" t="n"/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09" t="n"/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09" t="n"/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09" t="n"/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09" t="n"/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09" t="n"/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09" t="n"/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09" t="n"/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09" t="n"/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09" t="n"/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09" t="n"/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09" t="n"/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09" t="n"/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09" t="n"/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09" t="n"/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09" t="n"/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09" t="n"/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09" t="n"/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09" t="n"/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09" t="n"/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09" t="n"/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09" t="n"/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09" t="n"/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09" t="n"/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09" t="n"/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09" t="n"/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09" t="n"/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09" t="n"/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09" t="n"/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09" t="n"/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09" t="n"/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09" t="n"/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09" t="n"/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09" t="n"/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09" t="n"/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09" t="n"/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09" t="n"/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09" t="n"/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09" t="n"/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09" t="n"/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09" t="n"/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09" t="n"/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09" t="n"/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09" t="n"/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09" t="n"/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09" t="n"/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09" t="n"/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09" t="n"/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09" t="n"/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09" t="n"/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09" t="n"/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09" t="n"/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09" t="n"/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09" t="n"/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09" t="n"/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09" t="n"/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09" t="n"/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09" t="n"/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09" t="n"/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09" t="n"/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09" t="n"/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09" t="n"/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09" t="n"/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09" t="n"/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09" t="n"/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09" t="n"/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09" t="n"/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09" t="n"/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09" t="n"/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09" t="n"/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09" t="n"/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09" t="n"/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09" t="n"/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09" t="n"/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09" t="n"/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09" t="n"/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09" t="n"/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09" t="n"/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09" t="n"/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09" t="n"/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09" t="n"/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09" t="n"/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09" t="n"/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09" t="n"/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09" t="n"/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09" t="n"/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09" t="n"/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09" t="n"/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09" t="n"/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09" t="n"/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09" t="n"/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09" t="n"/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09" t="n"/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09" t="n"/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09" t="n"/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09" t="n"/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09" t="n"/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09" t="n"/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09" t="n"/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09" t="n"/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09" t="n"/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09" t="n"/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09" t="n"/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09" t="n"/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09" t="n"/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09" t="n"/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09" t="n"/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09" t="n"/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09" t="n"/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09" t="n"/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09" t="n"/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09" t="n"/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09" t="n"/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09" t="n"/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09" t="n"/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09" t="n"/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09" t="n"/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09" t="n"/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09" t="n"/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09" t="n"/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09" t="n"/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09" t="n"/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09" t="n"/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09" t="n"/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09" t="n"/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09" t="n"/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09" t="n"/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09" t="n"/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09" t="n"/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09" t="n"/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09" t="n"/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09" t="n"/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09" t="n"/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09" t="n"/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09" t="n"/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09" t="n"/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09" t="n"/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09" t="n"/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09" t="n"/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09" t="n"/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09" t="n"/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09" t="n"/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09" t="n"/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09" t="n"/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09" t="n"/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09" t="n"/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09" t="n"/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09" t="n"/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09" t="n"/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09" t="n"/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09" t="n"/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09" t="n"/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09" t="n"/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09" t="n"/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09" t="n"/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09" t="n"/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09" t="n"/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09" t="n"/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09" t="n"/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09" t="n"/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09" t="n"/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09" t="n"/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09" t="n"/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09" t="n"/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09" t="n"/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09" t="n"/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09" t="n"/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09" t="n"/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09" t="n"/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09" t="n"/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09" t="n"/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09" t="n"/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09" t="n"/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09" t="n"/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09" t="n"/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09" t="n"/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09" t="n"/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09" t="n"/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09" t="n"/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09" t="n"/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09" t="n"/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09" t="n"/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09" t="n"/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09" t="n"/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09" t="n"/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09" t="n"/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09" t="n"/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09" t="n"/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09" t="n"/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09" t="n"/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09" t="n"/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09" t="n"/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09" t="n"/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09" t="n"/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09" t="n"/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09" t="n"/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09" t="n"/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09" t="n"/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09" t="n"/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09" t="n"/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09" t="n"/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09" t="n"/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09" t="n"/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09" t="n"/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09" t="n"/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09" t="n"/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09" t="n"/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09" t="n"/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09" t="n"/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09" t="n"/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09" t="n"/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09" t="n"/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09" t="n"/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09" t="n"/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09" t="n"/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09" t="n"/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09" t="n"/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09" t="n"/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09" t="n"/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09" t="n"/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09" t="n"/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09" t="n"/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09" t="n"/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09" t="n"/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09" t="n"/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09" t="n"/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09" t="n"/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09" t="n"/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09" t="n"/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09" t="n"/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09" t="n"/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09" t="n"/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09" t="n"/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09" t="n"/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09" t="n"/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09" t="n"/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09" t="n"/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09" t="n"/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09" t="n"/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09" t="n"/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09" t="n"/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09" t="n"/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09" t="n"/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09" t="n"/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09" t="n"/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09" t="n"/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09" t="n"/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09" t="n"/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09" t="n"/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09" t="n"/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09" t="n"/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09" t="n"/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118" t="inlineStr">
        <is>
          <t>存股統計專用表格</t>
        </is>
      </c>
      <c r="D1" s="119" t="n"/>
      <c r="E1" s="119" t="n"/>
      <c r="F1" s="123" t="inlineStr">
        <is>
          <t>BND</t>
        </is>
      </c>
      <c r="G1" s="44" t="n"/>
      <c r="H1" s="122" t="inlineStr">
        <is>
          <t>USD</t>
        </is>
      </c>
      <c r="I1" s="106" t="n"/>
      <c r="J1" s="44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112" t="inlineStr">
        <is>
          <t>目前市價</t>
        </is>
      </c>
      <c r="I2" s="112" t="inlineStr">
        <is>
          <t>目前匯率</t>
        </is>
      </c>
      <c r="J2" s="112" t="inlineStr">
        <is>
          <t>總成本</t>
        </is>
      </c>
    </row>
    <row r="3" ht="18.75" customHeight="1">
      <c r="A3" s="111">
        <f>(E3-F3)/D3</f>
        <v/>
      </c>
      <c r="B3" s="114">
        <f>E3/D3</f>
        <v/>
      </c>
      <c r="C3" s="127">
        <f>H3*I3</f>
        <v/>
      </c>
      <c r="D3" s="121">
        <f>SUM(D7:D505)</f>
        <v/>
      </c>
      <c r="E3" s="124">
        <f>SUM(E7:E505)</f>
        <v/>
      </c>
      <c r="F3" s="124">
        <f>SUM(F6:G505)</f>
        <v/>
      </c>
      <c r="G3" s="7">
        <f>G4/E3</f>
        <v/>
      </c>
      <c r="H3" s="116" t="inlineStr">
        <is>
          <t>74.18</t>
        </is>
      </c>
      <c r="I3" s="135">
        <f>投資!G2</f>
        <v/>
      </c>
      <c r="J3" s="117">
        <f>SUM(J7:J505)</f>
        <v/>
      </c>
    </row>
    <row r="4" ht="18.75" customHeight="1">
      <c r="A4" s="108" t="n"/>
      <c r="B4" s="108" t="n"/>
      <c r="C4" s="128" t="n"/>
      <c r="D4" s="108" t="n"/>
      <c r="E4" s="108" t="n"/>
      <c r="F4" s="108" t="n"/>
      <c r="G4" s="136">
        <f>D3*C3-E3+F3</f>
        <v/>
      </c>
      <c r="H4" s="113" t="n"/>
      <c r="I4" s="113" t="n"/>
      <c r="J4" s="113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125" t="inlineStr">
        <is>
          <t>股利</t>
        </is>
      </c>
      <c r="G5" s="44" t="n"/>
      <c r="H5" s="112" t="inlineStr">
        <is>
          <t>購入價格</t>
        </is>
      </c>
      <c r="I5" s="112" t="inlineStr">
        <is>
          <t>購入匯率</t>
        </is>
      </c>
      <c r="J5" s="112" t="inlineStr">
        <is>
          <t>購入金額</t>
        </is>
      </c>
    </row>
    <row r="6">
      <c r="A6" s="17" t="n">
        <v>1</v>
      </c>
      <c r="B6" s="110" t="inlineStr">
        <is>
          <t>借券收入</t>
        </is>
      </c>
      <c r="C6" s="106" t="n"/>
      <c r="D6" s="106" t="n"/>
      <c r="E6" s="44" t="n"/>
      <c r="F6" s="115" t="n"/>
      <c r="G6" s="44" t="n"/>
      <c r="H6" s="113" t="n"/>
      <c r="I6" s="113" t="n"/>
      <c r="J6" s="113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109" t="n">
        <v>0.443373</v>
      </c>
      <c r="E7" s="109" t="n">
        <v>1000</v>
      </c>
      <c r="F7" s="109" t="n"/>
      <c r="G7" s="44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109" t="n"/>
      <c r="E8" s="109" t="n"/>
      <c r="F8" s="109" t="n">
        <v>2</v>
      </c>
      <c r="G8" s="44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109" t="n">
        <v>0.441048</v>
      </c>
      <c r="E9" s="109" t="n">
        <v>1000</v>
      </c>
      <c r="F9" s="109" t="n"/>
      <c r="G9" s="44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109" t="n">
        <v>0.440621</v>
      </c>
      <c r="E10" s="18" t="n">
        <v>1000</v>
      </c>
      <c r="F10" s="109" t="n"/>
      <c r="G10" s="44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109" t="n">
        <v>4.405785</v>
      </c>
      <c r="E11" s="109" t="n">
        <v>10001</v>
      </c>
      <c r="F11" s="109" t="n"/>
      <c r="G11" s="44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109" t="n"/>
      <c r="E12" s="109" t="n"/>
      <c r="F12" s="109" t="n">
        <v>4</v>
      </c>
      <c r="G12" s="44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109" t="n">
        <v>0.451706</v>
      </c>
      <c r="E13" s="109" t="n">
        <v>1000</v>
      </c>
      <c r="F13" s="109" t="n"/>
      <c r="G13" s="44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109" t="n"/>
      <c r="E14" s="109" t="n"/>
      <c r="F14" s="109" t="n">
        <v>25</v>
      </c>
      <c r="G14" s="44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109" t="n">
        <v>0.446087</v>
      </c>
      <c r="E15" s="109" t="n">
        <v>1000</v>
      </c>
      <c r="F15" s="109" t="n"/>
      <c r="G15" s="44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109" t="n"/>
      <c r="E16" s="109" t="n"/>
      <c r="F16" s="109" t="n">
        <v>28</v>
      </c>
      <c r="G16" s="44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109" t="n">
        <v>0.439224</v>
      </c>
      <c r="E17" s="109" t="n">
        <v>1000</v>
      </c>
      <c r="F17" s="109" t="n"/>
      <c r="G17" s="44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109" t="n"/>
      <c r="E18" s="109" t="n"/>
      <c r="F18" s="109" t="n">
        <v>29</v>
      </c>
      <c r="G18" s="44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109" t="n"/>
      <c r="E19" s="109" t="n"/>
      <c r="F19" s="109" t="n">
        <v>32</v>
      </c>
      <c r="G19" s="44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109" t="n">
        <v>0.442402</v>
      </c>
      <c r="E20" s="109" t="n">
        <v>1003</v>
      </c>
      <c r="F20" s="109" t="n"/>
      <c r="G20" s="44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109" t="n">
        <v>0.438853</v>
      </c>
      <c r="E21" s="109" t="n">
        <v>1000</v>
      </c>
      <c r="F21" s="109" t="n"/>
      <c r="G21" s="44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109" t="n"/>
      <c r="E22" s="109" t="n"/>
      <c r="F22" s="109" t="n">
        <v>35</v>
      </c>
      <c r="G22" s="44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109" t="n">
        <v>0.434866</v>
      </c>
      <c r="E23" s="109" t="n">
        <v>1000</v>
      </c>
      <c r="F23" s="109" t="n"/>
      <c r="G23" s="44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109" t="n"/>
      <c r="E24" s="109" t="n"/>
      <c r="F24" s="109" t="n">
        <v>35</v>
      </c>
      <c r="G24" s="44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109" t="n">
        <v>0.434236</v>
      </c>
      <c r="E25" s="109" t="n">
        <v>1000</v>
      </c>
      <c r="F25" s="109" t="n"/>
      <c r="G25" s="44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109" t="n"/>
      <c r="E26" s="109" t="n"/>
      <c r="F26" s="109" t="n">
        <v>41</v>
      </c>
      <c r="G26" s="44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109" t="n">
        <v>0.432494</v>
      </c>
      <c r="E27" s="109" t="n">
        <v>1000</v>
      </c>
      <c r="F27" s="109" t="n"/>
      <c r="G27" s="44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109" t="n"/>
      <c r="E28" s="109" t="n"/>
      <c r="F28" s="109" t="n">
        <v>43</v>
      </c>
      <c r="G28" s="44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109" t="n">
        <v>0.42778</v>
      </c>
      <c r="E29" s="109" t="n">
        <v>1000</v>
      </c>
      <c r="F29" s="109" t="n"/>
      <c r="G29" s="44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109" t="n"/>
      <c r="E30" s="109" t="n"/>
      <c r="F30" s="109" t="n">
        <v>46</v>
      </c>
      <c r="G30" s="44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109" t="n">
        <v>0.42549</v>
      </c>
      <c r="E31" s="109" t="n">
        <v>1000</v>
      </c>
      <c r="F31" s="109" t="n"/>
      <c r="G31" s="44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109" t="n"/>
      <c r="E32" s="109" t="n"/>
      <c r="F32" s="109" t="n">
        <v>48</v>
      </c>
      <c r="G32" s="44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109" t="n">
        <v>0.41078</v>
      </c>
      <c r="E33" s="109" t="n">
        <v>1000</v>
      </c>
      <c r="F33" s="109" t="n"/>
      <c r="G33" s="44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109" t="n"/>
      <c r="E34" s="109" t="n"/>
      <c r="F34" s="109" t="n">
        <v>51</v>
      </c>
      <c r="G34" s="44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109" t="n">
        <v>0.41619</v>
      </c>
      <c r="E35" s="109" t="n">
        <v>1000</v>
      </c>
      <c r="F35" s="109" t="n"/>
      <c r="G35" s="44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109" t="n"/>
      <c r="E36" s="109" t="n"/>
      <c r="F36" s="109" t="n">
        <v>53</v>
      </c>
      <c r="G36" s="44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109" t="n">
        <v>0.41966</v>
      </c>
      <c r="E37" s="109" t="n">
        <v>1000</v>
      </c>
      <c r="F37" s="109" t="n"/>
      <c r="G37" s="44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109" t="n"/>
      <c r="E38" s="109" t="n"/>
      <c r="F38" s="109" t="n">
        <v>54</v>
      </c>
      <c r="G38" s="44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109" t="n">
        <v>0.42988</v>
      </c>
      <c r="E39" s="109" t="n">
        <v>1000</v>
      </c>
      <c r="F39" s="109" t="n"/>
      <c r="G39" s="44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109" t="n"/>
      <c r="E40" s="109" t="n"/>
      <c r="F40" s="109" t="n">
        <v>58</v>
      </c>
      <c r="G40" s="44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109" t="n">
        <v>0.41779</v>
      </c>
      <c r="E41" s="109" t="n">
        <v>1000</v>
      </c>
      <c r="F41" s="109" t="n"/>
      <c r="G41" s="44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109" t="n"/>
      <c r="E42" s="109" t="n"/>
      <c r="F42" s="109" t="n">
        <v>60</v>
      </c>
      <c r="G42" s="44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109" t="n"/>
      <c r="E43" s="109" t="n"/>
      <c r="F43" s="109" t="n">
        <v>65</v>
      </c>
      <c r="G43" s="44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109" t="n">
        <v>0.42245</v>
      </c>
      <c r="E44" s="109" t="n">
        <v>1000</v>
      </c>
      <c r="F44" s="109" t="n"/>
      <c r="G44" s="44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109" t="n">
        <v>0.41891</v>
      </c>
      <c r="E45" s="109" t="n">
        <v>1000</v>
      </c>
      <c r="F45" s="109" t="n"/>
      <c r="G45" s="44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109" t="n"/>
      <c r="E46" s="109" t="n"/>
      <c r="F46" s="109" t="n">
        <v>68</v>
      </c>
      <c r="G46" s="44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109" t="n">
        <v>0.41562</v>
      </c>
      <c r="E47" s="109" t="n">
        <v>1000</v>
      </c>
      <c r="F47" s="109" t="n"/>
      <c r="G47" s="44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109" t="n"/>
      <c r="E48" s="109" t="n"/>
      <c r="F48" s="109" t="n">
        <v>66</v>
      </c>
      <c r="G48" s="44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109" t="n">
        <v>0.40957</v>
      </c>
      <c r="E49" s="109" t="n">
        <v>1000</v>
      </c>
      <c r="F49" s="109" t="n"/>
      <c r="G49" s="44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109" t="n"/>
      <c r="E50" s="109" t="n"/>
      <c r="F50" s="109" t="n">
        <v>246</v>
      </c>
      <c r="G50" s="44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109" t="n">
        <v>0.45549</v>
      </c>
      <c r="E51" s="109" t="n">
        <v>1000</v>
      </c>
      <c r="F51" s="109" t="n"/>
      <c r="G51" s="44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109" t="n"/>
      <c r="E52" s="109" t="n"/>
      <c r="F52" s="109" t="n">
        <v>69</v>
      </c>
      <c r="G52" s="44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109" t="n">
        <v>0.46129</v>
      </c>
      <c r="E53" s="109" t="n">
        <v>1000</v>
      </c>
      <c r="F53" s="109" t="n"/>
      <c r="G53" s="44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109" t="n"/>
      <c r="E54" s="109" t="n"/>
      <c r="F54" s="109" t="n">
        <v>72</v>
      </c>
      <c r="G54" s="44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109" t="n"/>
      <c r="E55" s="109" t="n"/>
      <c r="F55" s="109" t="n">
        <v>71</v>
      </c>
      <c r="G55" s="44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109" t="n"/>
      <c r="E56" s="109" t="n"/>
      <c r="F56" s="109" t="n">
        <v>74</v>
      </c>
      <c r="G56" s="44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109" t="n"/>
      <c r="E57" s="109" t="n"/>
      <c r="F57" s="109" t="n">
        <v>76</v>
      </c>
      <c r="G57" s="44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109" t="n">
        <v>-14.781595</v>
      </c>
      <c r="E58" s="109" t="n">
        <v>-32996</v>
      </c>
      <c r="F58" s="109" t="n"/>
      <c r="G58" s="44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109" t="n"/>
      <c r="E59" s="109" t="n"/>
      <c r="F59" s="109" t="n"/>
      <c r="G59" s="44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109" t="n"/>
      <c r="E60" s="109" t="n"/>
      <c r="F60" s="109" t="n"/>
      <c r="G60" s="44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109" t="n"/>
      <c r="E61" s="109" t="n"/>
      <c r="F61" s="109" t="n"/>
      <c r="G61" s="44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109" t="n"/>
      <c r="E62" s="109" t="n"/>
      <c r="F62" s="109" t="n"/>
      <c r="G62" s="44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109" t="n"/>
      <c r="E63" s="109" t="n"/>
      <c r="F63" s="109" t="n"/>
      <c r="G63" s="44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109" t="n"/>
      <c r="E64" s="109" t="n"/>
      <c r="F64" s="109" t="n"/>
      <c r="G64" s="44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109" t="n"/>
      <c r="E65" s="109" t="n"/>
      <c r="F65" s="109" t="n"/>
      <c r="G65" s="44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109" t="n"/>
      <c r="E66" s="109" t="n"/>
      <c r="F66" s="109" t="n"/>
      <c r="G66" s="44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109" t="n"/>
      <c r="E67" s="109" t="n"/>
      <c r="F67" s="109" t="n"/>
      <c r="G67" s="44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109" t="n"/>
      <c r="E68" s="109" t="n"/>
      <c r="F68" s="109" t="n"/>
      <c r="G68" s="44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109" t="n"/>
      <c r="E69" s="109" t="n"/>
      <c r="F69" s="109" t="n"/>
      <c r="G69" s="44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109" t="n"/>
      <c r="E70" s="109" t="n"/>
      <c r="F70" s="109" t="n"/>
      <c r="G70" s="44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109" t="n"/>
      <c r="E71" s="109" t="n"/>
      <c r="F71" s="109" t="n"/>
      <c r="G71" s="44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109" t="n"/>
      <c r="E72" s="109" t="n"/>
      <c r="F72" s="109" t="n"/>
      <c r="G72" s="44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109" t="n"/>
      <c r="E73" s="109" t="n"/>
      <c r="F73" s="109" t="n"/>
      <c r="G73" s="44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109" t="n"/>
      <c r="E74" s="109" t="n"/>
      <c r="F74" s="109" t="n"/>
      <c r="G74" s="44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109" t="n"/>
      <c r="E75" s="109" t="n"/>
      <c r="F75" s="109" t="n"/>
      <c r="G75" s="44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109" t="n"/>
      <c r="E76" s="109" t="n"/>
      <c r="F76" s="109" t="n"/>
      <c r="G76" s="44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109" t="n"/>
      <c r="E77" s="109" t="n"/>
      <c r="F77" s="109" t="n"/>
      <c r="G77" s="44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109" t="n"/>
      <c r="E78" s="109" t="n"/>
      <c r="F78" s="109" t="n"/>
      <c r="G78" s="44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109" t="n"/>
      <c r="E79" s="109" t="n"/>
      <c r="F79" s="109" t="n"/>
      <c r="G79" s="44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109" t="n"/>
      <c r="E80" s="109" t="n"/>
      <c r="F80" s="109" t="n"/>
      <c r="G80" s="44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109" t="n"/>
      <c r="E81" s="109" t="n"/>
      <c r="F81" s="109" t="n"/>
      <c r="G81" s="44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109" t="n"/>
      <c r="E82" s="109" t="n"/>
      <c r="F82" s="109" t="n"/>
      <c r="G82" s="44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109" t="n"/>
      <c r="E83" s="109" t="n"/>
      <c r="F83" s="109" t="n"/>
      <c r="G83" s="44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109" t="n"/>
      <c r="E84" s="109" t="n"/>
      <c r="F84" s="109" t="n"/>
      <c r="G84" s="44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109" t="n"/>
      <c r="E85" s="109" t="n"/>
      <c r="F85" s="109" t="n"/>
      <c r="G85" s="44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109" t="n"/>
      <c r="E86" s="109" t="n"/>
      <c r="F86" s="109" t="n"/>
      <c r="G86" s="44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109" t="n"/>
      <c r="E87" s="109" t="n"/>
      <c r="F87" s="109" t="n"/>
      <c r="G87" s="44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109" t="n"/>
      <c r="E88" s="109" t="n"/>
      <c r="F88" s="109" t="n"/>
      <c r="G88" s="44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109" t="n"/>
      <c r="E89" s="109" t="n"/>
      <c r="F89" s="109" t="n"/>
      <c r="G89" s="44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109" t="n"/>
      <c r="E90" s="109" t="n"/>
      <c r="F90" s="109" t="n"/>
      <c r="G90" s="44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109" t="n"/>
      <c r="E91" s="109" t="n"/>
      <c r="F91" s="109" t="n"/>
      <c r="G91" s="44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109" t="n"/>
      <c r="E92" s="109" t="n"/>
      <c r="F92" s="109" t="n"/>
      <c r="G92" s="44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109" t="n"/>
      <c r="E93" s="109" t="n"/>
      <c r="F93" s="109" t="n"/>
      <c r="G93" s="44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109" t="n"/>
      <c r="E94" s="109" t="n"/>
      <c r="F94" s="109" t="n"/>
      <c r="G94" s="44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109" t="n"/>
      <c r="E95" s="109" t="n"/>
      <c r="F95" s="109" t="n"/>
      <c r="G95" s="44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109" t="n"/>
      <c r="E96" s="109" t="n"/>
      <c r="F96" s="109" t="n"/>
      <c r="G96" s="44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109" t="n"/>
      <c r="E97" s="109" t="n"/>
      <c r="F97" s="109" t="n"/>
      <c r="G97" s="44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109" t="n"/>
      <c r="E98" s="109" t="n"/>
      <c r="F98" s="109" t="n"/>
      <c r="G98" s="44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109" t="n"/>
      <c r="E99" s="109" t="n"/>
      <c r="F99" s="109" t="n"/>
      <c r="G99" s="44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109" t="n"/>
      <c r="E100" s="109" t="n"/>
      <c r="F100" s="109" t="n"/>
      <c r="G100" s="44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109" t="n"/>
      <c r="E101" s="109" t="n"/>
      <c r="F101" s="109" t="n"/>
      <c r="G101" s="44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109" t="n"/>
      <c r="E102" s="109" t="n"/>
      <c r="F102" s="109" t="n"/>
      <c r="G102" s="44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109" t="n"/>
      <c r="E103" s="109" t="n"/>
      <c r="F103" s="109" t="n"/>
      <c r="G103" s="44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109" t="n"/>
      <c r="E104" s="109" t="n"/>
      <c r="F104" s="109" t="n"/>
      <c r="G104" s="44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109" t="n"/>
      <c r="E105" s="109" t="n"/>
      <c r="F105" s="109" t="n"/>
      <c r="G105" s="44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109" t="n"/>
      <c r="E106" s="109" t="n"/>
      <c r="F106" s="109" t="n"/>
      <c r="G106" s="44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109" t="n"/>
      <c r="E107" s="109" t="n"/>
      <c r="F107" s="109" t="n"/>
      <c r="G107" s="44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109" t="n"/>
      <c r="E108" s="109" t="n"/>
      <c r="F108" s="109" t="n"/>
      <c r="G108" s="44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109" t="n"/>
      <c r="E109" s="109" t="n"/>
      <c r="F109" s="109" t="n"/>
      <c r="G109" s="44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109" t="n"/>
      <c r="E110" s="109" t="n"/>
      <c r="F110" s="109" t="n"/>
      <c r="G110" s="44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109" t="n"/>
      <c r="E111" s="109" t="n"/>
      <c r="F111" s="109" t="n"/>
      <c r="G111" s="44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109" t="n"/>
      <c r="E112" s="109" t="n"/>
      <c r="F112" s="109" t="n"/>
      <c r="G112" s="44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109" t="n"/>
      <c r="E113" s="109" t="n"/>
      <c r="F113" s="109" t="n"/>
      <c r="G113" s="44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109" t="n"/>
      <c r="E114" s="109" t="n"/>
      <c r="F114" s="109" t="n"/>
      <c r="G114" s="44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109" t="n"/>
      <c r="E115" s="109" t="n"/>
      <c r="F115" s="109" t="n"/>
      <c r="G115" s="44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109" t="n"/>
      <c r="E116" s="109" t="n"/>
      <c r="F116" s="109" t="n"/>
      <c r="G116" s="44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109" t="n"/>
      <c r="E117" s="109" t="n"/>
      <c r="F117" s="109" t="n"/>
      <c r="G117" s="44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109" t="n"/>
      <c r="E118" s="109" t="n"/>
      <c r="F118" s="109" t="n"/>
      <c r="G118" s="44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109" t="n"/>
      <c r="E119" s="109" t="n"/>
      <c r="F119" s="109" t="n"/>
      <c r="G119" s="44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109" t="n"/>
      <c r="E120" s="109" t="n"/>
      <c r="F120" s="109" t="n"/>
      <c r="G120" s="44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109" t="n"/>
      <c r="E121" s="109" t="n"/>
      <c r="F121" s="109" t="n"/>
      <c r="G121" s="44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109" t="n"/>
      <c r="E122" s="109" t="n"/>
      <c r="F122" s="109" t="n"/>
      <c r="G122" s="44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109" t="n"/>
      <c r="E123" s="109" t="n"/>
      <c r="F123" s="109" t="n"/>
      <c r="G123" s="44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109" t="n"/>
      <c r="E124" s="109" t="n"/>
      <c r="F124" s="109" t="n"/>
      <c r="G124" s="44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109" t="n"/>
      <c r="E125" s="109" t="n"/>
      <c r="F125" s="109" t="n"/>
      <c r="G125" s="44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109" t="n"/>
      <c r="E126" s="109" t="n"/>
      <c r="F126" s="109" t="n"/>
      <c r="G126" s="44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109" t="n"/>
      <c r="E127" s="109" t="n"/>
      <c r="F127" s="109" t="n"/>
      <c r="G127" s="44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109" t="n"/>
      <c r="E128" s="109" t="n"/>
      <c r="F128" s="109" t="n"/>
      <c r="G128" s="44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109" t="n"/>
      <c r="E129" s="109" t="n"/>
      <c r="F129" s="109" t="n"/>
      <c r="G129" s="44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109" t="n"/>
      <c r="E130" s="109" t="n"/>
      <c r="F130" s="109" t="n"/>
      <c r="G130" s="44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109" t="n"/>
      <c r="E131" s="109" t="n"/>
      <c r="F131" s="109" t="n"/>
      <c r="G131" s="44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109" t="n"/>
      <c r="E132" s="109" t="n"/>
      <c r="F132" s="109" t="n"/>
      <c r="G132" s="44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109" t="n"/>
      <c r="E133" s="109" t="n"/>
      <c r="F133" s="109" t="n"/>
      <c r="G133" s="44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109" t="n"/>
      <c r="E134" s="109" t="n"/>
      <c r="F134" s="109" t="n"/>
      <c r="G134" s="44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109" t="n"/>
      <c r="E135" s="109" t="n"/>
      <c r="F135" s="109" t="n"/>
      <c r="G135" s="44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109" t="n"/>
      <c r="E136" s="109" t="n"/>
      <c r="F136" s="109" t="n"/>
      <c r="G136" s="44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109" t="n"/>
      <c r="E137" s="109" t="n"/>
      <c r="F137" s="109" t="n"/>
      <c r="G137" s="44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109" t="n"/>
      <c r="E138" s="109" t="n"/>
      <c r="F138" s="109" t="n"/>
      <c r="G138" s="44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109" t="n"/>
      <c r="E139" s="109" t="n"/>
      <c r="F139" s="109" t="n"/>
      <c r="G139" s="44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109" t="n"/>
      <c r="E140" s="109" t="n"/>
      <c r="F140" s="109" t="n"/>
      <c r="G140" s="44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109" t="n"/>
      <c r="E141" s="109" t="n"/>
      <c r="F141" s="109" t="n"/>
      <c r="G141" s="44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109" t="n"/>
      <c r="E142" s="109" t="n"/>
      <c r="F142" s="109" t="n"/>
      <c r="G142" s="44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109" t="n"/>
      <c r="E143" s="109" t="n"/>
      <c r="F143" s="109" t="n"/>
      <c r="G143" s="44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109" t="n"/>
      <c r="E144" s="109" t="n"/>
      <c r="F144" s="109" t="n"/>
      <c r="G144" s="44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109" t="n"/>
      <c r="E145" s="109" t="n"/>
      <c r="F145" s="109" t="n"/>
      <c r="G145" s="44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109" t="n"/>
      <c r="E146" s="109" t="n"/>
      <c r="F146" s="109" t="n"/>
      <c r="G146" s="44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109" t="n"/>
      <c r="E147" s="109" t="n"/>
      <c r="F147" s="109" t="n"/>
      <c r="G147" s="44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109" t="n"/>
      <c r="E148" s="109" t="n"/>
      <c r="F148" s="109" t="n"/>
      <c r="G148" s="44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109" t="n"/>
      <c r="E149" s="109" t="n"/>
      <c r="F149" s="109" t="n"/>
      <c r="G149" s="44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109" t="n"/>
      <c r="E150" s="109" t="n"/>
      <c r="F150" s="109" t="n"/>
      <c r="G150" s="44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109" t="n"/>
      <c r="E151" s="109" t="n"/>
      <c r="F151" s="109" t="n"/>
      <c r="G151" s="44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109" t="n"/>
      <c r="E152" s="109" t="n"/>
      <c r="F152" s="109" t="n"/>
      <c r="G152" s="44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109" t="n"/>
      <c r="E153" s="109" t="n"/>
      <c r="F153" s="109" t="n"/>
      <c r="G153" s="44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109" t="n"/>
      <c r="E154" s="109" t="n"/>
      <c r="F154" s="109" t="n"/>
      <c r="G154" s="44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109" t="n"/>
      <c r="E155" s="109" t="n"/>
      <c r="F155" s="109" t="n"/>
      <c r="G155" s="44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109" t="n"/>
      <c r="E156" s="109" t="n"/>
      <c r="F156" s="109" t="n"/>
      <c r="G156" s="44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109" t="n"/>
      <c r="E157" s="109" t="n"/>
      <c r="F157" s="109" t="n"/>
      <c r="G157" s="44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109" t="n"/>
      <c r="E158" s="109" t="n"/>
      <c r="F158" s="109" t="n"/>
      <c r="G158" s="44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109" t="n"/>
      <c r="E159" s="109" t="n"/>
      <c r="F159" s="109" t="n"/>
      <c r="G159" s="44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109" t="n"/>
      <c r="E160" s="109" t="n"/>
      <c r="F160" s="109" t="n"/>
      <c r="G160" s="44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109" t="n"/>
      <c r="E161" s="109" t="n"/>
      <c r="F161" s="109" t="n"/>
      <c r="G161" s="44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109" t="n"/>
      <c r="E162" s="109" t="n"/>
      <c r="F162" s="109" t="n"/>
      <c r="G162" s="44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109" t="n"/>
      <c r="E163" s="109" t="n"/>
      <c r="F163" s="109" t="n"/>
      <c r="G163" s="44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109" t="n"/>
      <c r="E164" s="109" t="n"/>
      <c r="F164" s="109" t="n"/>
      <c r="G164" s="44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109" t="n"/>
      <c r="E165" s="109" t="n"/>
      <c r="F165" s="109" t="n"/>
      <c r="G165" s="44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109" t="n"/>
      <c r="E166" s="109" t="n"/>
      <c r="F166" s="109" t="n"/>
      <c r="G166" s="44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109" t="n"/>
      <c r="E167" s="109" t="n"/>
      <c r="F167" s="109" t="n"/>
      <c r="G167" s="44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109" t="n"/>
      <c r="E168" s="109" t="n"/>
      <c r="F168" s="109" t="n"/>
      <c r="G168" s="44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109" t="n"/>
      <c r="E169" s="109" t="n"/>
      <c r="F169" s="109" t="n"/>
      <c r="G169" s="44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109" t="n"/>
      <c r="E170" s="109" t="n"/>
      <c r="F170" s="109" t="n"/>
      <c r="G170" s="44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109" t="n"/>
      <c r="E171" s="109" t="n"/>
      <c r="F171" s="109" t="n"/>
      <c r="G171" s="44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109" t="n"/>
      <c r="E172" s="109" t="n"/>
      <c r="F172" s="109" t="n"/>
      <c r="G172" s="44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109" t="n"/>
      <c r="E173" s="109" t="n"/>
      <c r="F173" s="109" t="n"/>
      <c r="G173" s="44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109" t="n"/>
      <c r="E174" s="109" t="n"/>
      <c r="F174" s="109" t="n"/>
      <c r="G174" s="44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109" t="n"/>
      <c r="E175" s="109" t="n"/>
      <c r="F175" s="109" t="n"/>
      <c r="G175" s="44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109" t="n"/>
      <c r="E176" s="109" t="n"/>
      <c r="F176" s="109" t="n"/>
      <c r="G176" s="44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109" t="n"/>
      <c r="E177" s="109" t="n"/>
      <c r="F177" s="109" t="n"/>
      <c r="G177" s="44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109" t="n"/>
      <c r="E178" s="109" t="n"/>
      <c r="F178" s="109" t="n"/>
      <c r="G178" s="44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109" t="n"/>
      <c r="E179" s="109" t="n"/>
      <c r="F179" s="109" t="n"/>
      <c r="G179" s="44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109" t="n"/>
      <c r="E180" s="109" t="n"/>
      <c r="F180" s="109" t="n"/>
      <c r="G180" s="44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109" t="n"/>
      <c r="E181" s="109" t="n"/>
      <c r="F181" s="109" t="n"/>
      <c r="G181" s="44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109" t="n"/>
      <c r="E182" s="109" t="n"/>
      <c r="F182" s="109" t="n"/>
      <c r="G182" s="44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109" t="n"/>
      <c r="E183" s="109" t="n"/>
      <c r="F183" s="109" t="n"/>
      <c r="G183" s="44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109" t="n"/>
      <c r="E184" s="109" t="n"/>
      <c r="F184" s="109" t="n"/>
      <c r="G184" s="44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109" t="n"/>
      <c r="E185" s="109" t="n"/>
      <c r="F185" s="109" t="n"/>
      <c r="G185" s="44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109" t="n"/>
      <c r="E186" s="109" t="n"/>
      <c r="F186" s="109" t="n"/>
      <c r="G186" s="44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109" t="n"/>
      <c r="E187" s="109" t="n"/>
      <c r="F187" s="109" t="n"/>
      <c r="G187" s="44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109" t="n"/>
      <c r="E188" s="109" t="n"/>
      <c r="F188" s="109" t="n"/>
      <c r="G188" s="44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109" t="n"/>
      <c r="E189" s="109" t="n"/>
      <c r="F189" s="109" t="n"/>
      <c r="G189" s="44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109" t="n"/>
      <c r="E190" s="109" t="n"/>
      <c r="F190" s="109" t="n"/>
      <c r="G190" s="44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109" t="n"/>
      <c r="E191" s="109" t="n"/>
      <c r="F191" s="109" t="n"/>
      <c r="G191" s="44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109" t="n"/>
      <c r="E192" s="109" t="n"/>
      <c r="F192" s="109" t="n"/>
      <c r="G192" s="44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109" t="n"/>
      <c r="E193" s="109" t="n"/>
      <c r="F193" s="109" t="n"/>
      <c r="G193" s="44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109" t="n"/>
      <c r="E194" s="109" t="n"/>
      <c r="F194" s="109" t="n"/>
      <c r="G194" s="44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109" t="n"/>
      <c r="E195" s="109" t="n"/>
      <c r="F195" s="109" t="n"/>
      <c r="G195" s="44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109" t="n"/>
      <c r="E196" s="109" t="n"/>
      <c r="F196" s="109" t="n"/>
      <c r="G196" s="44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109" t="n"/>
      <c r="E197" s="109" t="n"/>
      <c r="F197" s="109" t="n"/>
      <c r="G197" s="44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109" t="n"/>
      <c r="E198" s="109" t="n"/>
      <c r="F198" s="109" t="n"/>
      <c r="G198" s="44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109" t="n"/>
      <c r="E199" s="109" t="n"/>
      <c r="F199" s="109" t="n"/>
      <c r="G199" s="44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109" t="n"/>
      <c r="E200" s="109" t="n"/>
      <c r="F200" s="109" t="n"/>
      <c r="G200" s="44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109" t="n"/>
      <c r="E201" s="109" t="n"/>
      <c r="F201" s="109" t="n"/>
      <c r="G201" s="44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109" t="n"/>
      <c r="E202" s="109" t="n"/>
      <c r="F202" s="109" t="n"/>
      <c r="G202" s="44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109" t="n"/>
      <c r="E203" s="109" t="n"/>
      <c r="F203" s="109" t="n"/>
      <c r="G203" s="44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109" t="n"/>
      <c r="E204" s="109" t="n"/>
      <c r="F204" s="109" t="n"/>
      <c r="G204" s="44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109" t="n"/>
      <c r="E205" s="109" t="n"/>
      <c r="F205" s="109" t="n"/>
      <c r="G205" s="44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109" t="n"/>
      <c r="E206" s="109" t="n"/>
      <c r="F206" s="109" t="n"/>
      <c r="G206" s="44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109" t="n"/>
      <c r="E207" s="109" t="n"/>
      <c r="F207" s="109" t="n"/>
      <c r="G207" s="44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109" t="n"/>
      <c r="E208" s="109" t="n"/>
      <c r="F208" s="109" t="n"/>
      <c r="G208" s="44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109" t="n"/>
      <c r="E209" s="109" t="n"/>
      <c r="F209" s="109" t="n"/>
      <c r="G209" s="44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109" t="n"/>
      <c r="E210" s="109" t="n"/>
      <c r="F210" s="109" t="n"/>
      <c r="G210" s="44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109" t="n"/>
      <c r="E211" s="109" t="n"/>
      <c r="F211" s="109" t="n"/>
      <c r="G211" s="44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109" t="n"/>
      <c r="E212" s="109" t="n"/>
      <c r="F212" s="109" t="n"/>
      <c r="G212" s="44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109" t="n"/>
      <c r="E213" s="109" t="n"/>
      <c r="F213" s="109" t="n"/>
      <c r="G213" s="44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109" t="n"/>
      <c r="E214" s="109" t="n"/>
      <c r="F214" s="109" t="n"/>
      <c r="G214" s="44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109" t="n"/>
      <c r="E215" s="109" t="n"/>
      <c r="F215" s="109" t="n"/>
      <c r="G215" s="44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109" t="n"/>
      <c r="E216" s="109" t="n"/>
      <c r="F216" s="109" t="n"/>
      <c r="G216" s="44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109" t="n"/>
      <c r="E217" s="109" t="n"/>
      <c r="F217" s="109" t="n"/>
      <c r="G217" s="44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109" t="n"/>
      <c r="E218" s="109" t="n"/>
      <c r="F218" s="109" t="n"/>
      <c r="G218" s="44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109" t="n"/>
      <c r="E219" s="109" t="n"/>
      <c r="F219" s="109" t="n"/>
      <c r="G219" s="44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109" t="n"/>
      <c r="E220" s="109" t="n"/>
      <c r="F220" s="109" t="n"/>
      <c r="G220" s="44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109" t="n"/>
      <c r="E221" s="109" t="n"/>
      <c r="F221" s="109" t="n"/>
      <c r="G221" s="44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109" t="n"/>
      <c r="E222" s="109" t="n"/>
      <c r="F222" s="109" t="n"/>
      <c r="G222" s="44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109" t="n"/>
      <c r="E223" s="109" t="n"/>
      <c r="F223" s="109" t="n"/>
      <c r="G223" s="44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109" t="n"/>
      <c r="E224" s="109" t="n"/>
      <c r="F224" s="109" t="n"/>
      <c r="G224" s="44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109" t="n"/>
      <c r="E225" s="109" t="n"/>
      <c r="F225" s="109" t="n"/>
      <c r="G225" s="44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109" t="n"/>
      <c r="E226" s="109" t="n"/>
      <c r="F226" s="109" t="n"/>
      <c r="G226" s="44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109" t="n"/>
      <c r="E227" s="109" t="n"/>
      <c r="F227" s="109" t="n"/>
      <c r="G227" s="44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109" t="n"/>
      <c r="E228" s="109" t="n"/>
      <c r="F228" s="109" t="n"/>
      <c r="G228" s="44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109" t="n"/>
      <c r="E229" s="109" t="n"/>
      <c r="F229" s="109" t="n"/>
      <c r="G229" s="44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109" t="n"/>
      <c r="E230" s="109" t="n"/>
      <c r="F230" s="109" t="n"/>
      <c r="G230" s="44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109" t="n"/>
      <c r="E231" s="109" t="n"/>
      <c r="F231" s="109" t="n"/>
      <c r="G231" s="44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109" t="n"/>
      <c r="E232" s="109" t="n"/>
      <c r="F232" s="109" t="n"/>
      <c r="G232" s="44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109" t="n"/>
      <c r="E233" s="109" t="n"/>
      <c r="F233" s="109" t="n"/>
      <c r="G233" s="44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109" t="n"/>
      <c r="E234" s="109" t="n"/>
      <c r="F234" s="109" t="n"/>
      <c r="G234" s="44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109" t="n"/>
      <c r="E235" s="109" t="n"/>
      <c r="F235" s="109" t="n"/>
      <c r="G235" s="44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109" t="n"/>
      <c r="E236" s="109" t="n"/>
      <c r="F236" s="109" t="n"/>
      <c r="G236" s="44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109" t="n"/>
      <c r="E237" s="109" t="n"/>
      <c r="F237" s="109" t="n"/>
      <c r="G237" s="44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109" t="n"/>
      <c r="E238" s="109" t="n"/>
      <c r="F238" s="109" t="n"/>
      <c r="G238" s="44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109" t="n"/>
      <c r="E239" s="109" t="n"/>
      <c r="F239" s="109" t="n"/>
      <c r="G239" s="44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109" t="n"/>
      <c r="E240" s="109" t="n"/>
      <c r="F240" s="109" t="n"/>
      <c r="G240" s="44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109" t="n"/>
      <c r="E241" s="109" t="n"/>
      <c r="F241" s="109" t="n"/>
      <c r="G241" s="44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109" t="n"/>
      <c r="E242" s="109" t="n"/>
      <c r="F242" s="109" t="n"/>
      <c r="G242" s="44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109" t="n"/>
      <c r="E243" s="109" t="n"/>
      <c r="F243" s="109" t="n"/>
      <c r="G243" s="44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109" t="n"/>
      <c r="E244" s="109" t="n"/>
      <c r="F244" s="109" t="n"/>
      <c r="G244" s="44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109" t="n"/>
      <c r="E245" s="109" t="n"/>
      <c r="F245" s="109" t="n"/>
      <c r="G245" s="44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109" t="n"/>
      <c r="E246" s="109" t="n"/>
      <c r="F246" s="109" t="n"/>
      <c r="G246" s="44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109" t="n"/>
      <c r="E247" s="109" t="n"/>
      <c r="F247" s="109" t="n"/>
      <c r="G247" s="44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109" t="n"/>
      <c r="E248" s="109" t="n"/>
      <c r="F248" s="109" t="n"/>
      <c r="G248" s="44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109" t="n"/>
      <c r="E249" s="109" t="n"/>
      <c r="F249" s="109" t="n"/>
      <c r="G249" s="44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109" t="n"/>
      <c r="E250" s="109" t="n"/>
      <c r="F250" s="109" t="n"/>
      <c r="G250" s="44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109" t="n"/>
      <c r="E251" s="109" t="n"/>
      <c r="F251" s="109" t="n"/>
      <c r="G251" s="44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109" t="n"/>
      <c r="E252" s="109" t="n"/>
      <c r="F252" s="109" t="n"/>
      <c r="G252" s="44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109" t="n"/>
      <c r="E253" s="109" t="n"/>
      <c r="F253" s="109" t="n"/>
      <c r="G253" s="44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109" t="n"/>
      <c r="E254" s="109" t="n"/>
      <c r="F254" s="109" t="n"/>
      <c r="G254" s="44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109" t="n"/>
      <c r="E255" s="109" t="n"/>
      <c r="F255" s="109" t="n"/>
      <c r="G255" s="44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109" t="n"/>
      <c r="E256" s="109" t="n"/>
      <c r="F256" s="109" t="n"/>
      <c r="G256" s="44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109" t="n"/>
      <c r="E257" s="109" t="n"/>
      <c r="F257" s="109" t="n"/>
      <c r="G257" s="44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109" t="n"/>
      <c r="E258" s="109" t="n"/>
      <c r="F258" s="109" t="n"/>
      <c r="G258" s="44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109" t="n"/>
      <c r="E259" s="109" t="n"/>
      <c r="F259" s="109" t="n"/>
      <c r="G259" s="44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109" t="n"/>
      <c r="E260" s="109" t="n"/>
      <c r="F260" s="109" t="n"/>
      <c r="G260" s="44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109" t="n"/>
      <c r="E261" s="109" t="n"/>
      <c r="F261" s="109" t="n"/>
      <c r="G261" s="44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109" t="n"/>
      <c r="E262" s="109" t="n"/>
      <c r="F262" s="109" t="n"/>
      <c r="G262" s="44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109" t="n"/>
      <c r="E263" s="109" t="n"/>
      <c r="F263" s="109" t="n"/>
      <c r="G263" s="44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109" t="n"/>
      <c r="E264" s="109" t="n"/>
      <c r="F264" s="109" t="n"/>
      <c r="G264" s="44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109" t="n"/>
      <c r="E265" s="109" t="n"/>
      <c r="F265" s="109" t="n"/>
      <c r="G265" s="44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109" t="n"/>
      <c r="E266" s="109" t="n"/>
      <c r="F266" s="109" t="n"/>
      <c r="G266" s="44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109" t="n"/>
      <c r="E267" s="109" t="n"/>
      <c r="F267" s="109" t="n"/>
      <c r="G267" s="44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109" t="n"/>
      <c r="E268" s="109" t="n"/>
      <c r="F268" s="109" t="n"/>
      <c r="G268" s="44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109" t="n"/>
      <c r="E269" s="109" t="n"/>
      <c r="F269" s="109" t="n"/>
      <c r="G269" s="44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109" t="n"/>
      <c r="E270" s="109" t="n"/>
      <c r="F270" s="109" t="n"/>
      <c r="G270" s="44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109" t="n"/>
      <c r="E271" s="109" t="n"/>
      <c r="F271" s="109" t="n"/>
      <c r="G271" s="44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109" t="n"/>
      <c r="E272" s="109" t="n"/>
      <c r="F272" s="109" t="n"/>
      <c r="G272" s="44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109" t="n"/>
      <c r="E273" s="109" t="n"/>
      <c r="F273" s="109" t="n"/>
      <c r="G273" s="44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109" t="n"/>
      <c r="E274" s="109" t="n"/>
      <c r="F274" s="109" t="n"/>
      <c r="G274" s="44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109" t="n"/>
      <c r="E275" s="109" t="n"/>
      <c r="F275" s="109" t="n"/>
      <c r="G275" s="44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109" t="n"/>
      <c r="E276" s="109" t="n"/>
      <c r="F276" s="109" t="n"/>
      <c r="G276" s="44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109" t="n"/>
      <c r="E277" s="109" t="n"/>
      <c r="F277" s="109" t="n"/>
      <c r="G277" s="44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109" t="n"/>
      <c r="E278" s="109" t="n"/>
      <c r="F278" s="109" t="n"/>
      <c r="G278" s="44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109" t="n"/>
      <c r="E279" s="109" t="n"/>
      <c r="F279" s="109" t="n"/>
      <c r="G279" s="44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109" t="n"/>
      <c r="E280" s="109" t="n"/>
      <c r="F280" s="109" t="n"/>
      <c r="G280" s="44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109" t="n"/>
      <c r="E281" s="109" t="n"/>
      <c r="F281" s="109" t="n"/>
      <c r="G281" s="44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109" t="n"/>
      <c r="E282" s="109" t="n"/>
      <c r="F282" s="109" t="n"/>
      <c r="G282" s="44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109" t="n"/>
      <c r="E283" s="109" t="n"/>
      <c r="F283" s="109" t="n"/>
      <c r="G283" s="44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109" t="n"/>
      <c r="E284" s="109" t="n"/>
      <c r="F284" s="109" t="n"/>
      <c r="G284" s="44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109" t="n"/>
      <c r="E285" s="109" t="n"/>
      <c r="F285" s="109" t="n"/>
      <c r="G285" s="44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109" t="n"/>
      <c r="E286" s="109" t="n"/>
      <c r="F286" s="109" t="n"/>
      <c r="G286" s="44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109" t="n"/>
      <c r="E287" s="109" t="n"/>
      <c r="F287" s="109" t="n"/>
      <c r="G287" s="44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109" t="n"/>
      <c r="E288" s="109" t="n"/>
      <c r="F288" s="109" t="n"/>
      <c r="G288" s="44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109" t="n"/>
      <c r="E289" s="109" t="n"/>
      <c r="F289" s="109" t="n"/>
      <c r="G289" s="44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109" t="n"/>
      <c r="E290" s="109" t="n"/>
      <c r="F290" s="109" t="n"/>
      <c r="G290" s="44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109" t="n"/>
      <c r="E291" s="109" t="n"/>
      <c r="F291" s="109" t="n"/>
      <c r="G291" s="44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109" t="n"/>
      <c r="E292" s="109" t="n"/>
      <c r="F292" s="109" t="n"/>
      <c r="G292" s="44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109" t="n"/>
      <c r="E293" s="109" t="n"/>
      <c r="F293" s="109" t="n"/>
      <c r="G293" s="44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109" t="n"/>
      <c r="E294" s="109" t="n"/>
      <c r="F294" s="109" t="n"/>
      <c r="G294" s="44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109" t="n"/>
      <c r="E295" s="109" t="n"/>
      <c r="F295" s="109" t="n"/>
      <c r="G295" s="44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109" t="n"/>
      <c r="E296" s="109" t="n"/>
      <c r="F296" s="109" t="n"/>
      <c r="G296" s="44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109" t="n"/>
      <c r="E297" s="109" t="n"/>
      <c r="F297" s="109" t="n"/>
      <c r="G297" s="44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109" t="n"/>
      <c r="E298" s="109" t="n"/>
      <c r="F298" s="109" t="n"/>
      <c r="G298" s="44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109" t="n"/>
      <c r="E299" s="109" t="n"/>
      <c r="F299" s="109" t="n"/>
      <c r="G299" s="44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109" t="n"/>
      <c r="E300" s="109" t="n"/>
      <c r="F300" s="109" t="n"/>
      <c r="G300" s="44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109" t="n"/>
      <c r="E301" s="109" t="n"/>
      <c r="F301" s="109" t="n"/>
      <c r="G301" s="44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109" t="n"/>
      <c r="E302" s="109" t="n"/>
      <c r="F302" s="109" t="n"/>
      <c r="G302" s="44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109" t="n"/>
      <c r="E303" s="109" t="n"/>
      <c r="F303" s="109" t="n"/>
      <c r="G303" s="44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109" t="n"/>
      <c r="E304" s="109" t="n"/>
      <c r="F304" s="109" t="n"/>
      <c r="G304" s="44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109" t="n"/>
      <c r="E305" s="109" t="n"/>
      <c r="F305" s="109" t="n"/>
      <c r="G305" s="44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109" t="n"/>
      <c r="E306" s="109" t="n"/>
      <c r="F306" s="109" t="n"/>
      <c r="G306" s="44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109" t="n"/>
      <c r="E307" s="109" t="n"/>
      <c r="F307" s="109" t="n"/>
      <c r="G307" s="44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109" t="n"/>
      <c r="E308" s="109" t="n"/>
      <c r="F308" s="109" t="n"/>
      <c r="G308" s="44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109" t="n"/>
      <c r="E309" s="109" t="n"/>
      <c r="F309" s="109" t="n"/>
      <c r="G309" s="44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109" t="n"/>
      <c r="E310" s="109" t="n"/>
      <c r="F310" s="109" t="n"/>
      <c r="G310" s="44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109" t="n"/>
      <c r="E311" s="109" t="n"/>
      <c r="F311" s="109" t="n"/>
      <c r="G311" s="44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109" t="n"/>
      <c r="E312" s="109" t="n"/>
      <c r="F312" s="109" t="n"/>
      <c r="G312" s="44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109" t="n"/>
      <c r="E313" s="109" t="n"/>
      <c r="F313" s="109" t="n"/>
      <c r="G313" s="44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109" t="n"/>
      <c r="E314" s="109" t="n"/>
      <c r="F314" s="109" t="n"/>
      <c r="G314" s="44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109" t="n"/>
      <c r="E315" s="109" t="n"/>
      <c r="F315" s="109" t="n"/>
      <c r="G315" s="44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109" t="n"/>
      <c r="E316" s="109" t="n"/>
      <c r="F316" s="109" t="n"/>
      <c r="G316" s="44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109" t="n"/>
      <c r="E317" s="109" t="n"/>
      <c r="F317" s="109" t="n"/>
      <c r="G317" s="44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109" t="n"/>
      <c r="E318" s="109" t="n"/>
      <c r="F318" s="109" t="n"/>
      <c r="G318" s="44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109" t="n"/>
      <c r="E319" s="109" t="n"/>
      <c r="F319" s="109" t="n"/>
      <c r="G319" s="44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109" t="n"/>
      <c r="E320" s="109" t="n"/>
      <c r="F320" s="109" t="n"/>
      <c r="G320" s="44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109" t="n"/>
      <c r="E321" s="109" t="n"/>
      <c r="F321" s="109" t="n"/>
      <c r="G321" s="44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109" t="n"/>
      <c r="E322" s="109" t="n"/>
      <c r="F322" s="109" t="n"/>
      <c r="G322" s="44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109" t="n"/>
      <c r="E323" s="109" t="n"/>
      <c r="F323" s="109" t="n"/>
      <c r="G323" s="44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109" t="n"/>
      <c r="E324" s="109" t="n"/>
      <c r="F324" s="109" t="n"/>
      <c r="G324" s="44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109" t="n"/>
      <c r="E325" s="109" t="n"/>
      <c r="F325" s="109" t="n"/>
      <c r="G325" s="44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109" t="n"/>
      <c r="E326" s="109" t="n"/>
      <c r="F326" s="109" t="n"/>
      <c r="G326" s="44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109" t="n"/>
      <c r="E327" s="109" t="n"/>
      <c r="F327" s="109" t="n"/>
      <c r="G327" s="44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109" t="n"/>
      <c r="E328" s="109" t="n"/>
      <c r="F328" s="109" t="n"/>
      <c r="G328" s="44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109" t="n"/>
      <c r="E329" s="109" t="n"/>
      <c r="F329" s="109" t="n"/>
      <c r="G329" s="44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109" t="n"/>
      <c r="E330" s="109" t="n"/>
      <c r="F330" s="109" t="n"/>
      <c r="G330" s="44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109" t="n"/>
      <c r="E331" s="109" t="n"/>
      <c r="F331" s="109" t="n"/>
      <c r="G331" s="44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109" t="n"/>
      <c r="E332" s="109" t="n"/>
      <c r="F332" s="109" t="n"/>
      <c r="G332" s="44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109" t="n"/>
      <c r="E333" s="109" t="n"/>
      <c r="F333" s="109" t="n"/>
      <c r="G333" s="44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109" t="n"/>
      <c r="E334" s="109" t="n"/>
      <c r="F334" s="109" t="n"/>
      <c r="G334" s="44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109" t="n"/>
      <c r="E335" s="109" t="n"/>
      <c r="F335" s="109" t="n"/>
      <c r="G335" s="44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109" t="n"/>
      <c r="E336" s="109" t="n"/>
      <c r="F336" s="109" t="n"/>
      <c r="G336" s="44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109" t="n"/>
      <c r="E337" s="109" t="n"/>
      <c r="F337" s="109" t="n"/>
      <c r="G337" s="44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109" t="n"/>
      <c r="E338" s="109" t="n"/>
      <c r="F338" s="109" t="n"/>
      <c r="G338" s="44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109" t="n"/>
      <c r="E339" s="109" t="n"/>
      <c r="F339" s="109" t="n"/>
      <c r="G339" s="44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109" t="n"/>
      <c r="E340" s="109" t="n"/>
      <c r="F340" s="109" t="n"/>
      <c r="G340" s="44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109" t="n"/>
      <c r="E341" s="109" t="n"/>
      <c r="F341" s="109" t="n"/>
      <c r="G341" s="44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109" t="n"/>
      <c r="E342" s="109" t="n"/>
      <c r="F342" s="109" t="n"/>
      <c r="G342" s="44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109" t="n"/>
      <c r="E343" s="109" t="n"/>
      <c r="F343" s="109" t="n"/>
      <c r="G343" s="44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109" t="n"/>
      <c r="E344" s="109" t="n"/>
      <c r="F344" s="109" t="n"/>
      <c r="G344" s="44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109" t="n"/>
      <c r="E345" s="109" t="n"/>
      <c r="F345" s="109" t="n"/>
      <c r="G345" s="44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109" t="n"/>
      <c r="E346" s="109" t="n"/>
      <c r="F346" s="109" t="n"/>
      <c r="G346" s="44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109" t="n"/>
      <c r="E347" s="109" t="n"/>
      <c r="F347" s="109" t="n"/>
      <c r="G347" s="44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109" t="n"/>
      <c r="E348" s="109" t="n"/>
      <c r="F348" s="109" t="n"/>
      <c r="G348" s="44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109" t="n"/>
      <c r="E349" s="109" t="n"/>
      <c r="F349" s="109" t="n"/>
      <c r="G349" s="44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109" t="n"/>
      <c r="E350" s="109" t="n"/>
      <c r="F350" s="109" t="n"/>
      <c r="G350" s="44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109" t="n"/>
      <c r="E351" s="109" t="n"/>
      <c r="F351" s="109" t="n"/>
      <c r="G351" s="44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109" t="n"/>
      <c r="E352" s="109" t="n"/>
      <c r="F352" s="109" t="n"/>
      <c r="G352" s="44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109" t="n"/>
      <c r="E353" s="109" t="n"/>
      <c r="F353" s="109" t="n"/>
      <c r="G353" s="44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109" t="n"/>
      <c r="E354" s="109" t="n"/>
      <c r="F354" s="109" t="n"/>
      <c r="G354" s="44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109" t="n"/>
      <c r="E355" s="109" t="n"/>
      <c r="F355" s="109" t="n"/>
      <c r="G355" s="44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109" t="n"/>
      <c r="E356" s="109" t="n"/>
      <c r="F356" s="109" t="n"/>
      <c r="G356" s="44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109" t="n"/>
      <c r="E357" s="109" t="n"/>
      <c r="F357" s="109" t="n"/>
      <c r="G357" s="44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109" t="n"/>
      <c r="E358" s="109" t="n"/>
      <c r="F358" s="109" t="n"/>
      <c r="G358" s="44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109" t="n"/>
      <c r="E359" s="109" t="n"/>
      <c r="F359" s="109" t="n"/>
      <c r="G359" s="44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109" t="n"/>
      <c r="E360" s="109" t="n"/>
      <c r="F360" s="109" t="n"/>
      <c r="G360" s="44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109" t="n"/>
      <c r="E361" s="109" t="n"/>
      <c r="F361" s="109" t="n"/>
      <c r="G361" s="44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109" t="n"/>
      <c r="E362" s="109" t="n"/>
      <c r="F362" s="109" t="n"/>
      <c r="G362" s="44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109" t="n"/>
      <c r="E363" s="109" t="n"/>
      <c r="F363" s="109" t="n"/>
      <c r="G363" s="44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109" t="n"/>
      <c r="E364" s="109" t="n"/>
      <c r="F364" s="109" t="n"/>
      <c r="G364" s="44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109" t="n"/>
      <c r="E365" s="109" t="n"/>
      <c r="F365" s="109" t="n"/>
      <c r="G365" s="44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109" t="n"/>
      <c r="E366" s="109" t="n"/>
      <c r="F366" s="109" t="n"/>
      <c r="G366" s="44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109" t="n"/>
      <c r="E367" s="109" t="n"/>
      <c r="F367" s="109" t="n"/>
      <c r="G367" s="44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109" t="n"/>
      <c r="E368" s="109" t="n"/>
      <c r="F368" s="109" t="n"/>
      <c r="G368" s="44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109" t="n"/>
      <c r="E369" s="109" t="n"/>
      <c r="F369" s="109" t="n"/>
      <c r="G369" s="44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109" t="n"/>
      <c r="E370" s="109" t="n"/>
      <c r="F370" s="109" t="n"/>
      <c r="G370" s="44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109" t="n"/>
      <c r="E371" s="109" t="n"/>
      <c r="F371" s="109" t="n"/>
      <c r="G371" s="44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109" t="n"/>
      <c r="E372" s="109" t="n"/>
      <c r="F372" s="109" t="n"/>
      <c r="G372" s="44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109" t="n"/>
      <c r="E373" s="109" t="n"/>
      <c r="F373" s="109" t="n"/>
      <c r="G373" s="44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109" t="n"/>
      <c r="E374" s="109" t="n"/>
      <c r="F374" s="109" t="n"/>
      <c r="G374" s="44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109" t="n"/>
      <c r="E375" s="109" t="n"/>
      <c r="F375" s="109" t="n"/>
      <c r="G375" s="44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109" t="n"/>
      <c r="E376" s="109" t="n"/>
      <c r="F376" s="109" t="n"/>
      <c r="G376" s="44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109" t="n"/>
      <c r="E377" s="109" t="n"/>
      <c r="F377" s="109" t="n"/>
      <c r="G377" s="44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109" t="n"/>
      <c r="E378" s="109" t="n"/>
      <c r="F378" s="109" t="n"/>
      <c r="G378" s="44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109" t="n"/>
      <c r="E379" s="109" t="n"/>
      <c r="F379" s="109" t="n"/>
      <c r="G379" s="44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109" t="n"/>
      <c r="E380" s="109" t="n"/>
      <c r="F380" s="109" t="n"/>
      <c r="G380" s="44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109" t="n"/>
      <c r="E381" s="109" t="n"/>
      <c r="F381" s="109" t="n"/>
      <c r="G381" s="44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109" t="n"/>
      <c r="E382" s="109" t="n"/>
      <c r="F382" s="109" t="n"/>
      <c r="G382" s="44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109" t="n"/>
      <c r="E383" s="109" t="n"/>
      <c r="F383" s="109" t="n"/>
      <c r="G383" s="44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109" t="n"/>
      <c r="E384" s="109" t="n"/>
      <c r="F384" s="109" t="n"/>
      <c r="G384" s="44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109" t="n"/>
      <c r="E385" s="109" t="n"/>
      <c r="F385" s="109" t="n"/>
      <c r="G385" s="44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109" t="n"/>
      <c r="E386" s="109" t="n"/>
      <c r="F386" s="109" t="n"/>
      <c r="G386" s="44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109" t="n"/>
      <c r="E387" s="109" t="n"/>
      <c r="F387" s="109" t="n"/>
      <c r="G387" s="44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109" t="n"/>
      <c r="E388" s="109" t="n"/>
      <c r="F388" s="109" t="n"/>
      <c r="G388" s="44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109" t="n"/>
      <c r="E389" s="109" t="n"/>
      <c r="F389" s="109" t="n"/>
      <c r="G389" s="44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109" t="n"/>
      <c r="E390" s="109" t="n"/>
      <c r="F390" s="109" t="n"/>
      <c r="G390" s="44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109" t="n"/>
      <c r="E391" s="109" t="n"/>
      <c r="F391" s="109" t="n"/>
      <c r="G391" s="44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109" t="n"/>
      <c r="E392" s="109" t="n"/>
      <c r="F392" s="109" t="n"/>
      <c r="G392" s="44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109" t="n"/>
      <c r="E393" s="109" t="n"/>
      <c r="F393" s="109" t="n"/>
      <c r="G393" s="44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109" t="n"/>
      <c r="E394" s="109" t="n"/>
      <c r="F394" s="109" t="n"/>
      <c r="G394" s="44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109" t="n"/>
      <c r="E395" s="109" t="n"/>
      <c r="F395" s="109" t="n"/>
      <c r="G395" s="44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109" t="n"/>
      <c r="E396" s="109" t="n"/>
      <c r="F396" s="109" t="n"/>
      <c r="G396" s="44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109" t="n"/>
      <c r="E397" s="109" t="n"/>
      <c r="F397" s="109" t="n"/>
      <c r="G397" s="44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109" t="n"/>
      <c r="E398" s="109" t="n"/>
      <c r="F398" s="109" t="n"/>
      <c r="G398" s="44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109" t="n"/>
      <c r="E399" s="109" t="n"/>
      <c r="F399" s="109" t="n"/>
      <c r="G399" s="44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109" t="n"/>
      <c r="E400" s="109" t="n"/>
      <c r="F400" s="109" t="n"/>
      <c r="G400" s="44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109" t="n"/>
      <c r="E401" s="109" t="n"/>
      <c r="F401" s="109" t="n"/>
      <c r="G401" s="44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109" t="n"/>
      <c r="E402" s="109" t="n"/>
      <c r="F402" s="109" t="n"/>
      <c r="G402" s="44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109" t="n"/>
      <c r="E403" s="109" t="n"/>
      <c r="F403" s="109" t="n"/>
      <c r="G403" s="44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109" t="n"/>
      <c r="E404" s="109" t="n"/>
      <c r="F404" s="109" t="n"/>
      <c r="G404" s="44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109" t="n"/>
      <c r="E405" s="109" t="n"/>
      <c r="F405" s="109" t="n"/>
      <c r="G405" s="44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109" t="n"/>
      <c r="E406" s="109" t="n"/>
      <c r="F406" s="109" t="n"/>
      <c r="G406" s="44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109" t="n"/>
      <c r="E407" s="109" t="n"/>
      <c r="F407" s="109" t="n"/>
      <c r="G407" s="44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109" t="n"/>
      <c r="E408" s="109" t="n"/>
      <c r="F408" s="109" t="n"/>
      <c r="G408" s="44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109" t="n"/>
      <c r="E409" s="109" t="n"/>
      <c r="F409" s="109" t="n"/>
      <c r="G409" s="44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109" t="n"/>
      <c r="E410" s="109" t="n"/>
      <c r="F410" s="109" t="n"/>
      <c r="G410" s="44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109" t="n"/>
      <c r="E411" s="109" t="n"/>
      <c r="F411" s="109" t="n"/>
      <c r="G411" s="44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109" t="n"/>
      <c r="E412" s="109" t="n"/>
      <c r="F412" s="109" t="n"/>
      <c r="G412" s="44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109" t="n"/>
      <c r="E413" s="109" t="n"/>
      <c r="F413" s="109" t="n"/>
      <c r="G413" s="44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109" t="n"/>
      <c r="E414" s="109" t="n"/>
      <c r="F414" s="109" t="n"/>
      <c r="G414" s="44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109" t="n"/>
      <c r="E415" s="109" t="n"/>
      <c r="F415" s="109" t="n"/>
      <c r="G415" s="44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109" t="n"/>
      <c r="E416" s="109" t="n"/>
      <c r="F416" s="109" t="n"/>
      <c r="G416" s="44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109" t="n"/>
      <c r="E417" s="109" t="n"/>
      <c r="F417" s="109" t="n"/>
      <c r="G417" s="44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109" t="n"/>
      <c r="E418" s="109" t="n"/>
      <c r="F418" s="109" t="n"/>
      <c r="G418" s="44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109" t="n"/>
      <c r="E419" s="109" t="n"/>
      <c r="F419" s="109" t="n"/>
      <c r="G419" s="44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109" t="n"/>
      <c r="E420" s="109" t="n"/>
      <c r="F420" s="109" t="n"/>
      <c r="G420" s="44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109" t="n"/>
      <c r="E421" s="109" t="n"/>
      <c r="F421" s="109" t="n"/>
      <c r="G421" s="44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109" t="n"/>
      <c r="E422" s="109" t="n"/>
      <c r="F422" s="109" t="n"/>
      <c r="G422" s="44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109" t="n"/>
      <c r="E423" s="109" t="n"/>
      <c r="F423" s="109" t="n"/>
      <c r="G423" s="44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109" t="n"/>
      <c r="E424" s="109" t="n"/>
      <c r="F424" s="109" t="n"/>
      <c r="G424" s="44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109" t="n"/>
      <c r="E425" s="109" t="n"/>
      <c r="F425" s="109" t="n"/>
      <c r="G425" s="44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109" t="n"/>
      <c r="E426" s="109" t="n"/>
      <c r="F426" s="109" t="n"/>
      <c r="G426" s="44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109" t="n"/>
      <c r="E427" s="109" t="n"/>
      <c r="F427" s="109" t="n"/>
      <c r="G427" s="44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109" t="n"/>
      <c r="E428" s="109" t="n"/>
      <c r="F428" s="109" t="n"/>
      <c r="G428" s="44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109" t="n"/>
      <c r="E429" s="109" t="n"/>
      <c r="F429" s="109" t="n"/>
      <c r="G429" s="44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109" t="n"/>
      <c r="E430" s="109" t="n"/>
      <c r="F430" s="109" t="n"/>
      <c r="G430" s="44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109" t="n"/>
      <c r="E431" s="109" t="n"/>
      <c r="F431" s="109" t="n"/>
      <c r="G431" s="44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109" t="n"/>
      <c r="E432" s="109" t="n"/>
      <c r="F432" s="109" t="n"/>
      <c r="G432" s="44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109" t="n"/>
      <c r="E433" s="109" t="n"/>
      <c r="F433" s="109" t="n"/>
      <c r="G433" s="44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109" t="n"/>
      <c r="E434" s="109" t="n"/>
      <c r="F434" s="109" t="n"/>
      <c r="G434" s="44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109" t="n"/>
      <c r="E435" s="109" t="n"/>
      <c r="F435" s="109" t="n"/>
      <c r="G435" s="44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109" t="n"/>
      <c r="E436" s="109" t="n"/>
      <c r="F436" s="109" t="n"/>
      <c r="G436" s="44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109" t="n"/>
      <c r="E437" s="109" t="n"/>
      <c r="F437" s="109" t="n"/>
      <c r="G437" s="44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109" t="n"/>
      <c r="E438" s="109" t="n"/>
      <c r="F438" s="109" t="n"/>
      <c r="G438" s="44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109" t="n"/>
      <c r="E439" s="109" t="n"/>
      <c r="F439" s="109" t="n"/>
      <c r="G439" s="44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109" t="n"/>
      <c r="E440" s="109" t="n"/>
      <c r="F440" s="109" t="n"/>
      <c r="G440" s="44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109" t="n"/>
      <c r="E441" s="109" t="n"/>
      <c r="F441" s="109" t="n"/>
      <c r="G441" s="44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109" t="n"/>
      <c r="E442" s="109" t="n"/>
      <c r="F442" s="109" t="n"/>
      <c r="G442" s="44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109" t="n"/>
      <c r="E443" s="109" t="n"/>
      <c r="F443" s="109" t="n"/>
      <c r="G443" s="44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109" t="n"/>
      <c r="E444" s="109" t="n"/>
      <c r="F444" s="109" t="n"/>
      <c r="G444" s="44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109" t="n"/>
      <c r="E445" s="109" t="n"/>
      <c r="F445" s="109" t="n"/>
      <c r="G445" s="44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109" t="n"/>
      <c r="E446" s="109" t="n"/>
      <c r="F446" s="109" t="n"/>
      <c r="G446" s="44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109" t="n"/>
      <c r="E447" s="109" t="n"/>
      <c r="F447" s="109" t="n"/>
      <c r="G447" s="44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109" t="n"/>
      <c r="E448" s="109" t="n"/>
      <c r="F448" s="109" t="n"/>
      <c r="G448" s="44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109" t="n"/>
      <c r="E449" s="109" t="n"/>
      <c r="F449" s="109" t="n"/>
      <c r="G449" s="44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109" t="n"/>
      <c r="E450" s="109" t="n"/>
      <c r="F450" s="109" t="n"/>
      <c r="G450" s="44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109" t="n"/>
      <c r="E451" s="109" t="n"/>
      <c r="F451" s="109" t="n"/>
      <c r="G451" s="44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109" t="n"/>
      <c r="E452" s="109" t="n"/>
      <c r="F452" s="109" t="n"/>
      <c r="G452" s="44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109" t="n"/>
      <c r="E453" s="109" t="n"/>
      <c r="F453" s="109" t="n"/>
      <c r="G453" s="44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109" t="n"/>
      <c r="E454" s="109" t="n"/>
      <c r="F454" s="109" t="n"/>
      <c r="G454" s="44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109" t="n"/>
      <c r="E455" s="109" t="n"/>
      <c r="F455" s="109" t="n"/>
      <c r="G455" s="44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109" t="n"/>
      <c r="E456" s="109" t="n"/>
      <c r="F456" s="109" t="n"/>
      <c r="G456" s="44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109" t="n"/>
      <c r="E457" s="109" t="n"/>
      <c r="F457" s="109" t="n"/>
      <c r="G457" s="44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109" t="n"/>
      <c r="E458" s="109" t="n"/>
      <c r="F458" s="109" t="n"/>
      <c r="G458" s="44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109" t="n"/>
      <c r="E459" s="109" t="n"/>
      <c r="F459" s="109" t="n"/>
      <c r="G459" s="44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109" t="n"/>
      <c r="E460" s="109" t="n"/>
      <c r="F460" s="109" t="n"/>
      <c r="G460" s="44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109" t="n"/>
      <c r="E461" s="109" t="n"/>
      <c r="F461" s="109" t="n"/>
      <c r="G461" s="44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109" t="n"/>
      <c r="E462" s="109" t="n"/>
      <c r="F462" s="109" t="n"/>
      <c r="G462" s="44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109" t="n"/>
      <c r="E463" s="109" t="n"/>
      <c r="F463" s="109" t="n"/>
      <c r="G463" s="44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109" t="n"/>
      <c r="E464" s="109" t="n"/>
      <c r="F464" s="109" t="n"/>
      <c r="G464" s="44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109" t="n"/>
      <c r="E465" s="109" t="n"/>
      <c r="F465" s="109" t="n"/>
      <c r="G465" s="44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109" t="n"/>
      <c r="E466" s="109" t="n"/>
      <c r="F466" s="109" t="n"/>
      <c r="G466" s="44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109" t="n"/>
      <c r="E467" s="109" t="n"/>
      <c r="F467" s="109" t="n"/>
      <c r="G467" s="44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109" t="n"/>
      <c r="E468" s="109" t="n"/>
      <c r="F468" s="109" t="n"/>
      <c r="G468" s="44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109" t="n"/>
      <c r="E469" s="109" t="n"/>
      <c r="F469" s="109" t="n"/>
      <c r="G469" s="44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109" t="n"/>
      <c r="E470" s="109" t="n"/>
      <c r="F470" s="109" t="n"/>
      <c r="G470" s="44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109" t="n"/>
      <c r="E471" s="109" t="n"/>
      <c r="F471" s="109" t="n"/>
      <c r="G471" s="44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109" t="n"/>
      <c r="E472" s="109" t="n"/>
      <c r="F472" s="109" t="n"/>
      <c r="G472" s="44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109" t="n"/>
      <c r="E473" s="109" t="n"/>
      <c r="F473" s="109" t="n"/>
      <c r="G473" s="44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109" t="n"/>
      <c r="E474" s="109" t="n"/>
      <c r="F474" s="109" t="n"/>
      <c r="G474" s="44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109" t="n"/>
      <c r="E475" s="109" t="n"/>
      <c r="F475" s="109" t="n"/>
      <c r="G475" s="44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109" t="n"/>
      <c r="E476" s="109" t="n"/>
      <c r="F476" s="109" t="n"/>
      <c r="G476" s="44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109" t="n"/>
      <c r="E477" s="109" t="n"/>
      <c r="F477" s="109" t="n"/>
      <c r="G477" s="44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109" t="n"/>
      <c r="E478" s="109" t="n"/>
      <c r="F478" s="109" t="n"/>
      <c r="G478" s="44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109" t="n"/>
      <c r="E479" s="109" t="n"/>
      <c r="F479" s="109" t="n"/>
      <c r="G479" s="44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109" t="n"/>
      <c r="E480" s="109" t="n"/>
      <c r="F480" s="109" t="n"/>
      <c r="G480" s="44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109" t="n"/>
      <c r="E481" s="109" t="n"/>
      <c r="F481" s="109" t="n"/>
      <c r="G481" s="44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109" t="n"/>
      <c r="E482" s="109" t="n"/>
      <c r="F482" s="109" t="n"/>
      <c r="G482" s="44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109" t="n"/>
      <c r="E483" s="109" t="n"/>
      <c r="F483" s="109" t="n"/>
      <c r="G483" s="44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109" t="n"/>
      <c r="E484" s="109" t="n"/>
      <c r="F484" s="109" t="n"/>
      <c r="G484" s="44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109" t="n"/>
      <c r="E485" s="109" t="n"/>
      <c r="F485" s="109" t="n"/>
      <c r="G485" s="44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109" t="n"/>
      <c r="E486" s="109" t="n"/>
      <c r="F486" s="109" t="n"/>
      <c r="G486" s="44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109" t="n"/>
      <c r="E487" s="109" t="n"/>
      <c r="F487" s="109" t="n"/>
      <c r="G487" s="44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109" t="n"/>
      <c r="E488" s="109" t="n"/>
      <c r="F488" s="109" t="n"/>
      <c r="G488" s="44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109" t="n"/>
      <c r="E489" s="109" t="n"/>
      <c r="F489" s="109" t="n"/>
      <c r="G489" s="44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109" t="n"/>
      <c r="E490" s="109" t="n"/>
      <c r="F490" s="109" t="n"/>
      <c r="G490" s="44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109" t="n"/>
      <c r="E491" s="109" t="n"/>
      <c r="F491" s="109" t="n"/>
      <c r="G491" s="44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109" t="n"/>
      <c r="E492" s="109" t="n"/>
      <c r="F492" s="109" t="n"/>
      <c r="G492" s="44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109" t="n"/>
      <c r="E493" s="109" t="n"/>
      <c r="F493" s="109" t="n"/>
      <c r="G493" s="44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109" t="n"/>
      <c r="E494" s="109" t="n"/>
      <c r="F494" s="109" t="n"/>
      <c r="G494" s="44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109" t="n"/>
      <c r="E495" s="109" t="n"/>
      <c r="F495" s="109" t="n"/>
      <c r="G495" s="44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109" t="n"/>
      <c r="E496" s="109" t="n"/>
      <c r="F496" s="109" t="n"/>
      <c r="G496" s="44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109" t="n"/>
      <c r="E497" s="109" t="n"/>
      <c r="F497" s="109" t="n"/>
      <c r="G497" s="44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109" t="n"/>
      <c r="E498" s="109" t="n"/>
      <c r="F498" s="109" t="n"/>
      <c r="G498" s="44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109" t="n"/>
      <c r="E499" s="109" t="n"/>
      <c r="F499" s="109" t="n"/>
      <c r="G499" s="44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109" t="n"/>
      <c r="E500" s="109" t="n"/>
      <c r="F500" s="109" t="n"/>
      <c r="G500" s="44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109" t="n"/>
      <c r="E501" s="109" t="n"/>
      <c r="F501" s="109" t="n"/>
      <c r="G501" s="44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109" t="n"/>
      <c r="E502" s="109" t="n"/>
      <c r="F502" s="109" t="n"/>
      <c r="G502" s="44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109" t="n"/>
      <c r="E503" s="109" t="n"/>
      <c r="F503" s="109" t="n"/>
      <c r="G503" s="44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109" t="n"/>
      <c r="E504" s="109" t="n"/>
      <c r="F504" s="109" t="n"/>
      <c r="G504" s="44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109" t="n"/>
      <c r="E505" s="109" t="n"/>
      <c r="F505" s="109" t="n"/>
      <c r="G505" s="44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17:G17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2026-02-04T22:00:08Z</dcterms:modified>
  <cp:lastModifiedBy>劉祐廷</cp:lastModifiedBy>
  <cp:revision>39</cp:revision>
  <cp:lastPrinted>2024-02-22T01:18:13Z</cp:lastPrinted>
</cp:coreProperties>
</file>