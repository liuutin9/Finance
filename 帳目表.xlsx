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414891BF-B145-4ADC-9BA8-FC80C4BF0999}" xr6:coauthVersionLast="47" xr6:coauthVersionMax="47" xr10:uidLastSave="{00000000-0000-0000-0000-000000000000}"/>
  <bookViews>
    <workbookView xWindow="-120" yWindow="-120" windowWidth="29040" windowHeight="15720" tabRatio="679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5" l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G4" i="7" s="1"/>
  <c r="G3" i="7" s="1"/>
  <c r="C3" i="7"/>
  <c r="F3" i="6"/>
  <c r="E3" i="6"/>
  <c r="A3" i="6" s="1"/>
  <c r="D3" i="6"/>
  <c r="G4" i="6" s="1"/>
  <c r="G3" i="6" s="1"/>
  <c r="F3" i="4"/>
  <c r="E3" i="4"/>
  <c r="B3" i="4" s="1"/>
  <c r="D3" i="4"/>
  <c r="G4" i="4" s="1"/>
  <c r="G3" i="4" s="1"/>
  <c r="F3" i="3"/>
  <c r="E3" i="3"/>
  <c r="B3" i="3" s="1"/>
  <c r="D3" i="3"/>
  <c r="G4" i="3" s="1"/>
  <c r="G3" i="3" s="1"/>
  <c r="C12" i="1"/>
  <c r="G10" i="1"/>
  <c r="C10" i="1"/>
  <c r="S7" i="1"/>
  <c r="S6" i="1"/>
  <c r="S5" i="1"/>
  <c r="S10" i="1" s="1"/>
  <c r="B17" i="2" s="1"/>
  <c r="C18" i="2" s="1"/>
  <c r="C17" i="2" s="1"/>
  <c r="S4" i="1"/>
  <c r="S3" i="1"/>
  <c r="S2" i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F53" i="5"/>
  <c r="C53" i="5"/>
  <c r="C52" i="5"/>
  <c r="C51" i="5"/>
  <c r="C50" i="5"/>
  <c r="I49" i="5"/>
  <c r="E49" i="5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D3" i="5"/>
  <c r="O2" i="1" s="1"/>
  <c r="O10" i="1" s="1"/>
  <c r="B10" i="2" s="1"/>
  <c r="C3" i="5"/>
  <c r="A10" i="2" l="1"/>
  <c r="C11" i="2"/>
  <c r="C10" i="2" s="1"/>
  <c r="B3" i="6"/>
  <c r="G4" i="5"/>
  <c r="G3" i="5" s="1"/>
  <c r="K2" i="1"/>
  <c r="K10" i="1" s="1"/>
  <c r="B3" i="2" s="1"/>
  <c r="A3" i="5"/>
  <c r="K3" i="1"/>
  <c r="B3" i="5"/>
  <c r="A3" i="4"/>
  <c r="A3" i="7"/>
  <c r="A3" i="3"/>
  <c r="A3" i="2"/>
  <c r="E10" i="2" s="1"/>
  <c r="C4" i="2" l="1"/>
  <c r="C3" i="2" s="1"/>
  <c r="F10" i="2"/>
  <c r="G11" i="2" s="1"/>
  <c r="G10" i="2" s="1"/>
  <c r="A12" i="1"/>
  <c r="A16" i="1" l="1"/>
  <c r="C16" i="1"/>
</calcChain>
</file>

<file path=xl/sharedStrings.xml><?xml version="1.0" encoding="utf-8"?>
<sst xmlns="http://schemas.openxmlformats.org/spreadsheetml/2006/main" count="387" uniqueCount="164">
  <si>
    <t>存股統計專用表格</t>
  </si>
  <si>
    <t>VT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</si>
  <si>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</si>
  <si>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</si>
  <si>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</si>
  <si>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</si>
  <si>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</si>
  <si>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</si>
  <si>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</si>
  <si>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</si>
  <si>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</si>
  <si>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</si>
  <si>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</si>
  <si>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</si>
  <si>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</si>
  <si>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</si>
  <si>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</si>
  <si>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</si>
  <si>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</si>
  <si>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</si>
  <si>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2023.07.17</t>
  </si>
  <si>
    <t>2023.08.16</t>
  </si>
  <si>
    <t>2023.09.16</t>
  </si>
  <si>
    <t>2023.09.27</t>
  </si>
  <si>
    <t>2023.10.06</t>
  </si>
  <si>
    <t>2023.11.06</t>
  </si>
  <si>
    <t>2023.12.06</t>
  </si>
  <si>
    <t>2023.12.28</t>
  </si>
  <si>
    <t>2024.01.08</t>
  </si>
  <si>
    <t>2024.02.06</t>
  </si>
  <si>
    <t>2024.03.06</t>
  </si>
  <si>
    <t>2024.03.26</t>
  </si>
  <si>
    <t>2024.04.08</t>
  </si>
  <si>
    <t>2024.05.06</t>
  </si>
  <si>
    <t>2024.06.06</t>
  </si>
  <si>
    <t>2024.06.28</t>
  </si>
  <si>
    <t>2024.07.08</t>
  </si>
  <si>
    <t>2024.08.06</t>
  </si>
  <si>
    <t>2024.09.06</t>
  </si>
  <si>
    <t>2024.09.27</t>
  </si>
  <si>
    <t>2024.10.07</t>
  </si>
  <si>
    <t>2024.11.06</t>
  </si>
  <si>
    <t>2024.12.06</t>
  </si>
  <si>
    <t>2024.12.30</t>
  </si>
  <si>
    <t>2025.01.06</t>
  </si>
  <si>
    <t>2025.02.06</t>
  </si>
  <si>
    <t>2025.03.06</t>
  </si>
  <si>
    <t>2025.03.28</t>
  </si>
  <si>
    <t>2025.04.07</t>
  </si>
  <si>
    <t>2025.05.06</t>
  </si>
  <si>
    <t>2025.06.06</t>
  </si>
  <si>
    <t>2025.06.27</t>
  </si>
  <si>
    <t>2025.07.07</t>
  </si>
  <si>
    <t>2025.08.06</t>
  </si>
  <si>
    <t>2025.09.09</t>
  </si>
  <si>
    <t>2025.09.17</t>
  </si>
  <si>
    <t>2025.09.19</t>
  </si>
  <si>
    <t>2025.10.09</t>
  </si>
  <si>
    <t>2025.11.06</t>
  </si>
  <si>
    <t>2025.12.08</t>
  </si>
  <si>
    <t>2025.12.29</t>
  </si>
  <si>
    <t>2026.01.05</t>
  </si>
  <si>
    <t>2026.01.06</t>
  </si>
  <si>
    <t>2026.02.06</t>
  </si>
  <si>
    <t>2026.03.06</t>
  </si>
  <si>
    <t>2026.03.27</t>
  </si>
  <si>
    <t>2026.04.09</t>
  </si>
  <si>
    <t>2026.05.06</t>
  </si>
  <si>
    <t>2026.06.08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</si>
  <si>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</si>
  <si>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</si>
  <si>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</si>
  <si>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</si>
  <si>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</si>
  <si>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</si>
  <si>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</si>
  <si>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</si>
  <si>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</si>
  <si>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</si>
  <si>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</si>
  <si>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</si>
  <si>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</si>
  <si>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</si>
  <si>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</si>
  <si>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</si>
  <si>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</si>
  <si>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</si>
  <si>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</si>
  <si>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</si>
  <si>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</si>
  <si>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</si>
  <si>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</si>
  <si>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</si>
  <si>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</si>
  <si>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</si>
  <si>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</si>
  <si>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</si>
  <si>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</si>
  <si>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</si>
  <si>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</si>
  <si>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</si>
  <si>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</si>
  <si>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</si>
  <si>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</si>
  <si>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2023.07.21</t>
  </si>
  <si>
    <t>2023.08.07</t>
  </si>
  <si>
    <t>2023.08.09</t>
  </si>
  <si>
    <t>2023.09.11</t>
  </si>
  <si>
    <t>2023.10.26</t>
  </si>
  <si>
    <t>2023.12.12</t>
  </si>
  <si>
    <t>2024.02.01</t>
  </si>
  <si>
    <t>2024.02.15</t>
  </si>
  <si>
    <t>2024.08.09</t>
  </si>
  <si>
    <t>2024.08.16</t>
  </si>
  <si>
    <t>2024.12.12</t>
  </si>
  <si>
    <t>2024.12.19</t>
  </si>
  <si>
    <t>2025.08.08</t>
  </si>
  <si>
    <t>2025.08.13</t>
  </si>
  <si>
    <t>2025.09.08</t>
  </si>
  <si>
    <t>2025.10.07</t>
  </si>
  <si>
    <t>2025.12.11</t>
  </si>
  <si>
    <t>2025.12.16</t>
  </si>
  <si>
    <t>2026.04.07</t>
  </si>
  <si>
    <t>2890.TW</t>
  </si>
  <si>
    <t>2023.08.18</t>
  </si>
  <si>
    <t>2023.09.13</t>
  </si>
  <si>
    <t>2023.10.25</t>
  </si>
  <si>
    <t>2023.10.31</t>
  </si>
  <si>
    <t>2023.12.07</t>
  </si>
  <si>
    <t>2024.10.17</t>
  </si>
  <si>
    <t>2024.10.21</t>
  </si>
  <si>
    <t>2025.09.22</t>
  </si>
  <si>
    <t>2025.09.26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</si>
  <si>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</si>
  <si>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</si>
  <si>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</si>
  <si>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</si>
  <si>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</si>
  <si>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</si>
  <si>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</si>
  <si>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</si>
  <si>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</si>
  <si>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</si>
  <si>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</si>
  <si>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</si>
  <si>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</si>
  <si>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</si>
  <si>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</si>
  <si>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</si>
  <si>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</si>
  <si>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</si>
  <si>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</si>
  <si>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</si>
  <si>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</si>
  <si>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</si>
  <si>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</si>
  <si>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</si>
  <si>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</si>
  <si>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</si>
  <si>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</si>
  <si>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</si>
  <si>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</si>
  <si>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</si>
  <si>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2026.06.26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</si>
</sst>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5C2-4D71-ACC4-A11A374E8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5C2-4D71-ACC4-A11A374E8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5C2-4D71-ACC4-A11A374E8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5C2-4D71-ACC4-A11A374E864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5C2-4D71-ACC4-A11A374E8641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19916.337500000001</c:v>
                </c:pt>
                <c:pt idx="2">
                  <c:v>407271.60869999998</c:v>
                </c:pt>
                <c:pt idx="3">
                  <c:v>259568.49364934498</c:v>
                </c:pt>
                <c:pt idx="4">
                  <c:v>235793.31134999997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5C2-4D71-ACC4-A11A374E864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E45-480E-BC2E-128CBB8DD1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E45-480E-BC2E-128CBB8DD1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E45-480E-BC2E-128CBB8DD1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E45-480E-BC2E-128CBB8DD1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E45-480E-BC2E-128CBB8DD1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E45-480E-BC2E-128CBB8DD1C9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206332.04129999998</c:v>
                </c:pt>
                <c:pt idx="1">
                  <c:v>200939.56739999997</c:v>
                </c:pt>
                <c:pt idx="2">
                  <c:v>259568.49364934498</c:v>
                </c:pt>
                <c:pt idx="3">
                  <c:v>69513.845100000006</c:v>
                </c:pt>
                <c:pt idx="4">
                  <c:v>7498.1219000000001</c:v>
                </c:pt>
                <c:pt idx="5">
                  <c:v>9892.5525999999991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E45-480E-BC2E-128CBB8DD1C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S4" sqref="S4:T4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69</v>
      </c>
      <c r="B1" s="67"/>
      <c r="C1" s="67"/>
      <c r="D1" s="68"/>
      <c r="E1" s="80" t="s">
        <v>70</v>
      </c>
      <c r="F1" s="67"/>
      <c r="G1" s="67"/>
      <c r="H1" s="68"/>
      <c r="I1" s="66" t="s">
        <v>71</v>
      </c>
      <c r="J1" s="67"/>
      <c r="K1" s="67"/>
      <c r="L1" s="68"/>
      <c r="M1" s="114" t="s">
        <v>72</v>
      </c>
      <c r="N1" s="67"/>
      <c r="O1" s="67"/>
      <c r="P1" s="68"/>
      <c r="Q1" s="102" t="s">
        <v>73</v>
      </c>
      <c r="R1" s="67"/>
      <c r="S1" s="67"/>
      <c r="T1" s="68"/>
    </row>
    <row r="2" spans="1:26" ht="17.25" customHeight="1" x14ac:dyDescent="0.25">
      <c r="A2" s="120" t="s">
        <v>74</v>
      </c>
      <c r="B2" s="121"/>
      <c r="C2" s="122">
        <v>224827</v>
      </c>
      <c r="D2" s="77"/>
      <c r="E2" s="123" t="s">
        <v>75</v>
      </c>
      <c r="F2" s="121"/>
      <c r="G2" s="106">
        <v>4.72</v>
      </c>
      <c r="H2" s="77"/>
      <c r="I2" s="107" t="s">
        <v>76</v>
      </c>
      <c r="J2" s="86"/>
      <c r="K2" s="76">
        <f>'006208'!D3*'006208'!C3*0.997</f>
        <v>206332.04129999998</v>
      </c>
      <c r="L2" s="77"/>
      <c r="M2" s="112" t="s">
        <v>1</v>
      </c>
      <c r="N2" s="86"/>
      <c r="O2" s="84">
        <f>VT!H3*VT!D3</f>
        <v>259568.49364934498</v>
      </c>
      <c r="P2" s="77"/>
      <c r="Q2" s="85" t="s">
        <v>77</v>
      </c>
      <c r="R2" s="86"/>
      <c r="S2" s="115">
        <f>(682.1+1166.72+328.25)*投資!G2</f>
        <v>69513.845100000006</v>
      </c>
      <c r="T2" s="77"/>
    </row>
    <row r="3" spans="1:26" ht="17.25" customHeight="1" x14ac:dyDescent="0.25">
      <c r="A3" s="70" t="s">
        <v>78</v>
      </c>
      <c r="B3" s="42"/>
      <c r="C3" s="65">
        <v>11601</v>
      </c>
      <c r="D3" s="63"/>
      <c r="E3" s="69" t="s">
        <v>79</v>
      </c>
      <c r="F3" s="42"/>
      <c r="G3" s="100">
        <v>521.76</v>
      </c>
      <c r="H3" s="63"/>
      <c r="I3" s="119" t="s">
        <v>80</v>
      </c>
      <c r="J3" s="98"/>
      <c r="K3" s="103">
        <f>'2890'!D3*'2890'!C3*0.997</f>
        <v>200939.56739999997</v>
      </c>
      <c r="L3" s="63"/>
      <c r="M3" s="110"/>
      <c r="N3" s="98"/>
      <c r="O3" s="62"/>
      <c r="P3" s="63"/>
      <c r="Q3" s="97" t="s">
        <v>81</v>
      </c>
      <c r="R3" s="98"/>
      <c r="S3" s="71">
        <f>234.83*投資!G2</f>
        <v>7498.1219000000001</v>
      </c>
      <c r="T3" s="63"/>
    </row>
    <row r="4" spans="1:26" ht="15.75" customHeight="1" x14ac:dyDescent="0.25">
      <c r="A4" s="70" t="s">
        <v>82</v>
      </c>
      <c r="B4" s="42"/>
      <c r="C4" s="65">
        <v>120075</v>
      </c>
      <c r="D4" s="63"/>
      <c r="E4" s="69" t="s">
        <v>83</v>
      </c>
      <c r="F4" s="42"/>
      <c r="G4" s="100">
        <v>97.27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84</v>
      </c>
      <c r="R4" s="98"/>
      <c r="S4" s="71">
        <f>309.82*投資!G2</f>
        <v>9892.5525999999991</v>
      </c>
      <c r="T4" s="63"/>
    </row>
    <row r="5" spans="1:26" ht="16.5" customHeight="1" x14ac:dyDescent="0.25">
      <c r="A5" s="70" t="s">
        <v>85</v>
      </c>
      <c r="B5" s="42"/>
      <c r="C5" s="65">
        <v>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86</v>
      </c>
      <c r="R5" s="98"/>
      <c r="S5" s="71">
        <f>15.45*投資!G2</f>
        <v>493.31849999999997</v>
      </c>
      <c r="T5" s="63"/>
    </row>
    <row r="6" spans="1:26" ht="17.25" customHeight="1" x14ac:dyDescent="0.25">
      <c r="A6" s="70" t="s">
        <v>87</v>
      </c>
      <c r="B6" s="42"/>
      <c r="C6" s="65">
        <v>2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88</v>
      </c>
      <c r="R6" s="42"/>
      <c r="S6" s="71">
        <f>(502.19+483.32+301.6+2206.02+151.975)*投資!G2</f>
        <v>116388.20265000001</v>
      </c>
      <c r="T6" s="63"/>
    </row>
    <row r="7" spans="1:26" ht="17.25" customHeight="1" x14ac:dyDescent="0.25">
      <c r="A7" s="70" t="s">
        <v>89</v>
      </c>
      <c r="B7" s="42"/>
      <c r="C7" s="65">
        <v>100000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90</v>
      </c>
      <c r="R7" s="42"/>
      <c r="S7" s="71">
        <f>(501.74+500.68)*投資!G2</f>
        <v>32007.270600000003</v>
      </c>
      <c r="T7" s="63"/>
    </row>
    <row r="8" spans="1:26" ht="17.25" customHeight="1" x14ac:dyDescent="0.25">
      <c r="A8" s="70" t="s">
        <v>91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92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93</v>
      </c>
      <c r="B10" s="73"/>
      <c r="C10" s="74">
        <f>SUM(C2:D9)</f>
        <v>517305</v>
      </c>
      <c r="D10" s="75"/>
      <c r="E10" s="72" t="s">
        <v>93</v>
      </c>
      <c r="F10" s="73"/>
      <c r="G10" s="74">
        <f>SUM(G2:H9)*投資!G2</f>
        <v>19916.337500000001</v>
      </c>
      <c r="H10" s="75"/>
      <c r="I10" s="72" t="s">
        <v>93</v>
      </c>
      <c r="J10" s="73"/>
      <c r="K10" s="74">
        <f>SUM(K2:L9)</f>
        <v>407271.60869999998</v>
      </c>
      <c r="L10" s="75"/>
      <c r="M10" s="72" t="s">
        <v>93</v>
      </c>
      <c r="N10" s="73"/>
      <c r="O10" s="74">
        <f>SUM(O2:P9)</f>
        <v>259568.49364934498</v>
      </c>
      <c r="P10" s="75"/>
      <c r="Q10" s="72" t="s">
        <v>93</v>
      </c>
      <c r="R10" s="73"/>
      <c r="S10" s="74">
        <f>SUM(S2:T9)</f>
        <v>235793.31134999997</v>
      </c>
      <c r="T10" s="75"/>
    </row>
    <row r="11" spans="1:26" ht="31.5" customHeight="1" thickBot="1" x14ac:dyDescent="0.3">
      <c r="A11" s="99" t="s">
        <v>94</v>
      </c>
      <c r="B11" s="75"/>
      <c r="C11" s="124" t="s">
        <v>95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1439854.7511993451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96</v>
      </c>
      <c r="B14" s="68"/>
      <c r="C14" s="124" t="s">
        <v>97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1427842.7511993451</v>
      </c>
      <c r="B16" s="68"/>
      <c r="C16" s="101">
        <f>C12/A12</f>
        <v>8.3425081522941497E-3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71</v>
      </c>
      <c r="B1" s="44"/>
      <c r="C1" s="42"/>
      <c r="D1" s="3"/>
      <c r="E1" s="40" t="s">
        <v>98</v>
      </c>
      <c r="F1" s="40" t="s">
        <v>99</v>
      </c>
      <c r="G1" s="40" t="s">
        <v>100</v>
      </c>
    </row>
    <row r="2" spans="1:10" ht="21.75" customHeight="1" x14ac:dyDescent="0.3">
      <c r="A2" s="4" t="s">
        <v>7</v>
      </c>
      <c r="B2" s="4" t="s">
        <v>101</v>
      </c>
      <c r="C2" s="4" t="s">
        <v>9</v>
      </c>
      <c r="D2" s="5"/>
      <c r="E2" s="6">
        <v>304</v>
      </c>
      <c r="F2" s="6">
        <v>0</v>
      </c>
      <c r="G2" s="28">
        <v>31.93</v>
      </c>
    </row>
    <row r="3" spans="1:10" ht="17.25" customHeight="1" x14ac:dyDescent="0.3">
      <c r="A3" s="126">
        <f>('006208'!E3+'00692'!E3+'2890'!E3)-('006208'!F3+'00692'!F3+'2890'!F3)-E2+7345</f>
        <v>149431</v>
      </c>
      <c r="B3" s="126">
        <f>總資產!K10</f>
        <v>407271.60869999998</v>
      </c>
      <c r="C3" s="7">
        <f>C4/A3</f>
        <v>1.7254827224605336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257840.60869999998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72</v>
      </c>
      <c r="B8" s="44"/>
      <c r="C8" s="42"/>
      <c r="D8" s="5"/>
      <c r="E8" s="125" t="s">
        <v>102</v>
      </c>
      <c r="F8" s="44"/>
      <c r="G8" s="42"/>
    </row>
    <row r="9" spans="1:10" ht="15" customHeight="1" x14ac:dyDescent="0.3">
      <c r="A9" s="4" t="s">
        <v>7</v>
      </c>
      <c r="B9" s="4" t="s">
        <v>101</v>
      </c>
      <c r="C9" s="4" t="s">
        <v>9</v>
      </c>
      <c r="D9" s="5"/>
      <c r="E9" s="4" t="s">
        <v>7</v>
      </c>
      <c r="F9" s="4" t="s">
        <v>101</v>
      </c>
      <c r="G9" s="4" t="s">
        <v>9</v>
      </c>
    </row>
    <row r="10" spans="1:10" ht="18" customHeight="1" x14ac:dyDescent="0.3">
      <c r="A10" s="126">
        <f>(BND!E3+VT!E3)-(BND!F3+VT!F3)</f>
        <v>193107.34108000001</v>
      </c>
      <c r="B10" s="126">
        <f>總資產!O10</f>
        <v>259568.49364934498</v>
      </c>
      <c r="C10" s="7">
        <f>C11/A10</f>
        <v>0.34416688768870579</v>
      </c>
      <c r="D10" s="5"/>
      <c r="E10" s="126">
        <f>A3+A10+A17</f>
        <v>596119.34108000004</v>
      </c>
      <c r="F10" s="126">
        <f>B3+B10+B17</f>
        <v>902633.41369934496</v>
      </c>
      <c r="G10" s="7">
        <f>G11/E10</f>
        <v>0.51418239855131675</v>
      </c>
    </row>
    <row r="11" spans="1:10" ht="18" customHeight="1" x14ac:dyDescent="0.3">
      <c r="A11" s="46"/>
      <c r="B11" s="46"/>
      <c r="C11" s="29">
        <f>B10-A10</f>
        <v>66461.152569344966</v>
      </c>
      <c r="D11" s="5"/>
      <c r="E11" s="46"/>
      <c r="F11" s="46"/>
      <c r="G11" s="31">
        <f>F10-E10</f>
        <v>306514.07261934492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73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7</v>
      </c>
      <c r="B16" s="4" t="s">
        <v>101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235793.31134999997</v>
      </c>
      <c r="C17" s="7">
        <f>C18/A17</f>
        <v>-7.0145983531889319E-2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-17787.688650000026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E58" sqref="E58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103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104.13033448673588</v>
      </c>
      <c r="B3" s="49">
        <f>E3/D3</f>
        <v>108.70818915801615</v>
      </c>
      <c r="C3" s="61">
        <v>238.7</v>
      </c>
      <c r="D3" s="56">
        <f>SUM(D7:D505)</f>
        <v>867</v>
      </c>
      <c r="E3" s="59">
        <f>SUM(E7:E505)</f>
        <v>94250</v>
      </c>
      <c r="F3" s="59">
        <f>SUM(F6:G505)</f>
        <v>3969</v>
      </c>
      <c r="G3" s="7">
        <f>G4/E3</f>
        <v>1.2378981432360743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116671.9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104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105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106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107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24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108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25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26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109</v>
      </c>
      <c r="C16" s="33"/>
      <c r="D16" s="26"/>
      <c r="E16" s="26"/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109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28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110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111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30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32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33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34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36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37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112</v>
      </c>
      <c r="C27" s="33"/>
      <c r="D27" s="26"/>
      <c r="E27" s="26"/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113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38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40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41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42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114</v>
      </c>
      <c r="C33" s="33"/>
      <c r="D33" s="26"/>
      <c r="E33" s="26"/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115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44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45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45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46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48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49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50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52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53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116</v>
      </c>
      <c r="C44" s="33"/>
      <c r="D44" s="26"/>
      <c r="E44" s="26"/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117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118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119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58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59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120</v>
      </c>
      <c r="C50" s="33"/>
      <c r="D50" s="26"/>
      <c r="E50" s="26"/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121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62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63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64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122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67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68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3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3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3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54" sqref="E5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123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17.222804972804973</v>
      </c>
      <c r="B3" s="49">
        <f>E3/D3</f>
        <v>18.814102564102566</v>
      </c>
      <c r="C3" s="128">
        <v>39.15</v>
      </c>
      <c r="D3" s="56">
        <f>SUM(D7:D505)</f>
        <v>5148</v>
      </c>
      <c r="E3" s="59">
        <f>SUM(E7:E505)</f>
        <v>96855</v>
      </c>
      <c r="F3" s="59">
        <f>SUM(F6:G505)</f>
        <v>8192</v>
      </c>
      <c r="G3" s="7">
        <f>G4/E3</f>
        <v>1.1654659026379637</v>
      </c>
      <c r="H3" s="51"/>
      <c r="I3" s="127"/>
      <c r="J3" s="52"/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112881.19999999998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105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106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106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124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107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125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24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126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127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25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26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128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28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111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30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32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33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34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36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37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38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39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40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129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130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41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42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44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45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46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48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49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50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52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53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118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131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132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119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58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59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62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63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64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122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67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68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4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4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4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13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C58" sqref="C58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3686.8213385337967</v>
      </c>
      <c r="B3" s="49">
        <f>E3/D3</f>
        <v>3771.000523640093</v>
      </c>
      <c r="C3" s="61">
        <f>H3</f>
        <v>4944.3604999999998</v>
      </c>
      <c r="D3" s="56">
        <f>SUM(D7:D505)</f>
        <v>52.497889999999998</v>
      </c>
      <c r="E3" s="59">
        <f>SUM(E7:E505)</f>
        <v>197969.57068</v>
      </c>
      <c r="F3" s="59">
        <f>SUM(F6:G505)</f>
        <v>4419.2296000000006</v>
      </c>
      <c r="G3" s="7">
        <f>G4/E3</f>
        <v>0.33347626275382181</v>
      </c>
      <c r="H3" s="51">
        <v>4944.3604999999998</v>
      </c>
      <c r="I3" s="55">
        <f>投資!G2</f>
        <v>31.93</v>
      </c>
      <c r="J3" s="52">
        <f>SUM(J7:J505)</f>
        <v>6266.8700000000017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66018.15256934498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21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22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22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23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24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25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26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27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28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29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30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31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32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33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34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35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36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37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38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39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40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41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42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43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44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45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46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47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48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49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50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51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52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53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54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55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56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57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58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59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60</v>
      </c>
      <c r="C48" s="36">
        <f t="shared" si="0"/>
        <v>0</v>
      </c>
      <c r="D48" s="26"/>
      <c r="E48" s="26"/>
      <c r="F48" s="41">
        <f>36.62*投資!G2</f>
        <v>1169.2765999999999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61</v>
      </c>
      <c r="C49" s="36">
        <f t="shared" si="0"/>
        <v>4557.3688999999995</v>
      </c>
      <c r="D49" s="26">
        <v>0.21018000000000001</v>
      </c>
      <c r="E49" s="26">
        <f>30.01*投資!G2</f>
        <v>958.21930000000009</v>
      </c>
      <c r="F49" s="41"/>
      <c r="G49" s="42"/>
      <c r="H49" s="20">
        <v>142.72999999999999</v>
      </c>
      <c r="I49" s="20">
        <f>投資!G2</f>
        <v>31.93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62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63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64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65</v>
      </c>
      <c r="C53" s="36">
        <f t="shared" si="0"/>
        <v>0</v>
      </c>
      <c r="D53" s="26"/>
      <c r="E53" s="26"/>
      <c r="F53" s="41">
        <f>11.42*投資!G2</f>
        <v>364.64060000000001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66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67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68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163</v>
      </c>
      <c r="C57" s="36">
        <f t="shared" si="0"/>
        <v>0</v>
      </c>
      <c r="D57" s="26"/>
      <c r="E57" s="26"/>
      <c r="F57" s="41">
        <f xml:space="preserve"> 20.68 * 投資!G2</f>
        <v>660.31240000000003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13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133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134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106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124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107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24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135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25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26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109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28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136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111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30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32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33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34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36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37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112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113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38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40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41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42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114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115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44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45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46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48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49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50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52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53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116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117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118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137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138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8">
        <f>H3*I3</f>
        <v>2368.5674000000004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139</v>
      </c>
      <c r="I3" s="127">
        <f>投資!G2</f>
        <v>31.93</v>
      </c>
      <c r="J3" s="52">
        <f>SUM(J7:J505)</f>
        <v>-41.149999999999864</v>
      </c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140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21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141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141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125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24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142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25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143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26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109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144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28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29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145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30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146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32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147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33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148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34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149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36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150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37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151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38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152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40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153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41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154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42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155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156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44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45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157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46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158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48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159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49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160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50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161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162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116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54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55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2026-06-26T10:15:46Z</dcterms:modified>
  <dc:language>en-US</dc:language>
</cp:coreProperties>
</file>