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1942246D-7D38-4E9C-9E0F-E3AA751B8C24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F10" i="2"/>
  <c r="E10" i="2"/>
  <c r="A17" i="2"/>
  <c r="B17" i="2"/>
  <c r="C18" i="2"/>
  <c r="C17" i="2" s="1"/>
  <c r="S5" i="1"/>
  <c r="S4" i="1"/>
  <c r="S3" i="1"/>
  <c r="S2" i="1"/>
  <c r="O2" i="1"/>
  <c r="O10" i="1" s="1"/>
  <c r="G10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G4" i="7"/>
  <c r="G3" i="7" s="1"/>
  <c r="J3" i="7"/>
  <c r="I3" i="7"/>
  <c r="F3" i="7"/>
  <c r="E3" i="7"/>
  <c r="D3" i="7"/>
  <c r="C3" i="7"/>
  <c r="B3" i="7"/>
  <c r="A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F3" i="4"/>
  <c r="E3" i="4"/>
  <c r="D3" i="4"/>
  <c r="K3" i="1" s="1"/>
  <c r="B3" i="4"/>
  <c r="A3" i="4"/>
  <c r="F3" i="3"/>
  <c r="E3" i="3"/>
  <c r="B3" i="3" s="1"/>
  <c r="D3" i="3"/>
  <c r="K2" i="1" s="1"/>
  <c r="K10" i="1" s="1"/>
  <c r="B3" i="2" s="1"/>
  <c r="C10" i="1"/>
  <c r="S10" i="1" l="1"/>
  <c r="A12" i="1" s="1"/>
  <c r="A16" i="1" s="1"/>
  <c r="B10" i="2"/>
  <c r="B3" i="5"/>
  <c r="A3" i="5"/>
  <c r="A10" i="2"/>
  <c r="C11" i="2" s="1"/>
  <c r="C10" i="2" s="1"/>
  <c r="G4" i="5"/>
  <c r="G3" i="5" s="1"/>
  <c r="C4" i="2"/>
  <c r="C3" i="2" s="1"/>
  <c r="G4" i="3"/>
  <c r="G3" i="3" s="1"/>
  <c r="G4" i="4"/>
  <c r="G3" i="4" s="1"/>
  <c r="A3" i="3"/>
  <c r="C16" i="1" l="1"/>
  <c r="G11" i="2"/>
  <c r="G10" i="2" s="1"/>
</calcChain>
</file>

<file path=xl/sharedStrings.xml><?xml version="1.0" encoding="utf-8"?>
<sst xmlns="http://schemas.openxmlformats.org/spreadsheetml/2006/main" count="370" uniqueCount="159">
  <si>
    <t>006208</t>
  </si>
  <si>
    <t>VT</t>
  </si>
  <si>
    <t>2890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</si>
  <si>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</si>
  <si>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</si>
  <si>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</si>
  <si>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</si>
  <si>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</si>
  <si>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</si>
  <si>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</si>
  <si>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</si>
  <si>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</si>
  <si>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</si>
  <si>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</si>
  <si>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168.05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</si>
  <si>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</si>
  <si>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</si>
  <si>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</si>
  <si>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</si>
  <si>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</si>
  <si>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</si>
  <si>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</si>
  <si>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</si>
  <si>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</si>
  <si>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</si>
  <si>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</si>
  <si>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</si>
  <si>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</si>
  <si>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</si>
  <si>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</si>
  <si>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</si>
  <si>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</si>
  <si>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</si>
  <si>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</si>
  <si>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</si>
  <si>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</si>
  <si>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</si>
  <si>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</si>
  <si>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</si>
  <si>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</si>
  <si>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</si>
  <si>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</si>
  <si>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</si>
  <si>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</si>
  <si>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</si>
  <si>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</si>
  <si>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</si>
  <si>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</si>
  <si>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</si>
  <si>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</si>
  <si>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</si>
  <si>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</si>
  <si>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</si>
  <si>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</si>
  <si>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</si>
  <si>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</si>
  <si>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</si>
  <si>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</si>
  <si>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</si>
  <si>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</si>
  <si>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</si>
  <si>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</si>
  <si>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</si>
  <si>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</si>
  <si>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</si>
  <si>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</si>
  <si>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2890.TW</t>
  </si>
  <si>
    <t>28.60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</si>
  <si>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</si>
  <si>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</si>
  <si>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</si>
  <si>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</si>
  <si>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</si>
  <si>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</si>
  <si>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</si>
  <si>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</si>
  <si>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</si>
  <si>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</si>
  <si>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</si>
  <si>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</si>
  <si>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145.45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</si>
  <si>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</si>
  <si>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</si>
  <si>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</si>
  <si>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</si>
  <si>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</si>
  <si>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</si>
  <si>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</si>
  <si>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</si>
  <si>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</si>
  <si>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</si>
  <si>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</si>
  <si>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</si>
  <si>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</si>
  <si>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</si>
  <si>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</si>
  <si>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</si>
  <si>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</si>
  <si>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</si>
  <si>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</si>
  <si>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</si>
  <si>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</si>
  <si>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</si>
  <si>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</si>
  <si>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</si>
  <si>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</si>
  <si>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</si>
  <si>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</si>
  <si>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</si>
  <si>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</si>
  <si>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</si>
  <si>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</si>
  <si>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</si>
  <si>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</si>
  <si>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</si>
  <si>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</si>
  <si>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</si>
  <si>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</si>
  <si>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</si>
  <si>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</si>
  <si>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</si>
  <si>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</si>
  <si>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</si>
  <si>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</si>
  <si>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</si>
  <si>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</si>
  <si>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</si>
  <si>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</si>
  <si>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</si>
  <si>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BTC</t>
    <phoneticPr fontId="8" type="noConversion"/>
  </si>
  <si>
    <t>ETH</t>
    <phoneticPr fontId="8" type="noConversion"/>
  </si>
  <si>
    <t>SOL</t>
    <phoneticPr fontId="8" type="noConversion"/>
  </si>
  <si>
    <t>USDT</t>
    <phoneticPr fontId="8" type="noConversion"/>
  </si>
  <si>
    <r>
      <rPr>
        <b/>
        <sz val="18"/>
        <color rgb="FFFFFFFF"/>
        <rFont val="微軟正黑體"/>
        <family val="2"/>
        <charset val="136"/>
      </rPr>
      <t>負債率</t>
    </r>
  </si>
  <si>
    <r>
      <rPr>
        <b/>
        <sz val="18"/>
        <color rgb="FFFFFFFF"/>
        <rFont val="微軟正黑體"/>
        <family val="2"/>
        <charset val="136"/>
      </rPr>
      <t>淨資產</t>
    </r>
  </si>
  <si>
    <r>
      <rPr>
        <b/>
        <sz val="18"/>
        <color rgb="FFFFFFFF"/>
        <rFont val="微軟正黑體"/>
        <family val="2"/>
        <charset val="136"/>
      </rPr>
      <t>總資產</t>
    </r>
  </si>
  <si>
    <r>
      <rPr>
        <b/>
        <sz val="18"/>
        <color rgb="FFFFFFFF"/>
        <rFont val="微軟正黑體"/>
        <family val="2"/>
        <charset val="136"/>
      </rPr>
      <t>負債</t>
    </r>
  </si>
  <si>
    <r>
      <rPr>
        <b/>
        <sz val="18"/>
        <color rgb="FFFFFFFF"/>
        <rFont val="微軟正黑體"/>
        <family val="2"/>
        <charset val="136"/>
      </rPr>
      <t>新台幣</t>
    </r>
  </si>
  <si>
    <r>
      <rPr>
        <b/>
        <sz val="18"/>
        <color rgb="FFFFFFFF"/>
        <rFont val="微軟正黑體"/>
        <family val="2"/>
        <charset val="136"/>
      </rPr>
      <t>美元</t>
    </r>
  </si>
  <si>
    <r>
      <rPr>
        <b/>
        <sz val="18"/>
        <color rgb="FFFFFFFF"/>
        <rFont val="微軟正黑體"/>
        <family val="2"/>
        <charset val="136"/>
      </rPr>
      <t>台股</t>
    </r>
  </si>
  <si>
    <r>
      <rPr>
        <b/>
        <sz val="18"/>
        <color rgb="FFFFFFFF"/>
        <rFont val="微軟正黑體"/>
        <family val="2"/>
        <charset val="136"/>
      </rPr>
      <t>美股</t>
    </r>
    <phoneticPr fontId="8" type="noConversion"/>
  </si>
  <si>
    <r>
      <rPr>
        <b/>
        <sz val="18"/>
        <color rgb="FFFFFFFF"/>
        <rFont val="微軟正黑體"/>
        <family val="2"/>
        <charset val="136"/>
      </rPr>
      <t>加密貨幣</t>
    </r>
    <phoneticPr fontId="8" type="noConversion"/>
  </si>
  <si>
    <r>
      <rPr>
        <b/>
        <sz val="12"/>
        <rFont val="微軟正黑體"/>
        <family val="2"/>
        <charset val="136"/>
      </rPr>
      <t>永豐大戶活存</t>
    </r>
  </si>
  <si>
    <r>
      <rPr>
        <b/>
        <sz val="12"/>
        <rFont val="微軟正黑體"/>
        <family val="2"/>
        <charset val="136"/>
      </rPr>
      <t>玉山銀行活存</t>
    </r>
  </si>
  <si>
    <r>
      <rPr>
        <b/>
        <sz val="12"/>
        <rFont val="微軟正黑體"/>
        <family val="2"/>
        <charset val="136"/>
      </rPr>
      <t>一銀</t>
    </r>
    <r>
      <rPr>
        <b/>
        <sz val="12"/>
        <rFont val="Source Sans Pro"/>
        <family val="2"/>
      </rPr>
      <t>iLeo</t>
    </r>
    <r>
      <rPr>
        <b/>
        <sz val="12"/>
        <rFont val="微軟正黑體"/>
        <family val="2"/>
        <charset val="136"/>
      </rPr>
      <t>活存</t>
    </r>
  </si>
  <si>
    <r>
      <rPr>
        <b/>
        <sz val="12"/>
        <rFont val="微軟正黑體"/>
        <family val="2"/>
        <charset val="136"/>
      </rPr>
      <t>中華郵政活存</t>
    </r>
  </si>
  <si>
    <r>
      <rPr>
        <b/>
        <sz val="12"/>
        <rFont val="微軟正黑體"/>
        <family val="2"/>
        <charset val="136"/>
      </rPr>
      <t>中國信託活存</t>
    </r>
  </si>
  <si>
    <r>
      <rPr>
        <b/>
        <sz val="12"/>
        <rFont val="微軟正黑體"/>
        <family val="2"/>
        <charset val="136"/>
      </rPr>
      <t>華南</t>
    </r>
    <r>
      <rPr>
        <b/>
        <sz val="12"/>
        <rFont val="Source Sans Pro"/>
        <family val="2"/>
      </rPr>
      <t>Sny</t>
    </r>
    <r>
      <rPr>
        <b/>
        <sz val="12"/>
        <rFont val="微軟正黑體"/>
        <family val="2"/>
        <charset val="136"/>
      </rPr>
      <t>活存</t>
    </r>
  </si>
  <si>
    <r>
      <rPr>
        <b/>
        <sz val="12"/>
        <rFont val="微軟正黑體"/>
        <family val="2"/>
        <charset val="136"/>
      </rPr>
      <t>定存</t>
    </r>
  </si>
  <si>
    <r>
      <rPr>
        <b/>
        <sz val="12"/>
        <rFont val="微軟正黑體"/>
        <family val="2"/>
        <charset val="136"/>
      </rPr>
      <t>錢包</t>
    </r>
  </si>
  <si>
    <r>
      <rPr>
        <b/>
        <sz val="12"/>
        <color rgb="FF000000"/>
        <rFont val="微軟正黑體"/>
        <family val="2"/>
        <charset val="136"/>
      </rPr>
      <t>總計</t>
    </r>
  </si>
  <si>
    <r>
      <rPr>
        <b/>
        <sz val="12"/>
        <rFont val="微軟正黑體"/>
        <family val="2"/>
        <charset val="136"/>
      </rPr>
      <t>美元活存</t>
    </r>
  </si>
  <si>
    <t>Chase</t>
    <phoneticPr fontId="8" type="noConversion"/>
  </si>
  <si>
    <r>
      <rPr>
        <b/>
        <sz val="16"/>
        <color rgb="FFFFFFFF"/>
        <rFont val="微軟正黑體"/>
        <family val="2"/>
        <charset val="136"/>
      </rPr>
      <t>折讓款</t>
    </r>
  </si>
  <si>
    <r>
      <rPr>
        <b/>
        <sz val="16"/>
        <color rgb="FFFFFFFF"/>
        <rFont val="微軟正黑體"/>
        <family val="2"/>
        <charset val="136"/>
      </rPr>
      <t>交易稅</t>
    </r>
  </si>
  <si>
    <r>
      <rPr>
        <b/>
        <sz val="16"/>
        <color rgb="FFFFFFFF"/>
        <rFont val="微軟正黑體"/>
        <family val="2"/>
        <charset val="136"/>
      </rPr>
      <t>匯率</t>
    </r>
  </si>
  <si>
    <t>台股</t>
    <phoneticPr fontId="8" type="noConversion"/>
  </si>
  <si>
    <t>美股</t>
    <phoneticPr fontId="8" type="noConversion"/>
  </si>
  <si>
    <t>加密貨幣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</si>
</sst>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8">
    <font>
      <sz val="12"/>
      <color rgb="FF000000"/>
      <name val="新細明體"/>
      <family val="2"/>
      <charset val="1"/>
    </font>
    <font>
      <b/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sz val="18"/>
      <color rgb="FF000000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微軟正黑體"/>
      <family val="2"/>
      <charset val="136"/>
    </font>
    <font>
      <b/>
      <sz val="16"/>
      <color rgb="FFFFFFFF"/>
      <name val="Source Sans Pro"/>
      <family val="2"/>
    </font>
    <font>
      <sz val="16"/>
      <color rgb="FF000000"/>
      <name val="Source Sans Pro"/>
      <family val="2"/>
    </font>
  </fonts>
  <fills count="33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rgb="FFC6D9F1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rgb="FF99CCFF"/>
      </patternFill>
    </fill>
    <fill>
      <patternFill patternType="solid">
        <fgColor rgb="FFCC99FF"/>
        <bgColor indexed="64"/>
      </patternFill>
    </fill>
  </fills>
  <borders count="3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7" fillId="0" borderId="0"/>
  </cellStyleXfs>
  <cellXfs count="149">
    <xf numFmtId="0" fontId="0" fillId="0" borderId="0" xfId="0"/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 shrinkToFit="1"/>
      <protection locked="0"/>
    </xf>
    <xf numFmtId="0" fontId="4" fillId="0" borderId="0" xfId="0" applyFont="1" applyAlignment="1">
      <alignment horizontal="center" vertical="center" shrinkToFit="1"/>
    </xf>
    <xf numFmtId="0" fontId="2" fillId="12" borderId="11" xfId="0" applyFont="1" applyFill="1" applyBorder="1" applyAlignment="1" applyProtection="1">
      <alignment horizontal="center" vertical="center" shrinkToFit="1"/>
      <protection locked="0"/>
    </xf>
    <xf numFmtId="0" fontId="2" fillId="0" borderId="0" xfId="0" applyFont="1" applyAlignment="1" applyProtection="1">
      <alignment horizontal="center" vertical="center" shrinkToFit="1"/>
      <protection locked="0"/>
    </xf>
    <xf numFmtId="0" fontId="5" fillId="9" borderId="11" xfId="0" applyFont="1" applyFill="1" applyBorder="1" applyAlignment="1" applyProtection="1">
      <alignment horizontal="center"/>
      <protection locked="0"/>
    </xf>
    <xf numFmtId="10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49" fontId="4" fillId="0" borderId="0" xfId="0" applyNumberFormat="1" applyFont="1" applyAlignment="1" applyProtection="1">
      <alignment vertical="center" shrinkToFit="1"/>
      <protection locked="0"/>
    </xf>
    <xf numFmtId="0" fontId="6" fillId="0" borderId="0" xfId="0" applyFont="1" applyAlignment="1" applyProtection="1">
      <alignment horizontal="center" vertical="center" shrinkToFit="1"/>
      <protection locked="0"/>
    </xf>
    <xf numFmtId="0" fontId="2" fillId="0" borderId="11" xfId="0" applyFont="1" applyBorder="1" applyAlignment="1" applyProtection="1">
      <alignment horizontal="center" shrinkToFit="1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3" fillId="22" borderId="12" xfId="0" applyFont="1" applyFill="1" applyBorder="1" applyAlignment="1">
      <alignment vertical="center" shrinkToFit="1"/>
    </xf>
    <xf numFmtId="0" fontId="3" fillId="22" borderId="13" xfId="0" applyFont="1" applyFill="1" applyBorder="1" applyAlignment="1">
      <alignment vertical="center" shrinkToFit="1"/>
    </xf>
    <xf numFmtId="0" fontId="2" fillId="12" borderId="11" xfId="0" applyFont="1" applyFill="1" applyBorder="1" applyAlignment="1" applyProtection="1">
      <alignment horizontal="center" shrinkToFit="1"/>
      <protection locked="0"/>
    </xf>
    <xf numFmtId="0" fontId="2" fillId="21" borderId="11" xfId="0" applyFont="1" applyFill="1" applyBorder="1" applyAlignment="1" applyProtection="1">
      <alignment horizontal="center" shrinkToFit="1"/>
      <protection locked="0"/>
    </xf>
    <xf numFmtId="1" fontId="2" fillId="24" borderId="11" xfId="0" applyNumberFormat="1" applyFont="1" applyFill="1" applyBorder="1" applyAlignment="1" applyProtection="1">
      <alignment horizontal="center" shrinkToFit="1"/>
      <protection locked="0"/>
    </xf>
    <xf numFmtId="0" fontId="2" fillId="8" borderId="11" xfId="0" applyFont="1" applyFill="1" applyBorder="1" applyProtection="1">
      <protection locked="0"/>
    </xf>
    <xf numFmtId="0" fontId="2" fillId="0" borderId="11" xfId="0" applyFont="1" applyBorder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 shrinkToFit="1"/>
      <protection locked="0"/>
    </xf>
    <xf numFmtId="14" fontId="2" fillId="0" borderId="0" xfId="0" applyNumberFormat="1" applyFont="1" applyAlignment="1" applyProtection="1">
      <alignment horizontal="center" vertical="center" shrinkToFit="1"/>
      <protection locked="0"/>
    </xf>
    <xf numFmtId="14" fontId="2" fillId="0" borderId="11" xfId="0" applyNumberFormat="1" applyFont="1" applyBorder="1" applyAlignment="1" applyProtection="1">
      <alignment horizontal="center" shrinkToFit="1"/>
      <protection locked="0"/>
    </xf>
    <xf numFmtId="14" fontId="2" fillId="12" borderId="11" xfId="0" applyNumberFormat="1" applyFont="1" applyFill="1" applyBorder="1" applyAlignment="1" applyProtection="1">
      <alignment horizontal="center" shrinkToFit="1"/>
      <protection locked="0"/>
    </xf>
    <xf numFmtId="14" fontId="2" fillId="24" borderId="11" xfId="0" applyNumberFormat="1" applyFont="1" applyFill="1" applyBorder="1" applyAlignment="1" applyProtection="1">
      <alignment horizontal="center" shrinkToFit="1"/>
      <protection locked="0"/>
    </xf>
    <xf numFmtId="0" fontId="2" fillId="24" borderId="11" xfId="0" applyFont="1" applyFill="1" applyBorder="1" applyAlignment="1" applyProtection="1">
      <alignment horizontal="center" shrinkToFit="1"/>
      <protection locked="0"/>
    </xf>
    <xf numFmtId="0" fontId="2" fillId="8" borderId="11" xfId="0" applyFont="1" applyFill="1" applyBorder="1" applyAlignment="1" applyProtection="1">
      <alignment horizontal="center" vertical="center"/>
      <protection locked="0"/>
    </xf>
    <xf numFmtId="176" fontId="5" fillId="9" borderId="11" xfId="0" applyNumberFormat="1" applyFont="1" applyFill="1" applyBorder="1" applyAlignment="1" applyProtection="1">
      <alignment horizontal="center"/>
      <protection locked="0"/>
    </xf>
    <xf numFmtId="177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2" fillId="0" borderId="0" xfId="0" applyNumberFormat="1" applyFont="1" applyAlignment="1" applyProtection="1">
      <alignment horizontal="center" vertical="center" shrinkToFit="1"/>
      <protection locked="0"/>
    </xf>
    <xf numFmtId="177" fontId="5" fillId="21" borderId="11" xfId="0" applyNumberFormat="1" applyFont="1" applyFill="1" applyBorder="1" applyAlignment="1">
      <alignment horizontal="center" vertical="center"/>
    </xf>
    <xf numFmtId="179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2" fillId="24" borderId="11" xfId="0" applyNumberFormat="1" applyFont="1" applyFill="1" applyBorder="1" applyAlignment="1" applyProtection="1">
      <alignment horizontal="center" shrinkToFit="1"/>
      <protection locked="0"/>
    </xf>
    <xf numFmtId="180" fontId="2" fillId="24" borderId="11" xfId="0" applyNumberFormat="1" applyFont="1" applyFill="1" applyBorder="1" applyAlignment="1" applyProtection="1">
      <alignment horizontal="center" shrinkToFit="1"/>
      <protection locked="0"/>
    </xf>
    <xf numFmtId="180" fontId="2" fillId="0" borderId="11" xfId="0" applyNumberFormat="1" applyFont="1" applyBorder="1" applyAlignment="1" applyProtection="1">
      <alignment horizontal="center"/>
      <protection locked="0"/>
    </xf>
    <xf numFmtId="181" fontId="2" fillId="24" borderId="11" xfId="0" applyNumberFormat="1" applyFont="1" applyFill="1" applyBorder="1" applyAlignment="1" applyProtection="1">
      <alignment horizontal="center" shrinkToFit="1"/>
      <protection locked="0"/>
    </xf>
    <xf numFmtId="0" fontId="9" fillId="0" borderId="0" xfId="0" applyFont="1"/>
    <xf numFmtId="0" fontId="13" fillId="0" borderId="0" xfId="0" applyFont="1"/>
    <xf numFmtId="0" fontId="13" fillId="0" borderId="0" xfId="0" applyFont="1" applyProtection="1">
      <protection locked="0"/>
    </xf>
    <xf numFmtId="0" fontId="10" fillId="6" borderId="2" xfId="0" applyFont="1" applyFill="1" applyBorder="1" applyAlignment="1">
      <alignment horizontal="center" vertical="center"/>
    </xf>
    <xf numFmtId="0" fontId="11" fillId="0" borderId="18" xfId="0" applyFont="1" applyBorder="1"/>
    <xf numFmtId="40" fontId="13" fillId="9" borderId="6" xfId="0" applyNumberFormat="1" applyFont="1" applyFill="1" applyBorder="1" applyAlignment="1" applyProtection="1">
      <alignment horizontal="right" vertical="center"/>
      <protection locked="0"/>
    </xf>
    <xf numFmtId="0" fontId="13" fillId="0" borderId="24" xfId="0" applyFont="1" applyBorder="1" applyProtection="1">
      <protection locked="0"/>
    </xf>
    <xf numFmtId="0" fontId="12" fillId="10" borderId="5" xfId="0" applyFont="1" applyFill="1" applyBorder="1" applyAlignment="1" applyProtection="1">
      <alignment horizontal="center" vertical="center"/>
      <protection locked="0"/>
    </xf>
    <xf numFmtId="0" fontId="13" fillId="0" borderId="14" xfId="0" applyFont="1" applyBorder="1" applyProtection="1">
      <protection locked="0"/>
    </xf>
    <xf numFmtId="0" fontId="14" fillId="14" borderId="5" xfId="0" applyFont="1" applyFill="1" applyBorder="1" applyAlignment="1" applyProtection="1">
      <alignment horizontal="center" vertical="center"/>
      <protection locked="0"/>
    </xf>
    <xf numFmtId="40" fontId="13" fillId="13" borderId="6" xfId="0" applyNumberFormat="1" applyFont="1" applyFill="1" applyBorder="1" applyAlignment="1" applyProtection="1">
      <alignment horizontal="right" vertical="center"/>
      <protection locked="0"/>
    </xf>
    <xf numFmtId="40" fontId="13" fillId="13" borderId="8" xfId="0" applyNumberFormat="1" applyFont="1" applyFill="1" applyBorder="1" applyAlignment="1" applyProtection="1">
      <alignment horizontal="right" vertical="center"/>
      <protection locked="0"/>
    </xf>
    <xf numFmtId="0" fontId="13" fillId="0" borderId="23" xfId="0" applyFont="1" applyBorder="1" applyProtection="1">
      <protection locked="0"/>
    </xf>
    <xf numFmtId="0" fontId="14" fillId="14" borderId="7" xfId="0" applyFont="1" applyFill="1" applyBorder="1" applyAlignment="1" applyProtection="1">
      <alignment horizontal="center" vertical="center"/>
      <protection locked="0"/>
    </xf>
    <xf numFmtId="0" fontId="13" fillId="0" borderId="22" xfId="0" applyFont="1" applyBorder="1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13" fillId="0" borderId="14" xfId="0" applyFont="1" applyBorder="1"/>
    <xf numFmtId="0" fontId="12" fillId="8" borderId="5" xfId="0" applyFont="1" applyFill="1" applyBorder="1" applyAlignment="1" applyProtection="1">
      <alignment horizontal="center" vertical="center"/>
      <protection locked="0"/>
    </xf>
    <xf numFmtId="0" fontId="14" fillId="17" borderId="9" xfId="0" applyFont="1" applyFill="1" applyBorder="1" applyAlignment="1">
      <alignment horizontal="center" vertical="center"/>
    </xf>
    <xf numFmtId="0" fontId="13" fillId="0" borderId="25" xfId="0" applyFont="1" applyBorder="1"/>
    <xf numFmtId="0" fontId="12" fillId="8" borderId="31" xfId="0" applyFont="1" applyFill="1" applyBorder="1" applyAlignment="1" applyProtection="1">
      <alignment horizontal="center" vertical="center"/>
      <protection locked="0"/>
    </xf>
    <xf numFmtId="0" fontId="13" fillId="0" borderId="28" xfId="0" applyFont="1" applyBorder="1" applyProtection="1">
      <protection locked="0"/>
    </xf>
    <xf numFmtId="40" fontId="13" fillId="11" borderId="6" xfId="0" applyNumberFormat="1" applyFont="1" applyFill="1" applyBorder="1" applyAlignment="1" applyProtection="1">
      <alignment horizontal="right" vertical="center"/>
      <protection locked="0"/>
    </xf>
    <xf numFmtId="49" fontId="14" fillId="12" borderId="5" xfId="0" applyNumberFormat="1" applyFont="1" applyFill="1" applyBorder="1" applyAlignment="1">
      <alignment horizontal="center" vertical="center"/>
    </xf>
    <xf numFmtId="40" fontId="13" fillId="9" borderId="2" xfId="0" applyNumberFormat="1" applyFont="1" applyFill="1" applyBorder="1" applyAlignment="1">
      <alignment horizontal="right" vertical="center"/>
    </xf>
    <xf numFmtId="0" fontId="13" fillId="0" borderId="17" xfId="0" applyFont="1" applyBorder="1" applyAlignment="1">
      <alignment horizontal="right"/>
    </xf>
    <xf numFmtId="0" fontId="13" fillId="0" borderId="20" xfId="0" applyFont="1" applyBorder="1" applyAlignment="1">
      <alignment horizontal="right"/>
    </xf>
    <xf numFmtId="0" fontId="13" fillId="0" borderId="21" xfId="0" applyFont="1" applyBorder="1" applyAlignment="1">
      <alignment horizontal="right"/>
    </xf>
    <xf numFmtId="10" fontId="13" fillId="16" borderId="2" xfId="0" applyNumberFormat="1" applyFont="1" applyFill="1" applyBorder="1" applyAlignment="1">
      <alignment horizontal="right" vertical="center"/>
    </xf>
    <xf numFmtId="40" fontId="13" fillId="18" borderId="10" xfId="0" applyNumberFormat="1" applyFont="1" applyFill="1" applyBorder="1" applyAlignment="1">
      <alignment horizontal="right" vertical="center"/>
    </xf>
    <xf numFmtId="0" fontId="13" fillId="0" borderId="18" xfId="0" applyFont="1" applyBorder="1"/>
    <xf numFmtId="0" fontId="10" fillId="7" borderId="2" xfId="0" applyFont="1" applyFill="1" applyBorder="1" applyAlignment="1">
      <alignment horizontal="center" vertical="center"/>
    </xf>
    <xf numFmtId="0" fontId="11" fillId="0" borderId="17" xfId="0" applyFont="1" applyBorder="1"/>
    <xf numFmtId="0" fontId="11" fillId="0" borderId="20" xfId="0" applyFont="1" applyBorder="1"/>
    <xf numFmtId="0" fontId="11" fillId="0" borderId="21" xfId="0" applyFont="1" applyBorder="1"/>
    <xf numFmtId="49" fontId="14" fillId="12" borderId="5" xfId="0" applyNumberFormat="1" applyFont="1" applyFill="1" applyBorder="1" applyAlignment="1" applyProtection="1">
      <alignment horizontal="center" vertical="center"/>
      <protection locked="0"/>
    </xf>
    <xf numFmtId="40" fontId="13" fillId="11" borderId="8" xfId="0" applyNumberFormat="1" applyFont="1" applyFill="1" applyBorder="1" applyAlignment="1" applyProtection="1">
      <alignment horizontal="right" vertical="center"/>
      <protection locked="0"/>
    </xf>
    <xf numFmtId="49" fontId="14" fillId="12" borderId="7" xfId="0" applyNumberFormat="1" applyFont="1" applyFill="1" applyBorder="1" applyAlignment="1" applyProtection="1">
      <alignment horizontal="center" vertical="center"/>
      <protection locked="0"/>
    </xf>
    <xf numFmtId="40" fontId="13" fillId="16" borderId="2" xfId="0" applyNumberFormat="1" applyFont="1" applyFill="1" applyBorder="1" applyAlignment="1" applyProtection="1">
      <alignment horizontal="right" vertical="center"/>
      <protection locked="0"/>
    </xf>
    <xf numFmtId="0" fontId="13" fillId="0" borderId="17" xfId="0" applyFont="1" applyBorder="1" applyAlignment="1" applyProtection="1">
      <alignment horizontal="right"/>
      <protection locked="0"/>
    </xf>
    <xf numFmtId="0" fontId="13" fillId="0" borderId="20" xfId="0" applyFont="1" applyBorder="1" applyAlignment="1" applyProtection="1">
      <alignment horizontal="right"/>
      <protection locked="0"/>
    </xf>
    <xf numFmtId="0" fontId="13" fillId="0" borderId="21" xfId="0" applyFont="1" applyBorder="1" applyAlignment="1" applyProtection="1">
      <alignment horizontal="right"/>
      <protection locked="0"/>
    </xf>
    <xf numFmtId="40" fontId="13" fillId="9" borderId="30" xfId="0" applyNumberFormat="1" applyFont="1" applyFill="1" applyBorder="1" applyAlignment="1" applyProtection="1">
      <alignment horizontal="right" vertical="center"/>
      <protection locked="0"/>
    </xf>
    <xf numFmtId="0" fontId="13" fillId="0" borderId="29" xfId="0" applyFont="1" applyBorder="1" applyProtection="1">
      <protection locked="0"/>
    </xf>
    <xf numFmtId="0" fontId="12" fillId="10" borderId="7" xfId="0" applyFont="1" applyFill="1" applyBorder="1" applyAlignment="1" applyProtection="1">
      <alignment horizontal="center" vertical="center"/>
      <protection locked="0"/>
    </xf>
    <xf numFmtId="40" fontId="13" fillId="15" borderId="6" xfId="0" applyNumberFormat="1" applyFont="1" applyFill="1" applyBorder="1" applyAlignment="1" applyProtection="1">
      <alignment horizontal="right" vertical="center"/>
      <protection locked="0"/>
    </xf>
    <xf numFmtId="40" fontId="13" fillId="15" borderId="8" xfId="0" applyNumberFormat="1" applyFont="1" applyFill="1" applyBorder="1" applyAlignment="1" applyProtection="1">
      <alignment horizontal="right" vertical="center"/>
      <protection locked="0"/>
    </xf>
    <xf numFmtId="0" fontId="10" fillId="27" borderId="1" xfId="0" applyFont="1" applyFill="1" applyBorder="1" applyAlignment="1">
      <alignment horizontal="center" vertical="center"/>
    </xf>
    <xf numFmtId="0" fontId="11" fillId="28" borderId="16" xfId="0" applyFont="1" applyFill="1" applyBorder="1"/>
    <xf numFmtId="0" fontId="11" fillId="28" borderId="17" xfId="0" applyFont="1" applyFill="1" applyBorder="1"/>
    <xf numFmtId="0" fontId="14" fillId="31" borderId="3" xfId="0" applyFont="1" applyFill="1" applyBorder="1" applyAlignment="1">
      <alignment horizontal="center" vertical="center"/>
    </xf>
    <xf numFmtId="0" fontId="13" fillId="32" borderId="15" xfId="0" applyFont="1" applyFill="1" applyBorder="1"/>
    <xf numFmtId="40" fontId="13" fillId="29" borderId="4" xfId="0" applyNumberFormat="1" applyFont="1" applyFill="1" applyBorder="1" applyAlignment="1" applyProtection="1">
      <alignment horizontal="right" vertical="center"/>
      <protection locked="0"/>
    </xf>
    <xf numFmtId="0" fontId="13" fillId="30" borderId="19" xfId="0" applyFont="1" applyFill="1" applyBorder="1" applyProtection="1">
      <protection locked="0"/>
    </xf>
    <xf numFmtId="0" fontId="14" fillId="31" borderId="5" xfId="0" applyFont="1" applyFill="1" applyBorder="1" applyAlignment="1">
      <alignment horizontal="center" vertical="center"/>
    </xf>
    <xf numFmtId="0" fontId="13" fillId="32" borderId="14" xfId="0" applyFont="1" applyFill="1" applyBorder="1"/>
    <xf numFmtId="40" fontId="13" fillId="29" borderId="6" xfId="0" applyNumberFormat="1" applyFont="1" applyFill="1" applyBorder="1" applyAlignment="1" applyProtection="1">
      <alignment horizontal="right" vertical="center"/>
      <protection locked="0"/>
    </xf>
    <xf numFmtId="0" fontId="13" fillId="30" borderId="24" xfId="0" applyFont="1" applyFill="1" applyBorder="1" applyProtection="1">
      <protection locked="0"/>
    </xf>
    <xf numFmtId="0" fontId="12" fillId="8" borderId="3" xfId="0" applyFont="1" applyFill="1" applyBorder="1" applyAlignment="1" applyProtection="1">
      <alignment horizontal="center" vertical="center"/>
      <protection locked="0"/>
    </xf>
    <xf numFmtId="0" fontId="13" fillId="0" borderId="15" xfId="0" applyFont="1" applyBorder="1" applyProtection="1">
      <protection locked="0"/>
    </xf>
    <xf numFmtId="40" fontId="13" fillId="9" borderId="4" xfId="0" applyNumberFormat="1" applyFont="1" applyFill="1" applyBorder="1" applyAlignment="1" applyProtection="1">
      <alignment horizontal="right" vertical="center"/>
      <protection locked="0"/>
    </xf>
    <xf numFmtId="0" fontId="13" fillId="0" borderId="19" xfId="0" applyFont="1" applyBorder="1" applyProtection="1">
      <protection locked="0"/>
    </xf>
    <xf numFmtId="0" fontId="12" fillId="10" borderId="3" xfId="0" applyFont="1" applyFill="1" applyBorder="1" applyAlignment="1" applyProtection="1">
      <alignment horizontal="center" vertical="center"/>
      <protection locked="0"/>
    </xf>
    <xf numFmtId="40" fontId="13" fillId="13" borderId="4" xfId="0" applyNumberFormat="1" applyFont="1" applyFill="1" applyBorder="1" applyAlignment="1" applyProtection="1">
      <alignment horizontal="right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1" fillId="0" borderId="16" xfId="0" applyFont="1" applyBorder="1"/>
    <xf numFmtId="40" fontId="13" fillId="11" borderId="4" xfId="0" applyNumberFormat="1" applyFont="1" applyFill="1" applyBorder="1" applyAlignment="1" applyProtection="1">
      <alignment horizontal="right" vertical="center"/>
      <protection locked="0"/>
    </xf>
    <xf numFmtId="49" fontId="14" fillId="12" borderId="3" xfId="0" applyNumberFormat="1" applyFont="1" applyFill="1" applyBorder="1" applyAlignment="1">
      <alignment horizontal="center" vertical="center"/>
    </xf>
    <xf numFmtId="0" fontId="13" fillId="0" borderId="15" xfId="0" applyFont="1" applyBorder="1"/>
    <xf numFmtId="0" fontId="14" fillId="14" borderId="3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40" fontId="13" fillId="15" borderId="4" xfId="0" applyNumberFormat="1" applyFont="1" applyFill="1" applyBorder="1" applyAlignment="1" applyProtection="1">
      <alignment horizontal="right" vertical="center"/>
      <protection locked="0"/>
    </xf>
    <xf numFmtId="0" fontId="14" fillId="31" borderId="5" xfId="0" applyFont="1" applyFill="1" applyBorder="1" applyAlignment="1" applyProtection="1">
      <alignment horizontal="center" vertical="center"/>
      <protection locked="0"/>
    </xf>
    <xf numFmtId="0" fontId="13" fillId="32" borderId="14" xfId="0" applyFont="1" applyFill="1" applyBorder="1" applyProtection="1">
      <protection locked="0"/>
    </xf>
    <xf numFmtId="0" fontId="14" fillId="31" borderId="7" xfId="0" applyFont="1" applyFill="1" applyBorder="1" applyAlignment="1" applyProtection="1">
      <alignment horizontal="center" vertical="center"/>
      <protection locked="0"/>
    </xf>
    <xf numFmtId="0" fontId="13" fillId="32" borderId="22" xfId="0" applyFont="1" applyFill="1" applyBorder="1" applyProtection="1">
      <protection locked="0"/>
    </xf>
    <xf numFmtId="40" fontId="13" fillId="29" borderId="8" xfId="0" applyNumberFormat="1" applyFont="1" applyFill="1" applyBorder="1" applyAlignment="1" applyProtection="1">
      <alignment horizontal="right" vertical="center"/>
      <protection locked="0"/>
    </xf>
    <xf numFmtId="0" fontId="13" fillId="30" borderId="23" xfId="0" applyFont="1" applyFill="1" applyBorder="1" applyProtection="1">
      <protection locked="0"/>
    </xf>
    <xf numFmtId="0" fontId="14" fillId="31" borderId="32" xfId="0" applyFont="1" applyFill="1" applyBorder="1" applyAlignment="1">
      <alignment horizontal="center" vertical="center"/>
    </xf>
    <xf numFmtId="0" fontId="14" fillId="31" borderId="14" xfId="0" applyFont="1" applyFill="1" applyBorder="1" applyAlignment="1">
      <alignment horizontal="center" vertical="center"/>
    </xf>
    <xf numFmtId="0" fontId="0" fillId="0" borderId="13" xfId="0" applyBorder="1" applyProtection="1">
      <protection locked="0"/>
    </xf>
    <xf numFmtId="0" fontId="0" fillId="0" borderId="14" xfId="0" applyBorder="1" applyProtection="1">
      <protection locked="0"/>
    </xf>
    <xf numFmtId="177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2" fillId="24" borderId="11" xfId="0" applyFont="1" applyFill="1" applyBorder="1" applyAlignment="1" applyProtection="1">
      <alignment horizontal="center" shrinkToFit="1"/>
      <protection locked="0"/>
    </xf>
    <xf numFmtId="0" fontId="6" fillId="19" borderId="11" xfId="0" applyFont="1" applyFill="1" applyBorder="1" applyAlignment="1" applyProtection="1">
      <alignment horizontal="center" shrinkToFit="1"/>
      <protection locked="0"/>
    </xf>
    <xf numFmtId="2" fontId="5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25" borderId="11" xfId="0" applyFont="1" applyFill="1" applyBorder="1" applyAlignment="1" applyProtection="1">
      <alignment horizontal="center" shrinkToFit="1"/>
      <protection locked="0"/>
    </xf>
    <xf numFmtId="0" fontId="5" fillId="26" borderId="11" xfId="0" applyFont="1" applyFill="1" applyBorder="1" applyAlignment="1" applyProtection="1">
      <alignment horizontal="center" vertical="center"/>
      <protection locked="0"/>
    </xf>
    <xf numFmtId="0" fontId="2" fillId="26" borderId="11" xfId="0" applyFont="1" applyFill="1" applyBorder="1" applyAlignment="1" applyProtection="1">
      <alignment horizontal="center" vertical="center"/>
      <protection locked="0"/>
    </xf>
    <xf numFmtId="176" fontId="5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5" fillId="21" borderId="11" xfId="0" applyFont="1" applyFill="1" applyBorder="1" applyAlignment="1" applyProtection="1">
      <alignment horizontal="center" vertical="center" shrinkToFit="1"/>
      <protection hidden="1"/>
    </xf>
    <xf numFmtId="0" fontId="4" fillId="20" borderId="11" xfId="0" applyFont="1" applyFill="1" applyBorder="1" applyAlignment="1" applyProtection="1">
      <alignment horizontal="center" vertical="center"/>
      <protection locked="0"/>
    </xf>
    <xf numFmtId="1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49" fontId="4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2" fillId="23" borderId="11" xfId="0" applyFont="1" applyFill="1" applyBorder="1" applyAlignment="1" applyProtection="1">
      <alignment horizontal="center" shrinkToFit="1"/>
      <protection locked="0"/>
    </xf>
    <xf numFmtId="0" fontId="5" fillId="24" borderId="11" xfId="0" applyFont="1" applyFill="1" applyBorder="1" applyAlignment="1" applyProtection="1">
      <alignment horizontal="center" vertical="center" shrinkToFit="1"/>
      <protection locked="0"/>
    </xf>
    <xf numFmtId="0" fontId="5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5" fillId="26" borderId="11" xfId="0" applyNumberFormat="1" applyFont="1" applyFill="1" applyBorder="1" applyAlignment="1" applyProtection="1">
      <alignment vertical="center"/>
      <protection locked="0"/>
    </xf>
    <xf numFmtId="49" fontId="15" fillId="19" borderId="11" xfId="0" applyNumberFormat="1" applyFont="1" applyFill="1" applyBorder="1" applyAlignment="1" applyProtection="1">
      <alignment horizontal="center" vertical="center" shrinkToFit="1"/>
      <protection locked="0"/>
    </xf>
    <xf numFmtId="49" fontId="1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17" fillId="0" borderId="13" xfId="0" applyFont="1" applyBorder="1" applyAlignment="1" applyProtection="1">
      <alignment vertical="center"/>
      <protection locked="0"/>
    </xf>
    <xf numFmtId="0" fontId="17" fillId="0" borderId="14" xfId="0" applyFont="1" applyBorder="1" applyAlignment="1" applyProtection="1">
      <alignment vertical="center"/>
      <protection locked="0"/>
    </xf>
    <xf numFmtId="0" fontId="16" fillId="20" borderId="11" xfId="0" applyFont="1" applyFill="1" applyBorder="1" applyAlignment="1" applyProtection="1">
      <alignment horizontal="center"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FF"/>
      <color rgb="FFCC99FF"/>
      <color rgb="FFCCCCFF"/>
      <color rgb="FFCC66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430-4EEA-8B3B-AB8B03A2B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430-4EEA-8B3B-AB8B03A2B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30-4EEA-8B3B-AB8B03A2B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30-4EEA-8B3B-AB8B03A2B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430-4EEA-8B3B-AB8B03A2B617}"/>
              </c:ext>
            </c:extLst>
          </c:dPt>
          <c:dLbls>
            <c:dLbl>
              <c:idx val="0"/>
              <c:layout>
                <c:manualLayout>
                  <c:x val="0.15"/>
                  <c:y val="-0.1898148148148148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30-4EEA-8B3B-AB8B03A2B617}"/>
                </c:ext>
              </c:extLst>
            </c:dLbl>
            <c:dLbl>
              <c:idx val="1"/>
              <c:layout>
                <c:manualLayout>
                  <c:x val="0.26666666666666655"/>
                  <c:y val="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30-4EEA-8B3B-AB8B03A2B617}"/>
                </c:ext>
              </c:extLst>
            </c:dLbl>
            <c:dLbl>
              <c:idx val="2"/>
              <c:layout>
                <c:manualLayout>
                  <c:x val="-0.17222222222222222"/>
                  <c:y val="6.018518518518509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30-4EEA-8B3B-AB8B03A2B617}"/>
                </c:ext>
              </c:extLst>
            </c:dLbl>
            <c:dLbl>
              <c:idx val="3"/>
              <c:layout>
                <c:manualLayout>
                  <c:x val="-0.14722222222222225"/>
                  <c:y val="1.38888888888888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30-4EEA-8B3B-AB8B03A2B617}"/>
                </c:ext>
              </c:extLst>
            </c:dLbl>
            <c:dLbl>
              <c:idx val="4"/>
              <c:layout>
                <c:manualLayout>
                  <c:x val="-0.20555555555555555"/>
                  <c:y val="-7.8703703703703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430-4EEA-8B3B-AB8B03A2B61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126281.27680000001</c:v>
                </c:pt>
                <c:pt idx="2">
                  <c:v>274572.15495</c:v>
                </c:pt>
                <c:pt idx="3">
                  <c:v>220291.58007298748</c:v>
                </c:pt>
                <c:pt idx="4">
                  <c:v>94279.983500000002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30-4EEA-8B3B-AB8B03A2B61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36-4673-8CD7-85671125030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36-4673-8CD7-85671125030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36-4673-8CD7-85671125030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36-4673-8CD7-85671125030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36-4673-8CD7-85671125030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36-4673-8CD7-85671125030E}"/>
              </c:ext>
            </c:extLst>
          </c:dPt>
          <c:dLbls>
            <c:dLbl>
              <c:idx val="0"/>
              <c:layout>
                <c:manualLayout>
                  <c:x val="0.16388888888888889"/>
                  <c:y val="-6.944444444444444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36-4673-8CD7-85671125030E}"/>
                </c:ext>
              </c:extLst>
            </c:dLbl>
            <c:dLbl>
              <c:idx val="1"/>
              <c:layout>
                <c:manualLayout>
                  <c:x val="0.16666666666666657"/>
                  <c:y val="-4.629629629629714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436-4673-8CD7-85671125030E}"/>
                </c:ext>
              </c:extLst>
            </c:dLbl>
            <c:dLbl>
              <c:idx val="2"/>
              <c:layout>
                <c:manualLayout>
                  <c:x val="-0.16387938743523692"/>
                  <c:y val="8.34898801364975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436-4673-8CD7-85671125030E}"/>
                </c:ext>
              </c:extLst>
            </c:dLbl>
            <c:dLbl>
              <c:idx val="3"/>
              <c:layout>
                <c:manualLayout>
                  <c:x val="-0.19444446872620694"/>
                  <c:y val="0.194652868593625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436-4673-8CD7-85671125030E}"/>
                </c:ext>
              </c:extLst>
            </c:dLbl>
            <c:dLbl>
              <c:idx val="4"/>
              <c:layout>
                <c:manualLayout>
                  <c:x val="-0.24444438131186205"/>
                  <c:y val="2.788204067265240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436-4673-8CD7-85671125030E}"/>
                </c:ext>
              </c:extLst>
            </c:dLbl>
            <c:dLbl>
              <c:idx val="5"/>
              <c:layout>
                <c:manualLayout>
                  <c:x val="-0.25834042117979644"/>
                  <c:y val="-0.1480960810730707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36-4673-8CD7-85671125030E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131858.58395</c:v>
                </c:pt>
                <c:pt idx="1">
                  <c:v>142713.571</c:v>
                </c:pt>
                <c:pt idx="2">
                  <c:v>220291.58007298748</c:v>
                </c:pt>
                <c:pt idx="3">
                  <c:v>72004.180850000004</c:v>
                </c:pt>
                <c:pt idx="4">
                  <c:v>12032.809949999999</c:v>
                </c:pt>
                <c:pt idx="5">
                  <c:v>9562.0427000000018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36-4673-8CD7-8567112503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8856312-E00E-1FBF-040A-1B0A7689D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46EB17E3-CA3A-4853-8818-A57728539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E4" sqref="E4:F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07" t="s">
        <v>137</v>
      </c>
      <c r="B1" s="102"/>
      <c r="C1" s="102"/>
      <c r="D1" s="69"/>
      <c r="E1" s="101" t="s">
        <v>138</v>
      </c>
      <c r="F1" s="102"/>
      <c r="G1" s="102"/>
      <c r="H1" s="69"/>
      <c r="I1" s="109" t="s">
        <v>139</v>
      </c>
      <c r="J1" s="102"/>
      <c r="K1" s="102"/>
      <c r="L1" s="69"/>
      <c r="M1" s="108" t="s">
        <v>140</v>
      </c>
      <c r="N1" s="102"/>
      <c r="O1" s="102"/>
      <c r="P1" s="69"/>
      <c r="Q1" s="84" t="s">
        <v>141</v>
      </c>
      <c r="R1" s="85"/>
      <c r="S1" s="85"/>
      <c r="T1" s="86"/>
    </row>
    <row r="2" spans="1:26" ht="17.25" customHeight="1">
      <c r="A2" s="95" t="s">
        <v>142</v>
      </c>
      <c r="B2" s="96"/>
      <c r="C2" s="97">
        <v>212282</v>
      </c>
      <c r="D2" s="98"/>
      <c r="E2" s="99" t="s">
        <v>151</v>
      </c>
      <c r="F2" s="96"/>
      <c r="G2" s="103">
        <v>4.4800000000000004</v>
      </c>
      <c r="H2" s="98"/>
      <c r="I2" s="104" t="s">
        <v>0</v>
      </c>
      <c r="J2" s="105"/>
      <c r="K2" s="100">
        <f>'006208.TW'!D3*'006208.TW'!C3*0.997</f>
        <v>131858.58395</v>
      </c>
      <c r="L2" s="98"/>
      <c r="M2" s="106" t="s">
        <v>1</v>
      </c>
      <c r="N2" s="105"/>
      <c r="O2" s="110">
        <f>VT!H3*VT!D3*投資!G2</f>
        <v>220291.58007298748</v>
      </c>
      <c r="P2" s="98"/>
      <c r="Q2" s="87" t="s">
        <v>129</v>
      </c>
      <c r="R2" s="88"/>
      <c r="S2" s="89">
        <f>(2090.69+192.62)*投資!G2</f>
        <v>72004.180850000004</v>
      </c>
      <c r="T2" s="90"/>
    </row>
    <row r="3" spans="1:26" ht="17.25" customHeight="1">
      <c r="A3" s="54" t="s">
        <v>143</v>
      </c>
      <c r="B3" s="45"/>
      <c r="C3" s="42">
        <v>12651</v>
      </c>
      <c r="D3" s="43"/>
      <c r="E3" s="44" t="s">
        <v>152</v>
      </c>
      <c r="F3" s="45"/>
      <c r="G3" s="59">
        <v>4000</v>
      </c>
      <c r="H3" s="43"/>
      <c r="I3" s="60" t="s">
        <v>2</v>
      </c>
      <c r="J3" s="53"/>
      <c r="K3" s="47">
        <f>'2890.TW'!D3*'2890.TW'!C3*0.997</f>
        <v>142713.571</v>
      </c>
      <c r="L3" s="43"/>
      <c r="M3" s="52"/>
      <c r="N3" s="53"/>
      <c r="O3" s="82"/>
      <c r="P3" s="43"/>
      <c r="Q3" s="91" t="s">
        <v>130</v>
      </c>
      <c r="R3" s="92"/>
      <c r="S3" s="93">
        <f>381.57*投資!G2</f>
        <v>12032.809949999999</v>
      </c>
      <c r="T3" s="94"/>
    </row>
    <row r="4" spans="1:26" ht="15.75" customHeight="1">
      <c r="A4" s="54" t="s">
        <v>144</v>
      </c>
      <c r="B4" s="45"/>
      <c r="C4" s="42">
        <v>120000</v>
      </c>
      <c r="D4" s="43"/>
      <c r="E4" s="44"/>
      <c r="F4" s="45"/>
      <c r="G4" s="59"/>
      <c r="H4" s="43"/>
      <c r="I4" s="60"/>
      <c r="J4" s="53"/>
      <c r="K4" s="47"/>
      <c r="L4" s="43"/>
      <c r="M4" s="52"/>
      <c r="N4" s="53"/>
      <c r="O4" s="82"/>
      <c r="P4" s="43"/>
      <c r="Q4" s="91" t="s">
        <v>131</v>
      </c>
      <c r="R4" s="92"/>
      <c r="S4" s="93">
        <f>303.22*投資!G2</f>
        <v>9562.0427000000018</v>
      </c>
      <c r="T4" s="94"/>
    </row>
    <row r="5" spans="1:26" ht="16.5" customHeight="1">
      <c r="A5" s="54" t="s">
        <v>145</v>
      </c>
      <c r="B5" s="45"/>
      <c r="C5" s="42">
        <v>48513</v>
      </c>
      <c r="D5" s="43"/>
      <c r="E5" s="44"/>
      <c r="F5" s="45"/>
      <c r="G5" s="59"/>
      <c r="H5" s="43"/>
      <c r="I5" s="72"/>
      <c r="J5" s="45"/>
      <c r="K5" s="47"/>
      <c r="L5" s="43"/>
      <c r="M5" s="52"/>
      <c r="N5" s="53"/>
      <c r="O5" s="82"/>
      <c r="P5" s="43"/>
      <c r="Q5" s="117" t="s">
        <v>132</v>
      </c>
      <c r="R5" s="118"/>
      <c r="S5" s="93">
        <f>180.29+500.66</f>
        <v>680.95</v>
      </c>
      <c r="T5" s="94"/>
    </row>
    <row r="6" spans="1:26" ht="17.25" customHeight="1">
      <c r="A6" s="54" t="s">
        <v>146</v>
      </c>
      <c r="B6" s="45"/>
      <c r="C6" s="42">
        <v>0</v>
      </c>
      <c r="D6" s="43"/>
      <c r="E6" s="44"/>
      <c r="F6" s="45"/>
      <c r="G6" s="59"/>
      <c r="H6" s="43"/>
      <c r="I6" s="72"/>
      <c r="J6" s="45"/>
      <c r="K6" s="47"/>
      <c r="L6" s="43"/>
      <c r="M6" s="46"/>
      <c r="N6" s="45"/>
      <c r="O6" s="82"/>
      <c r="P6" s="43"/>
      <c r="Q6" s="111"/>
      <c r="R6" s="112"/>
      <c r="S6" s="93"/>
      <c r="T6" s="94"/>
    </row>
    <row r="7" spans="1:26" ht="17.25" customHeight="1">
      <c r="A7" s="54" t="s">
        <v>147</v>
      </c>
      <c r="B7" s="45"/>
      <c r="C7" s="42">
        <v>100000</v>
      </c>
      <c r="D7" s="43"/>
      <c r="E7" s="44"/>
      <c r="F7" s="45"/>
      <c r="G7" s="59"/>
      <c r="H7" s="43"/>
      <c r="I7" s="72"/>
      <c r="J7" s="45"/>
      <c r="K7" s="47"/>
      <c r="L7" s="43"/>
      <c r="M7" s="46"/>
      <c r="N7" s="45"/>
      <c r="O7" s="82"/>
      <c r="P7" s="43"/>
      <c r="Q7" s="111"/>
      <c r="R7" s="112"/>
      <c r="S7" s="93"/>
      <c r="T7" s="94"/>
    </row>
    <row r="8" spans="1:26" ht="17.25" customHeight="1">
      <c r="A8" s="54" t="s">
        <v>148</v>
      </c>
      <c r="B8" s="45"/>
      <c r="C8" s="42">
        <v>60000</v>
      </c>
      <c r="D8" s="43"/>
      <c r="E8" s="44"/>
      <c r="F8" s="45"/>
      <c r="G8" s="59"/>
      <c r="H8" s="43"/>
      <c r="I8" s="72"/>
      <c r="J8" s="45"/>
      <c r="K8" s="47"/>
      <c r="L8" s="43"/>
      <c r="M8" s="46"/>
      <c r="N8" s="45"/>
      <c r="O8" s="82"/>
      <c r="P8" s="43"/>
      <c r="Q8" s="111"/>
      <c r="R8" s="112"/>
      <c r="S8" s="93"/>
      <c r="T8" s="94"/>
    </row>
    <row r="9" spans="1:26" ht="17.25" customHeight="1" thickBot="1">
      <c r="A9" s="57" t="s">
        <v>149</v>
      </c>
      <c r="B9" s="58"/>
      <c r="C9" s="79">
        <v>6000</v>
      </c>
      <c r="D9" s="80"/>
      <c r="E9" s="81"/>
      <c r="F9" s="51"/>
      <c r="G9" s="73"/>
      <c r="H9" s="49"/>
      <c r="I9" s="74"/>
      <c r="J9" s="51"/>
      <c r="K9" s="48"/>
      <c r="L9" s="49"/>
      <c r="M9" s="50"/>
      <c r="N9" s="51"/>
      <c r="O9" s="83"/>
      <c r="P9" s="49"/>
      <c r="Q9" s="113"/>
      <c r="R9" s="114"/>
      <c r="S9" s="115"/>
      <c r="T9" s="116"/>
    </row>
    <row r="10" spans="1:26" ht="17.25" customHeight="1" thickBot="1">
      <c r="A10" s="55" t="s">
        <v>150</v>
      </c>
      <c r="B10" s="56"/>
      <c r="C10" s="66">
        <f>SUM(C2:D9)</f>
        <v>559446</v>
      </c>
      <c r="D10" s="67"/>
      <c r="E10" s="55" t="s">
        <v>150</v>
      </c>
      <c r="F10" s="56"/>
      <c r="G10" s="66">
        <f>SUM(G2:H9)*投資!G2</f>
        <v>126281.27680000001</v>
      </c>
      <c r="H10" s="67"/>
      <c r="I10" s="55" t="s">
        <v>150</v>
      </c>
      <c r="J10" s="56"/>
      <c r="K10" s="66">
        <f>SUM(K2:L9)</f>
        <v>274572.15495</v>
      </c>
      <c r="L10" s="67"/>
      <c r="M10" s="55" t="s">
        <v>150</v>
      </c>
      <c r="N10" s="56"/>
      <c r="O10" s="66">
        <f>SUM(O2:P9)</f>
        <v>220291.58007298748</v>
      </c>
      <c r="P10" s="67"/>
      <c r="Q10" s="55" t="s">
        <v>150</v>
      </c>
      <c r="R10" s="56"/>
      <c r="S10" s="66">
        <f>SUM(S2:T9)</f>
        <v>94279.983500000002</v>
      </c>
      <c r="T10" s="67"/>
    </row>
    <row r="11" spans="1:26" ht="31.5" customHeight="1" thickBot="1">
      <c r="A11" s="40" t="s">
        <v>135</v>
      </c>
      <c r="B11" s="41"/>
      <c r="C11" s="68" t="s">
        <v>136</v>
      </c>
      <c r="D11" s="41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1">
        <f>C10+G10+K10+O10+S10</f>
        <v>1274870.9953229874</v>
      </c>
      <c r="B12" s="62"/>
      <c r="C12" s="75">
        <v>19182</v>
      </c>
      <c r="D12" s="76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63"/>
      <c r="B13" s="64"/>
      <c r="C13" s="77"/>
      <c r="D13" s="78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40" t="s">
        <v>134</v>
      </c>
      <c r="B14" s="69"/>
      <c r="C14" s="68" t="s">
        <v>133</v>
      </c>
      <c r="D14" s="69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1">
        <f>A12-C12</f>
        <v>1255688.9953229874</v>
      </c>
      <c r="B16" s="62"/>
      <c r="C16" s="65">
        <f>C12/A12</f>
        <v>1.5046228261817391E-2</v>
      </c>
      <c r="D16" s="62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63"/>
      <c r="B17" s="64"/>
      <c r="C17" s="63"/>
      <c r="D17" s="64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Q10:R10"/>
    <mergeCell ref="S10:T10"/>
    <mergeCell ref="Q7:R7"/>
    <mergeCell ref="S7:T7"/>
    <mergeCell ref="Q8:R8"/>
    <mergeCell ref="S8:T8"/>
    <mergeCell ref="Q9:R9"/>
    <mergeCell ref="S9:T9"/>
    <mergeCell ref="Q4:R4"/>
    <mergeCell ref="S4:T4"/>
    <mergeCell ref="Q5:R5"/>
    <mergeCell ref="S5:T5"/>
    <mergeCell ref="Q6:R6"/>
    <mergeCell ref="S6:T6"/>
    <mergeCell ref="Q1:T1"/>
    <mergeCell ref="Q2:R2"/>
    <mergeCell ref="S2:T2"/>
    <mergeCell ref="Q3:R3"/>
    <mergeCell ref="S3:T3"/>
    <mergeCell ref="A2:B2"/>
    <mergeCell ref="C2:D2"/>
    <mergeCell ref="M6:N6"/>
    <mergeCell ref="E2:F2"/>
    <mergeCell ref="A6:B6"/>
    <mergeCell ref="K2:L2"/>
    <mergeCell ref="E1:H1"/>
    <mergeCell ref="G2:H2"/>
    <mergeCell ref="I2:J2"/>
    <mergeCell ref="M2:N2"/>
    <mergeCell ref="A1:D1"/>
    <mergeCell ref="M1:P1"/>
    <mergeCell ref="I1:L1"/>
    <mergeCell ref="O2:P2"/>
    <mergeCell ref="C10:D10"/>
    <mergeCell ref="E10:F10"/>
    <mergeCell ref="G10:H10"/>
    <mergeCell ref="G6:H6"/>
    <mergeCell ref="C9:D9"/>
    <mergeCell ref="E9:F9"/>
    <mergeCell ref="O3:P3"/>
    <mergeCell ref="O9:P9"/>
    <mergeCell ref="O5:P5"/>
    <mergeCell ref="O7:P7"/>
    <mergeCell ref="O6:P6"/>
    <mergeCell ref="O8:P8"/>
    <mergeCell ref="O4:P4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A7:B7"/>
    <mergeCell ref="M10:N10"/>
    <mergeCell ref="M8:N8"/>
    <mergeCell ref="A9:B9"/>
    <mergeCell ref="C3:D3"/>
    <mergeCell ref="E3:F3"/>
    <mergeCell ref="A3:B3"/>
    <mergeCell ref="K8:L8"/>
    <mergeCell ref="K7:L7"/>
    <mergeCell ref="C6:D6"/>
    <mergeCell ref="E8:F8"/>
    <mergeCell ref="G3:H3"/>
    <mergeCell ref="I3:J3"/>
    <mergeCell ref="C11:D11"/>
  </mergeCells>
  <phoneticPr fontId="8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E17" sqref="E17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44" t="s">
        <v>156</v>
      </c>
      <c r="B1" s="146"/>
      <c r="C1" s="147"/>
      <c r="D1" s="3"/>
      <c r="E1" s="148" t="s">
        <v>153</v>
      </c>
      <c r="F1" s="148" t="s">
        <v>154</v>
      </c>
      <c r="G1" s="148" t="s">
        <v>155</v>
      </c>
    </row>
    <row r="2" spans="1:10" ht="21.75" customHeight="1">
      <c r="A2" s="4" t="s">
        <v>3</v>
      </c>
      <c r="B2" s="4" t="s">
        <v>4</v>
      </c>
      <c r="C2" s="4" t="s">
        <v>5</v>
      </c>
      <c r="D2" s="5"/>
      <c r="E2" s="6">
        <v>304</v>
      </c>
      <c r="F2" s="6">
        <v>0</v>
      </c>
      <c r="G2" s="28">
        <v>31.535</v>
      </c>
    </row>
    <row r="3" spans="1:10" ht="17.25" customHeight="1">
      <c r="A3" s="121">
        <f>('006208.TW'!E3+'00692.TW'!E3+'2890.TW'!E3)-('006208.TW'!F3+'00692.TW'!F3+'2890.TW'!F3)-E2</f>
        <v>122717</v>
      </c>
      <c r="B3" s="121">
        <f>總資產!K10</f>
        <v>274572.15495</v>
      </c>
      <c r="C3" s="7">
        <f>C4/A3</f>
        <v>1.2374418780609042</v>
      </c>
      <c r="D3" s="8"/>
      <c r="E3" s="9"/>
      <c r="F3" s="9"/>
      <c r="G3" s="9"/>
    </row>
    <row r="4" spans="1:10" ht="17.25" customHeight="1">
      <c r="A4" s="122"/>
      <c r="B4" s="122"/>
      <c r="C4" s="29">
        <f>B3-A3</f>
        <v>151855.15495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44" t="s">
        <v>157</v>
      </c>
      <c r="B8" s="146"/>
      <c r="C8" s="147"/>
      <c r="D8" s="5"/>
      <c r="E8" s="145" t="s">
        <v>6</v>
      </c>
      <c r="F8" s="146"/>
      <c r="G8" s="147"/>
    </row>
    <row r="9" spans="1:10" ht="15" customHeight="1">
      <c r="A9" s="4" t="s">
        <v>3</v>
      </c>
      <c r="B9" s="4" t="s">
        <v>4</v>
      </c>
      <c r="C9" s="4" t="s">
        <v>5</v>
      </c>
      <c r="D9" s="5"/>
      <c r="E9" s="4" t="s">
        <v>3</v>
      </c>
      <c r="F9" s="4" t="s">
        <v>4</v>
      </c>
      <c r="G9" s="4" t="s">
        <v>5</v>
      </c>
    </row>
    <row r="10" spans="1:10" ht="18" customHeight="1">
      <c r="A10" s="121">
        <f>(BND!E3+VT!E3)-(BND!F3+VT!F3)</f>
        <v>173526.90503000002</v>
      </c>
      <c r="B10" s="121">
        <f>總資產!O10</f>
        <v>220291.58007298748</v>
      </c>
      <c r="C10" s="7">
        <f>C11/A10</f>
        <v>0.26949524072306014</v>
      </c>
      <c r="D10" s="5"/>
      <c r="E10" s="121">
        <f>A3+A10+A17</f>
        <v>416303.90503000002</v>
      </c>
      <c r="F10" s="121">
        <f>B3+B10+B17</f>
        <v>589143.71852298744</v>
      </c>
      <c r="G10" s="7">
        <f>G11/E10</f>
        <v>0.41517701708931148</v>
      </c>
    </row>
    <row r="11" spans="1:10" ht="18" customHeight="1">
      <c r="A11" s="122"/>
      <c r="B11" s="122"/>
      <c r="C11" s="29">
        <f>B10-A10</f>
        <v>46764.675042987452</v>
      </c>
      <c r="D11" s="5"/>
      <c r="E11" s="122"/>
      <c r="F11" s="122"/>
      <c r="G11" s="31">
        <f>F10-E10</f>
        <v>172839.81349298742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>
      <c r="A15" s="144" t="s">
        <v>158</v>
      </c>
      <c r="B15" s="146"/>
      <c r="C15" s="147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</v>
      </c>
      <c r="B16" s="4" t="s">
        <v>4</v>
      </c>
      <c r="C16" s="4" t="s">
        <v>5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21">
        <f>10000+20015+30015+30015+30015</f>
        <v>120060</v>
      </c>
      <c r="B17" s="121">
        <f>總資產!S10</f>
        <v>94279.983500000002</v>
      </c>
      <c r="C17" s="7">
        <f>C18/A17</f>
        <v>-0.21472610777944359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22"/>
      <c r="B18" s="122"/>
      <c r="C18" s="29">
        <f>B17-A17</f>
        <v>-25780.016499999998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5:C15"/>
    <mergeCell ref="A17:A18"/>
    <mergeCell ref="B17:B18"/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8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conditionalFormatting sqref="C17:C18">
    <cfRule type="cellIs" dxfId="1" priority="1" operator="lessThan">
      <formula>0</formula>
    </cfRule>
    <cfRule type="cellIs" dxfId="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33" t="s">
        <v>7</v>
      </c>
      <c r="D1" s="134"/>
      <c r="E1" s="134"/>
      <c r="F1" s="138" t="s">
        <v>8</v>
      </c>
      <c r="G1" s="120"/>
      <c r="H1" s="136"/>
      <c r="I1" s="119"/>
      <c r="J1" s="120"/>
    </row>
    <row r="2" spans="1:10" ht="21.75" customHeight="1">
      <c r="A2" s="4" t="s">
        <v>9</v>
      </c>
      <c r="B2" s="4" t="s">
        <v>10</v>
      </c>
      <c r="C2" s="4" t="s">
        <v>11</v>
      </c>
      <c r="D2" s="4" t="s">
        <v>12</v>
      </c>
      <c r="E2" s="4" t="s">
        <v>3</v>
      </c>
      <c r="F2" s="4" t="s">
        <v>13</v>
      </c>
      <c r="G2" s="4" t="s">
        <v>5</v>
      </c>
      <c r="H2" s="27"/>
      <c r="I2" s="27"/>
      <c r="J2" s="19"/>
    </row>
    <row r="3" spans="1:10" ht="18.75" customHeight="1">
      <c r="A3" s="125">
        <f>(E3-F3)/D3</f>
        <v>95.763659466327823</v>
      </c>
      <c r="B3" s="128">
        <f>E3/D3</f>
        <v>100.80686149936467</v>
      </c>
      <c r="C3" s="140" t="s">
        <v>14</v>
      </c>
      <c r="D3" s="135">
        <f>SUM(D7:D505)</f>
        <v>787</v>
      </c>
      <c r="E3" s="137">
        <f>SUM(E7:E505)</f>
        <v>79335</v>
      </c>
      <c r="F3" s="137">
        <f>SUM(F6:G505)</f>
        <v>3969</v>
      </c>
      <c r="G3" s="7">
        <f>G4/E3</f>
        <v>0.7170775824037311</v>
      </c>
      <c r="H3" s="130"/>
      <c r="I3" s="132"/>
      <c r="J3" s="131"/>
    </row>
    <row r="4" spans="1:10" ht="18.75" customHeight="1">
      <c r="A4" s="122"/>
      <c r="B4" s="122"/>
      <c r="C4" s="127"/>
      <c r="D4" s="122"/>
      <c r="E4" s="122"/>
      <c r="F4" s="122"/>
      <c r="G4" s="32">
        <f>D3*C3-E3+F3</f>
        <v>56889.350000000006</v>
      </c>
      <c r="H4" s="127"/>
      <c r="I4" s="127"/>
      <c r="J4" s="127"/>
    </row>
    <row r="5" spans="1:10">
      <c r="A5" s="16" t="s">
        <v>15</v>
      </c>
      <c r="B5" s="24" t="s">
        <v>16</v>
      </c>
      <c r="C5" s="16" t="s">
        <v>17</v>
      </c>
      <c r="D5" s="16" t="s">
        <v>18</v>
      </c>
      <c r="E5" s="16" t="s">
        <v>19</v>
      </c>
      <c r="F5" s="139" t="s">
        <v>20</v>
      </c>
      <c r="G5" s="120"/>
      <c r="H5" s="126"/>
      <c r="I5" s="126"/>
      <c r="J5" s="126"/>
    </row>
    <row r="6" spans="1:10">
      <c r="A6" s="17">
        <v>1</v>
      </c>
      <c r="B6" s="124" t="s">
        <v>21</v>
      </c>
      <c r="C6" s="119"/>
      <c r="D6" s="119"/>
      <c r="E6" s="120"/>
      <c r="F6" s="129"/>
      <c r="G6" s="120"/>
      <c r="H6" s="127"/>
      <c r="I6" s="127"/>
      <c r="J6" s="127"/>
    </row>
    <row r="7" spans="1:10">
      <c r="A7" s="17">
        <v>2</v>
      </c>
      <c r="B7" s="25" t="s">
        <v>22</v>
      </c>
      <c r="C7" s="33">
        <v>76.47</v>
      </c>
      <c r="D7" s="26">
        <v>6</v>
      </c>
      <c r="E7" s="26">
        <v>459</v>
      </c>
      <c r="F7" s="123"/>
      <c r="G7" s="120"/>
      <c r="H7" s="20"/>
      <c r="I7" s="20"/>
      <c r="J7" s="20"/>
    </row>
    <row r="8" spans="1:10">
      <c r="A8" s="17">
        <v>3</v>
      </c>
      <c r="B8" s="25" t="s">
        <v>23</v>
      </c>
      <c r="C8" s="33">
        <v>73.650000000000006</v>
      </c>
      <c r="D8" s="26">
        <v>20</v>
      </c>
      <c r="E8" s="26">
        <v>1475</v>
      </c>
      <c r="F8" s="123"/>
      <c r="G8" s="120"/>
      <c r="H8" s="20"/>
      <c r="I8" s="20"/>
      <c r="J8" s="20"/>
    </row>
    <row r="9" spans="1:10">
      <c r="A9" s="17">
        <v>4</v>
      </c>
      <c r="B9" s="25" t="s">
        <v>24</v>
      </c>
      <c r="C9" s="33">
        <v>74.3</v>
      </c>
      <c r="D9" s="26">
        <v>40</v>
      </c>
      <c r="E9" s="26">
        <v>2976</v>
      </c>
      <c r="F9" s="123"/>
      <c r="G9" s="120"/>
      <c r="H9" s="20"/>
      <c r="I9" s="20"/>
      <c r="J9" s="20"/>
    </row>
    <row r="10" spans="1:10">
      <c r="A10" s="17">
        <v>5</v>
      </c>
      <c r="B10" s="25" t="s">
        <v>25</v>
      </c>
      <c r="C10" s="33">
        <v>73.56</v>
      </c>
      <c r="D10" s="26">
        <v>20</v>
      </c>
      <c r="E10" s="26">
        <v>1472</v>
      </c>
      <c r="F10" s="123"/>
      <c r="G10" s="120"/>
      <c r="H10" s="20"/>
      <c r="I10" s="20"/>
      <c r="J10" s="20"/>
    </row>
    <row r="11" spans="1:10">
      <c r="A11" s="17">
        <v>6</v>
      </c>
      <c r="B11" s="25" t="s">
        <v>26</v>
      </c>
      <c r="C11" s="33">
        <v>71.61</v>
      </c>
      <c r="D11" s="26">
        <v>21</v>
      </c>
      <c r="E11" s="26">
        <v>1505</v>
      </c>
      <c r="F11" s="123"/>
      <c r="G11" s="120"/>
      <c r="H11" s="20"/>
      <c r="I11" s="20"/>
      <c r="J11" s="20"/>
    </row>
    <row r="12" spans="1:10">
      <c r="A12" s="17">
        <v>7</v>
      </c>
      <c r="B12" s="25" t="s">
        <v>27</v>
      </c>
      <c r="C12" s="33">
        <v>71.849999999999994</v>
      </c>
      <c r="D12" s="26">
        <v>21</v>
      </c>
      <c r="E12" s="26">
        <v>1510</v>
      </c>
      <c r="F12" s="123"/>
      <c r="G12" s="120"/>
      <c r="H12" s="20"/>
      <c r="I12" s="20"/>
      <c r="J12" s="20"/>
    </row>
    <row r="13" spans="1:10">
      <c r="A13" s="17">
        <v>8</v>
      </c>
      <c r="B13" s="25" t="s">
        <v>28</v>
      </c>
      <c r="C13" s="33">
        <v>70.75</v>
      </c>
      <c r="D13" s="26">
        <v>30</v>
      </c>
      <c r="E13" s="26">
        <v>2125</v>
      </c>
      <c r="F13" s="123"/>
      <c r="G13" s="120"/>
      <c r="H13" s="20"/>
      <c r="I13" s="20"/>
      <c r="J13" s="20"/>
    </row>
    <row r="14" spans="1:10">
      <c r="A14" s="17">
        <v>9</v>
      </c>
      <c r="B14" s="25" t="s">
        <v>29</v>
      </c>
      <c r="C14" s="33">
        <v>73.23</v>
      </c>
      <c r="D14" s="26">
        <v>21</v>
      </c>
      <c r="E14" s="18">
        <v>1539</v>
      </c>
      <c r="F14" s="123"/>
      <c r="G14" s="120"/>
      <c r="H14" s="20"/>
      <c r="I14" s="20"/>
      <c r="J14" s="20"/>
    </row>
    <row r="15" spans="1:10">
      <c r="A15" s="17">
        <v>10</v>
      </c>
      <c r="B15" s="25" t="s">
        <v>30</v>
      </c>
      <c r="C15" s="33">
        <v>74.8</v>
      </c>
      <c r="D15" s="26">
        <v>20</v>
      </c>
      <c r="E15" s="26">
        <v>1497</v>
      </c>
      <c r="F15" s="123"/>
      <c r="G15" s="120"/>
      <c r="H15" s="20"/>
      <c r="I15" s="20"/>
      <c r="J15" s="20"/>
    </row>
    <row r="16" spans="1:10">
      <c r="A16" s="17">
        <v>11</v>
      </c>
      <c r="B16" s="25" t="s">
        <v>31</v>
      </c>
      <c r="C16" s="33"/>
      <c r="D16" s="26"/>
      <c r="E16" s="26"/>
      <c r="F16" s="123">
        <v>152</v>
      </c>
      <c r="G16" s="120"/>
      <c r="H16" s="20"/>
      <c r="I16" s="20"/>
      <c r="J16" s="20"/>
    </row>
    <row r="17" spans="1:10" s="12" customFormat="1" ht="16.5" customHeight="1">
      <c r="A17" s="17">
        <v>12</v>
      </c>
      <c r="B17" s="25" t="s">
        <v>31</v>
      </c>
      <c r="C17" s="33">
        <v>75.150000000000006</v>
      </c>
      <c r="D17" s="26">
        <v>20</v>
      </c>
      <c r="E17" s="26">
        <v>1505</v>
      </c>
      <c r="F17" s="123"/>
      <c r="G17" s="120"/>
      <c r="H17" s="20"/>
      <c r="I17" s="20"/>
      <c r="J17" s="20"/>
    </row>
    <row r="18" spans="1:10" s="12" customFormat="1" ht="16.5" customHeight="1">
      <c r="A18" s="17">
        <v>13</v>
      </c>
      <c r="B18" s="25" t="s">
        <v>32</v>
      </c>
      <c r="C18" s="33">
        <v>75.95</v>
      </c>
      <c r="D18" s="26">
        <v>20</v>
      </c>
      <c r="E18" s="26">
        <v>1520</v>
      </c>
      <c r="F18" s="123"/>
      <c r="G18" s="120"/>
      <c r="H18" s="20"/>
      <c r="I18" s="20"/>
      <c r="J18" s="20"/>
    </row>
    <row r="19" spans="1:10" s="12" customFormat="1" ht="16.5" customHeight="1">
      <c r="A19" s="17">
        <v>14</v>
      </c>
      <c r="B19" s="25" t="s">
        <v>33</v>
      </c>
      <c r="C19" s="33">
        <v>78.150000000000006</v>
      </c>
      <c r="D19" s="26">
        <v>20</v>
      </c>
      <c r="E19" s="26">
        <v>1565</v>
      </c>
      <c r="F19" s="123"/>
      <c r="G19" s="120"/>
      <c r="H19" s="20"/>
      <c r="I19" s="20"/>
      <c r="J19" s="20"/>
    </row>
    <row r="20" spans="1:10" s="12" customFormat="1" ht="16.5" customHeight="1">
      <c r="A20" s="17">
        <v>15</v>
      </c>
      <c r="B20" s="25" t="s">
        <v>34</v>
      </c>
      <c r="C20" s="33">
        <v>82.89</v>
      </c>
      <c r="D20" s="26">
        <v>19</v>
      </c>
      <c r="E20" s="26">
        <v>1576</v>
      </c>
      <c r="F20" s="123"/>
      <c r="G20" s="120"/>
      <c r="H20" s="20"/>
      <c r="I20" s="20"/>
      <c r="J20" s="20"/>
    </row>
    <row r="21" spans="1:10" s="12" customFormat="1" ht="16.5" customHeight="1">
      <c r="A21" s="17">
        <v>16</v>
      </c>
      <c r="B21" s="25" t="s">
        <v>35</v>
      </c>
      <c r="C21" s="33">
        <v>86.59</v>
      </c>
      <c r="D21" s="26">
        <v>17</v>
      </c>
      <c r="E21" s="26">
        <v>1473</v>
      </c>
      <c r="F21" s="123"/>
      <c r="G21" s="120"/>
      <c r="H21" s="20"/>
      <c r="I21" s="20"/>
      <c r="J21" s="20"/>
    </row>
    <row r="22" spans="1:10" s="12" customFormat="1" ht="16.5" customHeight="1">
      <c r="A22" s="17">
        <v>17</v>
      </c>
      <c r="B22" s="25" t="s">
        <v>36</v>
      </c>
      <c r="C22" s="33">
        <v>93.25</v>
      </c>
      <c r="D22" s="26">
        <v>16</v>
      </c>
      <c r="E22" s="26">
        <v>1493</v>
      </c>
      <c r="F22" s="123"/>
      <c r="G22" s="120"/>
      <c r="H22" s="20"/>
      <c r="I22" s="20"/>
      <c r="J22" s="20"/>
    </row>
    <row r="23" spans="1:10" s="12" customFormat="1" ht="16.5" customHeight="1">
      <c r="A23" s="17">
        <v>18</v>
      </c>
      <c r="B23" s="25" t="s">
        <v>37</v>
      </c>
      <c r="C23" s="33">
        <v>93.53</v>
      </c>
      <c r="D23" s="26">
        <v>17</v>
      </c>
      <c r="E23" s="26">
        <v>1591</v>
      </c>
      <c r="F23" s="123"/>
      <c r="G23" s="120"/>
      <c r="H23" s="20"/>
      <c r="I23" s="20"/>
      <c r="J23" s="20"/>
    </row>
    <row r="24" spans="1:10" s="12" customFormat="1" ht="16.5" customHeight="1">
      <c r="A24" s="17">
        <v>19</v>
      </c>
      <c r="B24" s="25" t="s">
        <v>38</v>
      </c>
      <c r="C24" s="33">
        <v>101.93</v>
      </c>
      <c r="D24" s="26">
        <v>15</v>
      </c>
      <c r="E24" s="26">
        <v>1530</v>
      </c>
      <c r="F24" s="123"/>
      <c r="G24" s="120"/>
      <c r="H24" s="20"/>
      <c r="I24" s="20"/>
      <c r="J24" s="20"/>
    </row>
    <row r="25" spans="1:10" s="12" customFormat="1" ht="16.5" customHeight="1">
      <c r="A25" s="17">
        <v>20</v>
      </c>
      <c r="B25" s="25" t="s">
        <v>39</v>
      </c>
      <c r="C25" s="33">
        <v>115.31</v>
      </c>
      <c r="D25" s="26">
        <v>13</v>
      </c>
      <c r="E25" s="26">
        <v>1500</v>
      </c>
      <c r="F25" s="123"/>
      <c r="G25" s="120"/>
      <c r="H25" s="20"/>
      <c r="I25" s="20"/>
      <c r="J25" s="20"/>
    </row>
    <row r="26" spans="1:10" s="12" customFormat="1" ht="16.5" customHeight="1">
      <c r="A26" s="17">
        <v>21</v>
      </c>
      <c r="B26" s="25" t="s">
        <v>40</v>
      </c>
      <c r="C26" s="33">
        <v>97.13</v>
      </c>
      <c r="D26" s="26">
        <v>16</v>
      </c>
      <c r="E26" s="26">
        <v>1555</v>
      </c>
      <c r="F26" s="123"/>
      <c r="G26" s="120"/>
      <c r="H26" s="20"/>
      <c r="I26" s="20"/>
      <c r="J26" s="20"/>
    </row>
    <row r="27" spans="1:10" s="12" customFormat="1" ht="16.5" customHeight="1">
      <c r="A27" s="17">
        <v>22</v>
      </c>
      <c r="B27" s="25" t="s">
        <v>41</v>
      </c>
      <c r="C27" s="33"/>
      <c r="D27" s="26"/>
      <c r="E27" s="26"/>
      <c r="F27" s="123">
        <v>279</v>
      </c>
      <c r="G27" s="120"/>
      <c r="H27" s="20"/>
      <c r="I27" s="20"/>
      <c r="J27" s="20"/>
    </row>
    <row r="28" spans="1:10" s="12" customFormat="1" ht="16.5" customHeight="1">
      <c r="A28" s="17">
        <v>23</v>
      </c>
      <c r="B28" s="25" t="s">
        <v>42</v>
      </c>
      <c r="C28" s="33">
        <v>107</v>
      </c>
      <c r="D28" s="26">
        <v>1</v>
      </c>
      <c r="E28" s="26">
        <v>108</v>
      </c>
      <c r="F28" s="123"/>
      <c r="G28" s="120"/>
      <c r="H28" s="20"/>
      <c r="I28" s="20"/>
      <c r="J28" s="20"/>
    </row>
    <row r="29" spans="1:10" s="12" customFormat="1" ht="16.5" customHeight="1">
      <c r="A29" s="17">
        <v>24</v>
      </c>
      <c r="B29" s="25" t="s">
        <v>43</v>
      </c>
      <c r="C29" s="33">
        <v>102.07</v>
      </c>
      <c r="D29" s="26">
        <v>15</v>
      </c>
      <c r="E29" s="26">
        <v>1532</v>
      </c>
      <c r="F29" s="123"/>
      <c r="G29" s="120"/>
      <c r="H29" s="20"/>
      <c r="I29" s="20"/>
      <c r="J29" s="20"/>
    </row>
    <row r="30" spans="1:10" s="12" customFormat="1" ht="16.5" customHeight="1">
      <c r="A30" s="17">
        <v>25</v>
      </c>
      <c r="B30" s="25" t="s">
        <v>44</v>
      </c>
      <c r="C30" s="33">
        <v>109.64</v>
      </c>
      <c r="D30" s="26">
        <v>14</v>
      </c>
      <c r="E30" s="26">
        <v>1535</v>
      </c>
      <c r="F30" s="123"/>
      <c r="G30" s="120"/>
      <c r="H30" s="20"/>
      <c r="I30" s="20"/>
      <c r="J30" s="20"/>
    </row>
    <row r="31" spans="1:10" s="12" customFormat="1" ht="16.5" customHeight="1">
      <c r="A31" s="17">
        <v>26</v>
      </c>
      <c r="B31" s="25" t="s">
        <v>45</v>
      </c>
      <c r="C31" s="33">
        <v>114.77</v>
      </c>
      <c r="D31" s="26">
        <v>13</v>
      </c>
      <c r="E31" s="26">
        <v>1493</v>
      </c>
      <c r="F31" s="123"/>
      <c r="G31" s="120"/>
      <c r="H31" s="20"/>
      <c r="I31" s="20"/>
      <c r="J31" s="20"/>
    </row>
    <row r="32" spans="1:10" s="12" customFormat="1" ht="16.5" customHeight="1">
      <c r="A32" s="17">
        <v>27</v>
      </c>
      <c r="B32" s="25" t="s">
        <v>46</v>
      </c>
      <c r="C32" s="33">
        <v>113.64</v>
      </c>
      <c r="D32" s="26">
        <v>14</v>
      </c>
      <c r="E32" s="26">
        <v>1592</v>
      </c>
      <c r="F32" s="123"/>
      <c r="G32" s="120"/>
      <c r="H32" s="20"/>
      <c r="I32" s="20"/>
      <c r="J32" s="20"/>
    </row>
    <row r="33" spans="1:10" s="12" customFormat="1" ht="16.5" customHeight="1">
      <c r="A33" s="17">
        <v>28</v>
      </c>
      <c r="B33" s="25" t="s">
        <v>47</v>
      </c>
      <c r="C33" s="33"/>
      <c r="D33" s="26"/>
      <c r="E33" s="26"/>
      <c r="F33" s="123">
        <v>374</v>
      </c>
      <c r="G33" s="120"/>
      <c r="H33" s="20"/>
      <c r="I33" s="20"/>
      <c r="J33" s="20"/>
    </row>
    <row r="34" spans="1:10" s="12" customFormat="1" ht="16.5" customHeight="1">
      <c r="A34" s="17">
        <v>29</v>
      </c>
      <c r="B34" s="25" t="s">
        <v>48</v>
      </c>
      <c r="C34" s="33">
        <v>112.5</v>
      </c>
      <c r="D34" s="26">
        <v>2</v>
      </c>
      <c r="E34" s="26">
        <v>226</v>
      </c>
      <c r="F34" s="123"/>
      <c r="G34" s="120"/>
      <c r="H34" s="20"/>
      <c r="I34" s="20"/>
      <c r="J34" s="20"/>
    </row>
    <row r="35" spans="1:10" s="12" customFormat="1" ht="16.5" customHeight="1">
      <c r="A35" s="17">
        <v>30</v>
      </c>
      <c r="B35" s="25" t="s">
        <v>49</v>
      </c>
      <c r="C35" s="33">
        <v>116.46</v>
      </c>
      <c r="D35" s="26">
        <v>13</v>
      </c>
      <c r="E35" s="26">
        <v>1515</v>
      </c>
      <c r="F35" s="123"/>
      <c r="G35" s="120"/>
      <c r="H35" s="20"/>
      <c r="I35" s="20"/>
      <c r="J35" s="20"/>
    </row>
    <row r="36" spans="1:10" s="12" customFormat="1" ht="16.5" customHeight="1">
      <c r="A36" s="17">
        <v>31</v>
      </c>
      <c r="B36" s="25" t="s">
        <v>50</v>
      </c>
      <c r="C36" s="33">
        <v>116.15</v>
      </c>
      <c r="D36" s="26">
        <v>13</v>
      </c>
      <c r="E36" s="26">
        <v>1511</v>
      </c>
      <c r="F36" s="123"/>
      <c r="G36" s="120"/>
      <c r="H36" s="20"/>
      <c r="I36" s="20"/>
      <c r="J36" s="20"/>
    </row>
    <row r="37" spans="1:10" s="12" customFormat="1" ht="16.5" customHeight="1">
      <c r="A37" s="17">
        <v>32</v>
      </c>
      <c r="B37" s="25" t="s">
        <v>50</v>
      </c>
      <c r="C37" s="33">
        <v>116.35</v>
      </c>
      <c r="D37" s="26">
        <v>100</v>
      </c>
      <c r="E37" s="26">
        <v>10814</v>
      </c>
      <c r="F37" s="123"/>
      <c r="G37" s="120"/>
      <c r="H37" s="20"/>
      <c r="I37" s="20"/>
      <c r="J37" s="20"/>
    </row>
    <row r="38" spans="1:10" s="12" customFormat="1" ht="16.5" customHeight="1">
      <c r="A38" s="17">
        <v>33</v>
      </c>
      <c r="B38" s="25" t="s">
        <v>51</v>
      </c>
      <c r="C38" s="33">
        <v>110.44</v>
      </c>
      <c r="D38" s="26">
        <v>18</v>
      </c>
      <c r="E38" s="26">
        <v>1989</v>
      </c>
      <c r="F38" s="123"/>
      <c r="G38" s="120"/>
      <c r="H38" s="20"/>
      <c r="I38" s="20"/>
      <c r="J38" s="20"/>
    </row>
    <row r="39" spans="1:10" s="12" customFormat="1" ht="16.5" customHeight="1">
      <c r="A39" s="17">
        <v>34</v>
      </c>
      <c r="B39" s="25" t="s">
        <v>52</v>
      </c>
      <c r="C39" s="33">
        <v>93.32</v>
      </c>
      <c r="D39" s="26">
        <v>22</v>
      </c>
      <c r="E39" s="26">
        <v>2054</v>
      </c>
      <c r="F39" s="123"/>
      <c r="G39" s="120"/>
      <c r="H39" s="20"/>
      <c r="I39" s="20"/>
      <c r="J39" s="20"/>
    </row>
    <row r="40" spans="1:10" s="12" customFormat="1" ht="16.5" customHeight="1">
      <c r="A40" s="17">
        <v>35</v>
      </c>
      <c r="B40" s="25" t="s">
        <v>53</v>
      </c>
      <c r="C40" s="33">
        <v>100.5</v>
      </c>
      <c r="D40" s="26">
        <v>20</v>
      </c>
      <c r="E40" s="26">
        <v>2011</v>
      </c>
      <c r="F40" s="123"/>
      <c r="G40" s="120"/>
      <c r="H40" s="20"/>
      <c r="I40" s="20"/>
      <c r="J40" s="20"/>
    </row>
    <row r="41" spans="1:10" s="12" customFormat="1" ht="16.5" customHeight="1">
      <c r="A41" s="17">
        <v>36</v>
      </c>
      <c r="B41" s="25" t="s">
        <v>54</v>
      </c>
      <c r="C41" s="33">
        <v>107</v>
      </c>
      <c r="D41" s="26">
        <v>19</v>
      </c>
      <c r="E41" s="26">
        <v>2034</v>
      </c>
      <c r="F41" s="123"/>
      <c r="G41" s="120"/>
      <c r="H41" s="20"/>
      <c r="I41" s="20"/>
      <c r="J41" s="20"/>
    </row>
    <row r="42" spans="1:10" s="12" customFormat="1" ht="16.5" customHeight="1">
      <c r="A42" s="17">
        <v>37</v>
      </c>
      <c r="B42" s="25" t="s">
        <v>55</v>
      </c>
      <c r="C42" s="33">
        <v>114</v>
      </c>
      <c r="D42" s="26">
        <v>18</v>
      </c>
      <c r="E42" s="26">
        <v>2053</v>
      </c>
      <c r="F42" s="123"/>
      <c r="G42" s="120"/>
      <c r="H42" s="20"/>
      <c r="I42" s="20"/>
      <c r="J42" s="20"/>
    </row>
    <row r="43" spans="1:10" s="12" customFormat="1" ht="16.5" customHeight="1">
      <c r="A43" s="17">
        <v>38</v>
      </c>
      <c r="B43" s="25" t="s">
        <v>56</v>
      </c>
      <c r="C43" s="33">
        <v>119.24</v>
      </c>
      <c r="D43" s="26">
        <v>17</v>
      </c>
      <c r="E43" s="26">
        <v>2028</v>
      </c>
      <c r="F43" s="123"/>
      <c r="G43" s="120"/>
      <c r="H43" s="20"/>
      <c r="I43" s="20"/>
      <c r="J43" s="20"/>
    </row>
    <row r="44" spans="1:10" s="12" customFormat="1" ht="16.5" customHeight="1">
      <c r="A44" s="17">
        <v>39</v>
      </c>
      <c r="B44" s="25" t="s">
        <v>57</v>
      </c>
      <c r="C44" s="33"/>
      <c r="D44" s="26"/>
      <c r="E44" s="26"/>
      <c r="F44" s="123">
        <v>647</v>
      </c>
      <c r="G44" s="120"/>
      <c r="H44" s="20"/>
      <c r="I44" s="20"/>
      <c r="J44" s="20"/>
    </row>
    <row r="45" spans="1:10" s="12" customFormat="1" ht="16.5" customHeight="1">
      <c r="A45" s="17">
        <v>40</v>
      </c>
      <c r="B45" s="25" t="s">
        <v>58</v>
      </c>
      <c r="C45" s="33">
        <v>124.5</v>
      </c>
      <c r="D45" s="26">
        <v>4</v>
      </c>
      <c r="E45" s="26">
        <v>499</v>
      </c>
      <c r="F45" s="123"/>
      <c r="G45" s="120"/>
      <c r="H45" s="20"/>
      <c r="I45" s="20"/>
      <c r="J45" s="20"/>
    </row>
    <row r="46" spans="1:10" s="12" customFormat="1" ht="16.5" customHeight="1">
      <c r="A46" s="17">
        <v>41</v>
      </c>
      <c r="B46" s="25" t="s">
        <v>59</v>
      </c>
      <c r="C46" s="33">
        <v>124.69</v>
      </c>
      <c r="D46" s="26">
        <v>14</v>
      </c>
      <c r="E46" s="26">
        <v>1996</v>
      </c>
      <c r="F46" s="123"/>
      <c r="G46" s="120"/>
      <c r="H46" s="20"/>
      <c r="I46" s="20"/>
      <c r="J46" s="20"/>
    </row>
    <row r="47" spans="1:10" s="12" customFormat="1" ht="16.5" customHeight="1">
      <c r="A47" s="17">
        <v>42</v>
      </c>
      <c r="B47" s="25" t="s">
        <v>60</v>
      </c>
      <c r="C47" s="33">
        <v>143.57</v>
      </c>
      <c r="D47" s="26">
        <v>21</v>
      </c>
      <c r="E47" s="26">
        <v>3016</v>
      </c>
      <c r="F47" s="123"/>
      <c r="G47" s="120"/>
      <c r="H47" s="20"/>
      <c r="I47" s="20"/>
      <c r="J47" s="20"/>
    </row>
    <row r="48" spans="1:10" s="12" customFormat="1" ht="16.5" customHeight="1">
      <c r="A48" s="17">
        <v>43</v>
      </c>
      <c r="B48" s="25" t="s">
        <v>61</v>
      </c>
      <c r="C48" s="33">
        <v>148.5</v>
      </c>
      <c r="D48" s="26">
        <v>20</v>
      </c>
      <c r="E48" s="26">
        <v>2971</v>
      </c>
      <c r="F48" s="123"/>
      <c r="G48" s="120"/>
      <c r="H48" s="20"/>
      <c r="I48" s="20"/>
      <c r="J48" s="20"/>
    </row>
    <row r="49" spans="1:10" s="12" customFormat="1" ht="16.5" customHeight="1">
      <c r="A49" s="17">
        <v>44</v>
      </c>
      <c r="B49" s="25" t="s">
        <v>62</v>
      </c>
      <c r="C49" s="33">
        <v>145.24</v>
      </c>
      <c r="D49" s="26">
        <v>21</v>
      </c>
      <c r="E49" s="26">
        <v>3051</v>
      </c>
      <c r="F49" s="123"/>
      <c r="G49" s="120"/>
      <c r="H49" s="20"/>
      <c r="I49" s="20"/>
      <c r="J49" s="20"/>
    </row>
    <row r="50" spans="1:10" s="12" customFormat="1" ht="16.5" customHeight="1">
      <c r="A50" s="17">
        <v>45</v>
      </c>
      <c r="B50" s="25" t="s">
        <v>63</v>
      </c>
      <c r="C50" s="33"/>
      <c r="D50" s="26"/>
      <c r="E50" s="26"/>
      <c r="F50" s="123">
        <v>2517</v>
      </c>
      <c r="G50" s="120"/>
      <c r="H50" s="20"/>
      <c r="I50" s="20"/>
      <c r="J50" s="20"/>
    </row>
    <row r="51" spans="1:10" s="12" customFormat="1" ht="16.5" customHeight="1">
      <c r="A51" s="17">
        <v>46</v>
      </c>
      <c r="B51" s="25" t="s">
        <v>64</v>
      </c>
      <c r="C51" s="33">
        <v>141.82</v>
      </c>
      <c r="D51" s="26">
        <v>17</v>
      </c>
      <c r="E51" s="26">
        <v>2412</v>
      </c>
      <c r="F51" s="123"/>
      <c r="G51" s="120"/>
      <c r="H51" s="20"/>
      <c r="I51" s="20"/>
      <c r="J51" s="20"/>
    </row>
    <row r="52" spans="1:10" s="12" customFormat="1" ht="16.5" customHeight="1">
      <c r="A52" s="17">
        <v>47</v>
      </c>
      <c r="B52" s="25" t="s">
        <v>65</v>
      </c>
      <c r="C52" s="33">
        <v>159.37</v>
      </c>
      <c r="D52" s="26">
        <v>19</v>
      </c>
      <c r="E52" s="26">
        <v>3029</v>
      </c>
      <c r="F52" s="123"/>
      <c r="G52" s="120"/>
      <c r="H52" s="20"/>
      <c r="I52" s="20"/>
      <c r="J52" s="20"/>
    </row>
    <row r="53" spans="1:10" s="12" customFormat="1" ht="16.5" customHeight="1">
      <c r="A53" s="17">
        <v>48</v>
      </c>
      <c r="B53" s="25"/>
      <c r="C53" s="33"/>
      <c r="D53" s="26"/>
      <c r="E53" s="26"/>
      <c r="F53" s="123"/>
      <c r="G53" s="120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23"/>
      <c r="G54" s="120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23"/>
      <c r="G55" s="120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23"/>
      <c r="G56" s="120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23"/>
      <c r="G57" s="120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23"/>
      <c r="G58" s="120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23"/>
      <c r="G59" s="120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23"/>
      <c r="G60" s="120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23"/>
      <c r="G61" s="120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23"/>
      <c r="G62" s="120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23"/>
      <c r="G63" s="120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23"/>
      <c r="G64" s="120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23"/>
      <c r="G65" s="120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23"/>
      <c r="G66" s="120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23"/>
      <c r="G67" s="120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23"/>
      <c r="G68" s="120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23"/>
      <c r="G69" s="120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23"/>
      <c r="G70" s="120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23"/>
      <c r="G71" s="120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23"/>
      <c r="G72" s="120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23"/>
      <c r="G73" s="120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23"/>
      <c r="G74" s="120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23"/>
      <c r="G75" s="120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23"/>
      <c r="G76" s="120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23"/>
      <c r="G77" s="120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23"/>
      <c r="G78" s="120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23"/>
      <c r="G79" s="120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23"/>
      <c r="G80" s="120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23"/>
      <c r="G81" s="120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23"/>
      <c r="G82" s="120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23"/>
      <c r="G83" s="120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23"/>
      <c r="G84" s="120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23"/>
      <c r="G85" s="120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23"/>
      <c r="G86" s="120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23"/>
      <c r="G87" s="120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23"/>
      <c r="G88" s="120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23"/>
      <c r="G89" s="120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23"/>
      <c r="G90" s="120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23"/>
      <c r="G91" s="120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23"/>
      <c r="G92" s="120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23"/>
      <c r="G93" s="120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23"/>
      <c r="G94" s="120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23"/>
      <c r="G95" s="120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23"/>
      <c r="G96" s="120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23"/>
      <c r="G97" s="120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23"/>
      <c r="G98" s="120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23"/>
      <c r="G99" s="120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23"/>
      <c r="G100" s="120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23"/>
      <c r="G101" s="120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23"/>
      <c r="G102" s="120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23"/>
      <c r="G103" s="120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23"/>
      <c r="G104" s="120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23"/>
      <c r="G105" s="120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23"/>
      <c r="G106" s="120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23"/>
      <c r="G107" s="120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23"/>
      <c r="G108" s="120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23"/>
      <c r="G109" s="120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23"/>
      <c r="G110" s="120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23"/>
      <c r="G111" s="120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23"/>
      <c r="G112" s="120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23"/>
      <c r="G113" s="120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23"/>
      <c r="G114" s="120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23"/>
      <c r="G115" s="120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23"/>
      <c r="G116" s="120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23"/>
      <c r="G117" s="120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23"/>
      <c r="G118" s="120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23"/>
      <c r="G119" s="120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23"/>
      <c r="G120" s="120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23"/>
      <c r="G121" s="120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23"/>
      <c r="G122" s="120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23"/>
      <c r="G123" s="120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23"/>
      <c r="G124" s="120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23"/>
      <c r="G125" s="120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23"/>
      <c r="G126" s="120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23"/>
      <c r="G127" s="120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23"/>
      <c r="G128" s="120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23"/>
      <c r="G129" s="120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23"/>
      <c r="G130" s="120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23"/>
      <c r="G131" s="120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23"/>
      <c r="G132" s="120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23"/>
      <c r="G133" s="120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23"/>
      <c r="G134" s="120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23"/>
      <c r="G135" s="120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23"/>
      <c r="G136" s="120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23"/>
      <c r="G137" s="120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23"/>
      <c r="G138" s="120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23"/>
      <c r="G139" s="120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23"/>
      <c r="G140" s="120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23"/>
      <c r="G141" s="120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23"/>
      <c r="G142" s="120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23"/>
      <c r="G143" s="120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23"/>
      <c r="G144" s="120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23"/>
      <c r="G145" s="120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23"/>
      <c r="G146" s="120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23"/>
      <c r="G147" s="120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23"/>
      <c r="G148" s="120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23"/>
      <c r="G149" s="120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23"/>
      <c r="G150" s="120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23"/>
      <c r="G151" s="120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23"/>
      <c r="G152" s="120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23"/>
      <c r="G153" s="120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23"/>
      <c r="G154" s="120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23"/>
      <c r="G155" s="120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23"/>
      <c r="G156" s="120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23"/>
      <c r="G157" s="120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23"/>
      <c r="G158" s="120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23"/>
      <c r="G159" s="120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23"/>
      <c r="G160" s="120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23"/>
      <c r="G161" s="120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23"/>
      <c r="G162" s="120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23"/>
      <c r="G163" s="120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23"/>
      <c r="G164" s="120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23"/>
      <c r="G165" s="120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23"/>
      <c r="G166" s="120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23"/>
      <c r="G167" s="120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23"/>
      <c r="G168" s="120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23"/>
      <c r="G169" s="120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23"/>
      <c r="G170" s="120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23"/>
      <c r="G171" s="120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23"/>
      <c r="G172" s="120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23"/>
      <c r="G173" s="120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23"/>
      <c r="G174" s="120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23"/>
      <c r="G175" s="120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23"/>
      <c r="G176" s="120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23"/>
      <c r="G177" s="120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23"/>
      <c r="G178" s="120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23"/>
      <c r="G179" s="120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23"/>
      <c r="G180" s="120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23"/>
      <c r="G181" s="120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23"/>
      <c r="G182" s="120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23"/>
      <c r="G183" s="120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23"/>
      <c r="G184" s="120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23"/>
      <c r="G185" s="120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23"/>
      <c r="G186" s="120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23"/>
      <c r="G187" s="120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23"/>
      <c r="G188" s="120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23"/>
      <c r="G189" s="120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23"/>
      <c r="G190" s="120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23"/>
      <c r="G191" s="120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23"/>
      <c r="G192" s="120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23"/>
      <c r="G193" s="120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23"/>
      <c r="G194" s="120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23"/>
      <c r="G195" s="120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23"/>
      <c r="G196" s="120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23"/>
      <c r="G197" s="120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23"/>
      <c r="G198" s="120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23"/>
      <c r="G199" s="120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23"/>
      <c r="G200" s="120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23"/>
      <c r="G201" s="120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23"/>
      <c r="G202" s="120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23"/>
      <c r="G203" s="120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23"/>
      <c r="G204" s="120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23"/>
      <c r="G205" s="120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23"/>
      <c r="G206" s="120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23"/>
      <c r="G207" s="120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23"/>
      <c r="G208" s="120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23"/>
      <c r="G209" s="120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23"/>
      <c r="G210" s="120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23"/>
      <c r="G211" s="120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23"/>
      <c r="G212" s="120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23"/>
      <c r="G213" s="120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23"/>
      <c r="G214" s="120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23"/>
      <c r="G215" s="120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23"/>
      <c r="G216" s="120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23"/>
      <c r="G217" s="120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23"/>
      <c r="G218" s="120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23"/>
      <c r="G219" s="120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23"/>
      <c r="G220" s="120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23"/>
      <c r="G221" s="120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23"/>
      <c r="G222" s="120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23"/>
      <c r="G223" s="120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23"/>
      <c r="G224" s="120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23"/>
      <c r="G225" s="120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23"/>
      <c r="G226" s="120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23"/>
      <c r="G227" s="120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23"/>
      <c r="G228" s="120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23"/>
      <c r="G229" s="120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23"/>
      <c r="G230" s="120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23"/>
      <c r="G231" s="120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23"/>
      <c r="G232" s="120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23"/>
      <c r="G233" s="120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23"/>
      <c r="G234" s="120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23"/>
      <c r="G235" s="120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23"/>
      <c r="G236" s="120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23"/>
      <c r="G237" s="120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23"/>
      <c r="G238" s="120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23"/>
      <c r="G239" s="120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23"/>
      <c r="G240" s="120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23"/>
      <c r="G241" s="120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23"/>
      <c r="G242" s="120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23"/>
      <c r="G243" s="120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23"/>
      <c r="G244" s="120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23"/>
      <c r="G245" s="120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23"/>
      <c r="G246" s="120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23"/>
      <c r="G247" s="120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23"/>
      <c r="G248" s="120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23"/>
      <c r="G249" s="120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23"/>
      <c r="G250" s="120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23"/>
      <c r="G251" s="120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23"/>
      <c r="G252" s="120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23"/>
      <c r="G253" s="120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23"/>
      <c r="G254" s="120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23"/>
      <c r="G255" s="120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23"/>
      <c r="G256" s="120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23"/>
      <c r="G257" s="120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23"/>
      <c r="G258" s="120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23"/>
      <c r="G259" s="120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23"/>
      <c r="G260" s="120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23"/>
      <c r="G261" s="120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23"/>
      <c r="G262" s="120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23"/>
      <c r="G263" s="120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23"/>
      <c r="G264" s="120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23"/>
      <c r="G265" s="120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23"/>
      <c r="G266" s="120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23"/>
      <c r="G267" s="120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23"/>
      <c r="G268" s="120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23"/>
      <c r="G269" s="120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23"/>
      <c r="G270" s="120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23"/>
      <c r="G271" s="120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23"/>
      <c r="G272" s="120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23"/>
      <c r="G273" s="120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23"/>
      <c r="G274" s="120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23"/>
      <c r="G275" s="120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23"/>
      <c r="G276" s="120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23"/>
      <c r="G277" s="120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23"/>
      <c r="G278" s="120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23"/>
      <c r="G279" s="120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23"/>
      <c r="G280" s="120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23"/>
      <c r="G281" s="120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23"/>
      <c r="G282" s="120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23"/>
      <c r="G283" s="120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23"/>
      <c r="G284" s="120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23"/>
      <c r="G285" s="120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23"/>
      <c r="G286" s="120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23"/>
      <c r="G287" s="120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23"/>
      <c r="G288" s="120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23"/>
      <c r="G289" s="120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23"/>
      <c r="G290" s="120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23"/>
      <c r="G291" s="120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23"/>
      <c r="G292" s="120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23"/>
      <c r="G293" s="120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23"/>
      <c r="G294" s="120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23"/>
      <c r="G295" s="120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23"/>
      <c r="G296" s="120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23"/>
      <c r="G297" s="120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23"/>
      <c r="G298" s="120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23"/>
      <c r="G299" s="120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23"/>
      <c r="G300" s="120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23"/>
      <c r="G301" s="120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23"/>
      <c r="G302" s="120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23"/>
      <c r="G303" s="120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23"/>
      <c r="G304" s="120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23"/>
      <c r="G305" s="120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23"/>
      <c r="G306" s="120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23"/>
      <c r="G307" s="120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23"/>
      <c r="G308" s="120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23"/>
      <c r="G309" s="120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23"/>
      <c r="G310" s="120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23"/>
      <c r="G311" s="120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23"/>
      <c r="G312" s="120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23"/>
      <c r="G313" s="120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23"/>
      <c r="G314" s="120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23"/>
      <c r="G315" s="120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23"/>
      <c r="G316" s="120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23"/>
      <c r="G317" s="120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23"/>
      <c r="G318" s="120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23"/>
      <c r="G319" s="120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23"/>
      <c r="G320" s="120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23"/>
      <c r="G321" s="120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23"/>
      <c r="G322" s="120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23"/>
      <c r="G323" s="120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23"/>
      <c r="G324" s="120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23"/>
      <c r="G325" s="120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23"/>
      <c r="G326" s="120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23"/>
      <c r="G327" s="120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23"/>
      <c r="G328" s="120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23"/>
      <c r="G329" s="120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23"/>
      <c r="G330" s="120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23"/>
      <c r="G331" s="120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23"/>
      <c r="G332" s="120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23"/>
      <c r="G333" s="120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23"/>
      <c r="G334" s="120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23"/>
      <c r="G335" s="120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23"/>
      <c r="G336" s="120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23"/>
      <c r="G337" s="120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23"/>
      <c r="G338" s="120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23"/>
      <c r="G339" s="120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23"/>
      <c r="G340" s="120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23"/>
      <c r="G341" s="120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23"/>
      <c r="G342" s="120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23"/>
      <c r="G343" s="120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23"/>
      <c r="G344" s="120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23"/>
      <c r="G345" s="120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23"/>
      <c r="G346" s="120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23"/>
      <c r="G347" s="120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23"/>
      <c r="G348" s="120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23"/>
      <c r="G349" s="120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23"/>
      <c r="G350" s="120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23"/>
      <c r="G351" s="120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23"/>
      <c r="G352" s="120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23"/>
      <c r="G353" s="120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23"/>
      <c r="G354" s="120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23"/>
      <c r="G355" s="120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23"/>
      <c r="G356" s="120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23"/>
      <c r="G357" s="120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23"/>
      <c r="G358" s="120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23"/>
      <c r="G359" s="120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23"/>
      <c r="G360" s="120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23"/>
      <c r="G361" s="120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23"/>
      <c r="G362" s="120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23"/>
      <c r="G363" s="120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23"/>
      <c r="G364" s="120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23"/>
      <c r="G365" s="120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23"/>
      <c r="G366" s="120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23"/>
      <c r="G367" s="120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23"/>
      <c r="G368" s="120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23"/>
      <c r="G369" s="120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23"/>
      <c r="G370" s="120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23"/>
      <c r="G371" s="120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23"/>
      <c r="G372" s="120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23"/>
      <c r="G373" s="120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23"/>
      <c r="G374" s="120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23"/>
      <c r="G375" s="120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23"/>
      <c r="G376" s="120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23"/>
      <c r="G377" s="120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23"/>
      <c r="G378" s="120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23"/>
      <c r="G379" s="120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23"/>
      <c r="G380" s="120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23"/>
      <c r="G381" s="120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23"/>
      <c r="G382" s="120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23"/>
      <c r="G383" s="120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23"/>
      <c r="G384" s="120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23"/>
      <c r="G385" s="120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23"/>
      <c r="G386" s="120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23"/>
      <c r="G387" s="120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23"/>
      <c r="G388" s="120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23"/>
      <c r="G389" s="120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23"/>
      <c r="G390" s="120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23"/>
      <c r="G391" s="120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23"/>
      <c r="G392" s="120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23"/>
      <c r="G393" s="120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23"/>
      <c r="G394" s="120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23"/>
      <c r="G395" s="120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23"/>
      <c r="G396" s="120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23"/>
      <c r="G397" s="120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23"/>
      <c r="G398" s="120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23"/>
      <c r="G399" s="120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23"/>
      <c r="G400" s="120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23"/>
      <c r="G401" s="120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23"/>
      <c r="G402" s="120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23"/>
      <c r="G403" s="120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23"/>
      <c r="G404" s="120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23"/>
      <c r="G405" s="120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23"/>
      <c r="G406" s="120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23"/>
      <c r="G407" s="120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23"/>
      <c r="G408" s="120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23"/>
      <c r="G409" s="120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23"/>
      <c r="G410" s="120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23"/>
      <c r="G411" s="120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23"/>
      <c r="G412" s="120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23"/>
      <c r="G413" s="120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23"/>
      <c r="G414" s="120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23"/>
      <c r="G415" s="120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23"/>
      <c r="G416" s="120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23"/>
      <c r="G417" s="120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23"/>
      <c r="G418" s="120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23"/>
      <c r="G419" s="120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23"/>
      <c r="G420" s="120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23"/>
      <c r="G421" s="120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23"/>
      <c r="G422" s="120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23"/>
      <c r="G423" s="120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23"/>
      <c r="G424" s="120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23"/>
      <c r="G425" s="120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23"/>
      <c r="G426" s="120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23"/>
      <c r="G427" s="120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23"/>
      <c r="G428" s="120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23"/>
      <c r="G429" s="120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23"/>
      <c r="G430" s="120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23"/>
      <c r="G431" s="120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23"/>
      <c r="G432" s="120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23"/>
      <c r="G433" s="120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23"/>
      <c r="G434" s="120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23"/>
      <c r="G435" s="120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23"/>
      <c r="G436" s="120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23"/>
      <c r="G437" s="120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23"/>
      <c r="G438" s="120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23"/>
      <c r="G439" s="120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23"/>
      <c r="G440" s="120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23"/>
      <c r="G441" s="120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23"/>
      <c r="G442" s="120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23"/>
      <c r="G443" s="120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23"/>
      <c r="G444" s="120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23"/>
      <c r="G445" s="120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23"/>
      <c r="G446" s="120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23"/>
      <c r="G447" s="120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23"/>
      <c r="G448" s="120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23"/>
      <c r="G449" s="120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23"/>
      <c r="G450" s="120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23"/>
      <c r="G451" s="120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23"/>
      <c r="G452" s="120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23"/>
      <c r="G453" s="120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23"/>
      <c r="G454" s="120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23"/>
      <c r="G455" s="120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23"/>
      <c r="G456" s="120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23"/>
      <c r="G457" s="120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23"/>
      <c r="G458" s="120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23"/>
      <c r="G459" s="120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23"/>
      <c r="G460" s="120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23"/>
      <c r="G461" s="120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23"/>
      <c r="G462" s="120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23"/>
      <c r="G463" s="120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23"/>
      <c r="G464" s="120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23"/>
      <c r="G465" s="120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23"/>
      <c r="G466" s="120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23"/>
      <c r="G467" s="120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23"/>
      <c r="G468" s="120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23"/>
      <c r="G469" s="120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23"/>
      <c r="G470" s="120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23"/>
      <c r="G471" s="120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23"/>
      <c r="G472" s="120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23"/>
      <c r="G473" s="120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23"/>
      <c r="G474" s="120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23"/>
      <c r="G475" s="120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23"/>
      <c r="G476" s="120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23"/>
      <c r="G477" s="120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23"/>
      <c r="G478" s="120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23"/>
      <c r="G479" s="120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23"/>
      <c r="G480" s="120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23"/>
      <c r="G481" s="120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23"/>
      <c r="G482" s="120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23"/>
      <c r="G483" s="120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23"/>
      <c r="G484" s="120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23"/>
      <c r="G485" s="120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23"/>
      <c r="G486" s="120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23"/>
      <c r="G487" s="120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23"/>
      <c r="G488" s="120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23"/>
      <c r="G489" s="120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23"/>
      <c r="G490" s="120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23"/>
      <c r="G491" s="120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23"/>
      <c r="G492" s="120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23"/>
      <c r="G493" s="120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23"/>
      <c r="G494" s="120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23"/>
      <c r="G495" s="120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23"/>
      <c r="G496" s="120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23"/>
      <c r="G497" s="120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23"/>
      <c r="G498" s="120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23"/>
      <c r="G499" s="120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23"/>
      <c r="G500" s="120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23"/>
      <c r="G501" s="120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23"/>
      <c r="G502" s="120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23"/>
      <c r="G503" s="120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23"/>
      <c r="G504" s="120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23"/>
      <c r="G505" s="120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8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33" t="s">
        <v>7</v>
      </c>
      <c r="D1" s="134"/>
      <c r="E1" s="134"/>
      <c r="F1" s="138" t="s">
        <v>66</v>
      </c>
      <c r="G1" s="120"/>
      <c r="H1" s="136"/>
      <c r="I1" s="119"/>
      <c r="J1" s="120"/>
    </row>
    <row r="2" spans="1:10" ht="21.75" customHeight="1">
      <c r="A2" s="4" t="s">
        <v>9</v>
      </c>
      <c r="B2" s="4" t="s">
        <v>10</v>
      </c>
      <c r="C2" s="4" t="s">
        <v>11</v>
      </c>
      <c r="D2" s="4" t="s">
        <v>12</v>
      </c>
      <c r="E2" s="4" t="s">
        <v>3</v>
      </c>
      <c r="F2" s="4" t="s">
        <v>13</v>
      </c>
      <c r="G2" s="4" t="s">
        <v>5</v>
      </c>
      <c r="H2" s="27"/>
      <c r="I2" s="27"/>
      <c r="J2" s="19"/>
    </row>
    <row r="3" spans="1:10" ht="18.75" customHeight="1">
      <c r="A3" s="125">
        <f>(E3-F3)/D3</f>
        <v>16.824975024975025</v>
      </c>
      <c r="B3" s="128">
        <f>E3/D3</f>
        <v>18.461738261738262</v>
      </c>
      <c r="C3" s="141" t="s">
        <v>67</v>
      </c>
      <c r="D3" s="135">
        <f>SUM(D7:D505)</f>
        <v>5005</v>
      </c>
      <c r="E3" s="137">
        <f>SUM(E7:E505)</f>
        <v>92401</v>
      </c>
      <c r="F3" s="137">
        <f>SUM(F6:G505)</f>
        <v>8192</v>
      </c>
      <c r="G3" s="7">
        <f>G4/E3</f>
        <v>0.63780695014123223</v>
      </c>
      <c r="H3" s="130"/>
      <c r="I3" s="132"/>
      <c r="J3" s="131"/>
    </row>
    <row r="4" spans="1:10" ht="18.75" customHeight="1">
      <c r="A4" s="122"/>
      <c r="B4" s="122"/>
      <c r="C4" s="142"/>
      <c r="D4" s="122"/>
      <c r="E4" s="122"/>
      <c r="F4" s="122"/>
      <c r="G4" s="32">
        <f>D3*C3-E3+F3</f>
        <v>58934</v>
      </c>
      <c r="H4" s="127"/>
      <c r="I4" s="127"/>
      <c r="J4" s="127"/>
    </row>
    <row r="5" spans="1:10">
      <c r="A5" s="16" t="s">
        <v>15</v>
      </c>
      <c r="B5" s="24" t="s">
        <v>16</v>
      </c>
      <c r="C5" s="16" t="s">
        <v>17</v>
      </c>
      <c r="D5" s="16" t="s">
        <v>18</v>
      </c>
      <c r="E5" s="16" t="s">
        <v>19</v>
      </c>
      <c r="F5" s="139" t="s">
        <v>20</v>
      </c>
      <c r="G5" s="120"/>
      <c r="H5" s="126"/>
      <c r="I5" s="126"/>
      <c r="J5" s="126"/>
    </row>
    <row r="6" spans="1:10">
      <c r="A6" s="17">
        <v>1</v>
      </c>
      <c r="B6" s="124" t="s">
        <v>21</v>
      </c>
      <c r="C6" s="119"/>
      <c r="D6" s="119"/>
      <c r="E6" s="120"/>
      <c r="F6" s="129"/>
      <c r="G6" s="120"/>
      <c r="H6" s="127"/>
      <c r="I6" s="127"/>
      <c r="J6" s="127"/>
    </row>
    <row r="7" spans="1:10">
      <c r="A7" s="17">
        <v>2</v>
      </c>
      <c r="B7" s="25" t="s">
        <v>24</v>
      </c>
      <c r="C7" s="34">
        <v>18.7</v>
      </c>
      <c r="D7" s="26">
        <v>2000</v>
      </c>
      <c r="E7" s="26">
        <v>37453</v>
      </c>
      <c r="F7" s="123"/>
      <c r="G7" s="120"/>
      <c r="H7" s="20"/>
      <c r="I7" s="20"/>
      <c r="J7" s="20"/>
    </row>
    <row r="8" spans="1:10">
      <c r="A8" s="17">
        <v>3</v>
      </c>
      <c r="B8" s="25" t="s">
        <v>25</v>
      </c>
      <c r="C8" s="34">
        <v>18</v>
      </c>
      <c r="D8" s="26">
        <v>65</v>
      </c>
      <c r="E8" s="26">
        <v>1171</v>
      </c>
      <c r="F8" s="123"/>
      <c r="G8" s="120"/>
      <c r="H8" s="20"/>
      <c r="I8" s="20"/>
      <c r="J8" s="20"/>
    </row>
    <row r="9" spans="1:10">
      <c r="A9" s="17">
        <v>4</v>
      </c>
      <c r="B9" s="25" t="s">
        <v>25</v>
      </c>
      <c r="C9" s="34">
        <v>17.93</v>
      </c>
      <c r="D9" s="26">
        <v>50</v>
      </c>
      <c r="E9" s="26">
        <v>897</v>
      </c>
      <c r="F9" s="123"/>
      <c r="G9" s="120"/>
      <c r="H9" s="20"/>
      <c r="I9" s="20"/>
      <c r="J9" s="20"/>
    </row>
    <row r="10" spans="1:10">
      <c r="A10" s="17">
        <v>5</v>
      </c>
      <c r="B10" s="25" t="s">
        <v>68</v>
      </c>
      <c r="C10" s="34">
        <v>17.100000000000001</v>
      </c>
      <c r="D10" s="26">
        <v>1000</v>
      </c>
      <c r="E10" s="18">
        <v>17124</v>
      </c>
      <c r="F10" s="123"/>
      <c r="G10" s="120"/>
      <c r="H10" s="20"/>
      <c r="I10" s="20"/>
      <c r="J10" s="20"/>
    </row>
    <row r="11" spans="1:10">
      <c r="A11" s="17">
        <v>6</v>
      </c>
      <c r="B11" s="25" t="s">
        <v>26</v>
      </c>
      <c r="C11" s="34">
        <v>17.260000000000002</v>
      </c>
      <c r="D11" s="26">
        <v>50</v>
      </c>
      <c r="E11" s="26">
        <v>864</v>
      </c>
      <c r="F11" s="123"/>
      <c r="G11" s="120"/>
      <c r="H11" s="20"/>
      <c r="I11" s="20"/>
      <c r="J11" s="20"/>
    </row>
    <row r="12" spans="1:10">
      <c r="A12" s="17">
        <v>7</v>
      </c>
      <c r="B12" s="25" t="s">
        <v>69</v>
      </c>
      <c r="C12" s="34">
        <v>0</v>
      </c>
      <c r="D12" s="26">
        <v>40</v>
      </c>
      <c r="E12" s="26">
        <v>0</v>
      </c>
      <c r="F12" s="123">
        <v>1200</v>
      </c>
      <c r="G12" s="120"/>
      <c r="H12" s="20"/>
      <c r="I12" s="20"/>
      <c r="J12" s="20"/>
    </row>
    <row r="13" spans="1:10">
      <c r="A13" s="17">
        <v>8</v>
      </c>
      <c r="B13" s="25" t="s">
        <v>27</v>
      </c>
      <c r="C13" s="34">
        <v>17.62</v>
      </c>
      <c r="D13" s="26">
        <v>50</v>
      </c>
      <c r="E13" s="26">
        <v>882</v>
      </c>
      <c r="F13" s="123"/>
      <c r="G13" s="120"/>
      <c r="H13" s="20"/>
      <c r="I13" s="20"/>
      <c r="J13" s="20"/>
    </row>
    <row r="14" spans="1:10">
      <c r="A14" s="17">
        <v>9</v>
      </c>
      <c r="B14" s="25" t="s">
        <v>70</v>
      </c>
      <c r="C14" s="34">
        <v>18.100000000000001</v>
      </c>
      <c r="D14" s="26">
        <v>100</v>
      </c>
      <c r="E14" s="26">
        <v>1812</v>
      </c>
      <c r="F14" s="123"/>
      <c r="G14" s="120"/>
      <c r="H14" s="20"/>
      <c r="I14" s="20"/>
      <c r="J14" s="20"/>
    </row>
    <row r="15" spans="1:10">
      <c r="A15" s="17">
        <v>10</v>
      </c>
      <c r="B15" s="25" t="s">
        <v>71</v>
      </c>
      <c r="C15" s="34">
        <v>17.8</v>
      </c>
      <c r="D15" s="26">
        <v>30</v>
      </c>
      <c r="E15" s="26">
        <v>535</v>
      </c>
      <c r="F15" s="123"/>
      <c r="G15" s="120"/>
      <c r="H15" s="20"/>
      <c r="I15" s="20"/>
      <c r="J15" s="20"/>
    </row>
    <row r="16" spans="1:10">
      <c r="A16" s="17">
        <v>11</v>
      </c>
      <c r="B16" s="25" t="s">
        <v>29</v>
      </c>
      <c r="C16" s="34">
        <v>18.510000000000002</v>
      </c>
      <c r="D16" s="26">
        <v>47</v>
      </c>
      <c r="E16" s="26">
        <v>871</v>
      </c>
      <c r="F16" s="123"/>
      <c r="G16" s="120"/>
      <c r="H16" s="20"/>
      <c r="I16" s="20"/>
      <c r="J16" s="20"/>
    </row>
    <row r="17" spans="1:10" s="12" customFormat="1" ht="16.5" customHeight="1">
      <c r="A17" s="17">
        <v>12</v>
      </c>
      <c r="B17" s="25" t="s">
        <v>30</v>
      </c>
      <c r="C17" s="34">
        <v>19.29</v>
      </c>
      <c r="D17" s="26">
        <v>45</v>
      </c>
      <c r="E17" s="26">
        <v>869</v>
      </c>
      <c r="F17" s="123"/>
      <c r="G17" s="120"/>
      <c r="H17" s="20"/>
      <c r="I17" s="20"/>
      <c r="J17" s="20"/>
    </row>
    <row r="18" spans="1:10" s="12" customFormat="1" ht="16.5" customHeight="1">
      <c r="A18" s="17">
        <v>13</v>
      </c>
      <c r="B18" s="25" t="s">
        <v>72</v>
      </c>
      <c r="C18" s="34">
        <v>19.149999999999999</v>
      </c>
      <c r="D18" s="26">
        <v>45</v>
      </c>
      <c r="E18" s="26">
        <v>862</v>
      </c>
      <c r="F18" s="123"/>
      <c r="G18" s="120"/>
      <c r="H18" s="20"/>
      <c r="I18" s="20"/>
      <c r="J18" s="20"/>
    </row>
    <row r="19" spans="1:10" s="12" customFormat="1" ht="16.5" customHeight="1">
      <c r="A19" s="17">
        <v>14</v>
      </c>
      <c r="B19" s="25" t="s">
        <v>32</v>
      </c>
      <c r="C19" s="34">
        <v>19.61</v>
      </c>
      <c r="D19" s="26">
        <v>44</v>
      </c>
      <c r="E19" s="26">
        <v>864</v>
      </c>
      <c r="F19" s="123"/>
      <c r="G19" s="120"/>
      <c r="H19" s="20"/>
      <c r="I19" s="20"/>
      <c r="J19" s="20"/>
    </row>
    <row r="20" spans="1:10" s="12" customFormat="1" ht="16.5" customHeight="1">
      <c r="A20" s="17">
        <v>15</v>
      </c>
      <c r="B20" s="25" t="s">
        <v>34</v>
      </c>
      <c r="C20" s="34">
        <v>19.420000000000002</v>
      </c>
      <c r="D20" s="26">
        <v>45</v>
      </c>
      <c r="E20" s="26">
        <v>875</v>
      </c>
      <c r="F20" s="123"/>
      <c r="G20" s="120"/>
      <c r="H20" s="20"/>
      <c r="I20" s="20"/>
      <c r="J20" s="20"/>
    </row>
    <row r="21" spans="1:10" s="12" customFormat="1" ht="16.5" customHeight="1">
      <c r="A21" s="17">
        <v>16</v>
      </c>
      <c r="B21" s="25" t="s">
        <v>35</v>
      </c>
      <c r="C21" s="34">
        <v>20.05</v>
      </c>
      <c r="D21" s="26">
        <v>43</v>
      </c>
      <c r="E21" s="26">
        <v>863</v>
      </c>
      <c r="F21" s="123"/>
      <c r="G21" s="120"/>
      <c r="H21" s="20"/>
      <c r="I21" s="20"/>
      <c r="J21" s="20"/>
    </row>
    <row r="22" spans="1:10" s="12" customFormat="1" ht="16.5" customHeight="1">
      <c r="A22" s="17">
        <v>17</v>
      </c>
      <c r="B22" s="25" t="s">
        <v>36</v>
      </c>
      <c r="C22" s="34">
        <v>21.44</v>
      </c>
      <c r="D22" s="26">
        <v>41</v>
      </c>
      <c r="E22" s="26">
        <v>880</v>
      </c>
      <c r="F22" s="123"/>
      <c r="G22" s="120"/>
      <c r="H22" s="20"/>
      <c r="I22" s="20"/>
      <c r="J22" s="20"/>
    </row>
    <row r="23" spans="1:10" s="12" customFormat="1" ht="16.5" customHeight="1">
      <c r="A23" s="17">
        <v>18</v>
      </c>
      <c r="B23" s="25" t="s">
        <v>37</v>
      </c>
      <c r="C23" s="34">
        <v>22.51</v>
      </c>
      <c r="D23" s="26">
        <v>39</v>
      </c>
      <c r="E23" s="26">
        <v>879</v>
      </c>
      <c r="F23" s="123"/>
      <c r="G23" s="120"/>
      <c r="H23" s="20"/>
      <c r="I23" s="20"/>
      <c r="J23" s="20"/>
    </row>
    <row r="24" spans="1:10" s="12" customFormat="1" ht="16.5" customHeight="1">
      <c r="A24" s="17">
        <v>19</v>
      </c>
      <c r="B24" s="25" t="s">
        <v>38</v>
      </c>
      <c r="C24" s="34">
        <v>23.21</v>
      </c>
      <c r="D24" s="26">
        <v>38</v>
      </c>
      <c r="E24" s="26">
        <v>883</v>
      </c>
      <c r="F24" s="123"/>
      <c r="G24" s="120"/>
      <c r="H24" s="20"/>
      <c r="I24" s="20"/>
      <c r="J24" s="20"/>
    </row>
    <row r="25" spans="1:10" s="12" customFormat="1" ht="16.5" customHeight="1">
      <c r="A25" s="17">
        <v>20</v>
      </c>
      <c r="B25" s="20" t="s">
        <v>39</v>
      </c>
      <c r="C25" s="35">
        <v>26.48</v>
      </c>
      <c r="D25" s="20">
        <v>33</v>
      </c>
      <c r="E25" s="20">
        <v>875</v>
      </c>
      <c r="F25" s="123"/>
      <c r="G25" s="120"/>
      <c r="H25" s="20"/>
      <c r="I25" s="20"/>
      <c r="J25" s="20"/>
    </row>
    <row r="26" spans="1:10" s="12" customFormat="1" ht="16.5" customHeight="1">
      <c r="A26" s="17">
        <v>21</v>
      </c>
      <c r="B26" s="25" t="s">
        <v>40</v>
      </c>
      <c r="C26" s="34">
        <v>24.78</v>
      </c>
      <c r="D26" s="26">
        <v>36</v>
      </c>
      <c r="E26" s="26">
        <v>893</v>
      </c>
      <c r="F26" s="123"/>
      <c r="G26" s="120"/>
      <c r="H26" s="20"/>
      <c r="I26" s="20"/>
      <c r="J26" s="20"/>
    </row>
    <row r="27" spans="1:10" s="12" customFormat="1" ht="16.5" customHeight="1">
      <c r="A27" s="17">
        <v>22</v>
      </c>
      <c r="B27" s="25" t="s">
        <v>43</v>
      </c>
      <c r="C27" s="34">
        <v>23.5</v>
      </c>
      <c r="D27" s="26">
        <v>38</v>
      </c>
      <c r="E27" s="26">
        <v>894</v>
      </c>
      <c r="F27" s="123"/>
      <c r="G27" s="120"/>
      <c r="H27" s="20"/>
      <c r="I27" s="20"/>
      <c r="J27" s="20"/>
    </row>
    <row r="28" spans="1:10" s="12" customFormat="1" ht="16.5" customHeight="1">
      <c r="A28" s="17">
        <v>23</v>
      </c>
      <c r="B28" s="25" t="s">
        <v>73</v>
      </c>
      <c r="C28" s="34">
        <v>0</v>
      </c>
      <c r="D28" s="26">
        <v>96</v>
      </c>
      <c r="E28" s="26">
        <v>0</v>
      </c>
      <c r="F28" s="123">
        <v>2880</v>
      </c>
      <c r="G28" s="120"/>
      <c r="H28" s="20"/>
      <c r="I28" s="20"/>
      <c r="J28" s="20"/>
    </row>
    <row r="29" spans="1:10" s="12" customFormat="1" ht="16.5" customHeight="1">
      <c r="A29" s="17">
        <v>24</v>
      </c>
      <c r="B29" s="25" t="s">
        <v>44</v>
      </c>
      <c r="C29" s="34">
        <v>24.08</v>
      </c>
      <c r="D29" s="26">
        <v>37</v>
      </c>
      <c r="E29" s="26">
        <v>891</v>
      </c>
      <c r="F29" s="123"/>
      <c r="G29" s="120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34">
        <v>23.65</v>
      </c>
      <c r="D30" s="26">
        <v>63</v>
      </c>
      <c r="E30" s="26">
        <v>1491</v>
      </c>
      <c r="F30" s="123"/>
      <c r="G30" s="120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34">
        <v>23.65</v>
      </c>
      <c r="D31" s="26">
        <v>59</v>
      </c>
      <c r="E31" s="26">
        <v>1395</v>
      </c>
      <c r="F31" s="123"/>
      <c r="G31" s="120"/>
      <c r="H31" s="20"/>
      <c r="I31" s="20"/>
      <c r="J31" s="20"/>
    </row>
    <row r="32" spans="1:10" s="12" customFormat="1" ht="16.5" customHeight="1">
      <c r="A32" s="17">
        <v>27</v>
      </c>
      <c r="B32" s="25" t="s">
        <v>45</v>
      </c>
      <c r="C32" s="34">
        <v>22.77</v>
      </c>
      <c r="D32" s="26">
        <v>39</v>
      </c>
      <c r="E32" s="26">
        <v>889</v>
      </c>
      <c r="F32" s="123"/>
      <c r="G32" s="120"/>
      <c r="H32" s="20"/>
      <c r="I32" s="20"/>
      <c r="J32" s="20"/>
    </row>
    <row r="33" spans="1:10" s="12" customFormat="1" ht="16.5" customHeight="1">
      <c r="A33" s="17">
        <v>28</v>
      </c>
      <c r="B33" s="25" t="s">
        <v>46</v>
      </c>
      <c r="C33" s="34">
        <v>24.42</v>
      </c>
      <c r="D33" s="26">
        <v>36</v>
      </c>
      <c r="E33" s="26">
        <v>880</v>
      </c>
      <c r="F33" s="123"/>
      <c r="G33" s="120"/>
      <c r="H33" s="20"/>
      <c r="I33" s="20"/>
      <c r="J33" s="20"/>
    </row>
    <row r="34" spans="1:10" s="12" customFormat="1" ht="16.5" customHeight="1">
      <c r="A34" s="17">
        <v>29</v>
      </c>
      <c r="B34" s="25" t="s">
        <v>49</v>
      </c>
      <c r="C34" s="34">
        <v>23.11</v>
      </c>
      <c r="D34" s="26">
        <v>38</v>
      </c>
      <c r="E34" s="26">
        <v>879</v>
      </c>
      <c r="F34" s="123"/>
      <c r="G34" s="120"/>
      <c r="H34" s="20"/>
      <c r="I34" s="20"/>
      <c r="J34" s="20"/>
    </row>
    <row r="35" spans="1:10" s="12" customFormat="1" ht="16.5" customHeight="1">
      <c r="A35" s="17">
        <v>30</v>
      </c>
      <c r="B35" s="25" t="s">
        <v>50</v>
      </c>
      <c r="C35" s="34">
        <v>22.54</v>
      </c>
      <c r="D35" s="26">
        <v>39</v>
      </c>
      <c r="E35" s="26">
        <v>880</v>
      </c>
      <c r="F35" s="123"/>
      <c r="G35" s="120"/>
      <c r="H35" s="20"/>
      <c r="I35" s="20"/>
      <c r="J35" s="20"/>
    </row>
    <row r="36" spans="1:10" s="12" customFormat="1" ht="16.5" customHeight="1">
      <c r="A36" s="17">
        <v>31</v>
      </c>
      <c r="B36" s="25" t="s">
        <v>51</v>
      </c>
      <c r="C36" s="34">
        <v>22.74</v>
      </c>
      <c r="D36" s="26">
        <v>39</v>
      </c>
      <c r="E36" s="26">
        <v>888</v>
      </c>
      <c r="F36" s="123"/>
      <c r="G36" s="120"/>
      <c r="H36" s="20"/>
      <c r="I36" s="20"/>
      <c r="J36" s="20"/>
    </row>
    <row r="37" spans="1:10" s="12" customFormat="1" ht="16.5" customHeight="1">
      <c r="A37" s="17">
        <v>32</v>
      </c>
      <c r="B37" s="25" t="s">
        <v>52</v>
      </c>
      <c r="C37" s="34">
        <v>20.3</v>
      </c>
      <c r="D37" s="26">
        <v>44</v>
      </c>
      <c r="E37" s="26">
        <v>894</v>
      </c>
      <c r="F37" s="123"/>
      <c r="G37" s="120"/>
      <c r="H37" s="20"/>
      <c r="I37" s="20"/>
      <c r="J37" s="20"/>
    </row>
    <row r="38" spans="1:10" s="12" customFormat="1" ht="16.5" customHeight="1">
      <c r="A38" s="17">
        <v>33</v>
      </c>
      <c r="B38" s="25" t="s">
        <v>53</v>
      </c>
      <c r="C38" s="34">
        <v>21.88</v>
      </c>
      <c r="D38" s="26">
        <v>41</v>
      </c>
      <c r="E38" s="26">
        <v>898</v>
      </c>
      <c r="F38" s="123"/>
      <c r="G38" s="120"/>
      <c r="H38" s="20"/>
      <c r="I38" s="20"/>
      <c r="J38" s="20"/>
    </row>
    <row r="39" spans="1:10" s="12" customFormat="1" ht="16.5" customHeight="1">
      <c r="A39" s="17">
        <v>34</v>
      </c>
      <c r="B39" s="25" t="s">
        <v>54</v>
      </c>
      <c r="C39" s="34">
        <v>23</v>
      </c>
      <c r="D39" s="26">
        <v>39</v>
      </c>
      <c r="E39" s="26">
        <v>898</v>
      </c>
      <c r="F39" s="123"/>
      <c r="G39" s="120"/>
      <c r="H39" s="20"/>
      <c r="I39" s="20"/>
      <c r="J39" s="20"/>
    </row>
    <row r="40" spans="1:10" s="12" customFormat="1" ht="16.5" customHeight="1">
      <c r="A40" s="17">
        <v>35</v>
      </c>
      <c r="B40" s="25" t="s">
        <v>55</v>
      </c>
      <c r="C40" s="34">
        <v>24.53</v>
      </c>
      <c r="D40" s="26">
        <v>36</v>
      </c>
      <c r="E40" s="26">
        <v>884</v>
      </c>
      <c r="F40" s="123"/>
      <c r="G40" s="120"/>
      <c r="H40" s="20"/>
      <c r="I40" s="20"/>
      <c r="J40" s="20"/>
    </row>
    <row r="41" spans="1:10" s="12" customFormat="1" ht="16.5" customHeight="1">
      <c r="A41" s="17">
        <v>36</v>
      </c>
      <c r="B41" s="25" t="s">
        <v>56</v>
      </c>
      <c r="C41" s="34">
        <v>26.21</v>
      </c>
      <c r="D41" s="26">
        <v>34</v>
      </c>
      <c r="E41" s="26">
        <v>892</v>
      </c>
      <c r="F41" s="123"/>
      <c r="G41" s="120"/>
      <c r="H41" s="20"/>
      <c r="I41" s="20"/>
      <c r="J41" s="20"/>
    </row>
    <row r="42" spans="1:10" s="12" customFormat="1" ht="16.5" customHeight="1">
      <c r="A42" s="17">
        <v>37</v>
      </c>
      <c r="B42" s="25" t="s">
        <v>59</v>
      </c>
      <c r="C42" s="34">
        <v>24.64</v>
      </c>
      <c r="D42" s="26">
        <v>36</v>
      </c>
      <c r="E42" s="26">
        <v>888</v>
      </c>
      <c r="F42" s="123"/>
      <c r="G42" s="120"/>
      <c r="H42" s="20"/>
      <c r="I42" s="20"/>
      <c r="J42" s="20"/>
    </row>
    <row r="43" spans="1:10" s="12" customFormat="1" ht="16.5" customHeight="1">
      <c r="A43" s="17">
        <v>38</v>
      </c>
      <c r="B43" s="25" t="s">
        <v>76</v>
      </c>
      <c r="C43" s="34">
        <v>0</v>
      </c>
      <c r="D43" s="26">
        <v>153</v>
      </c>
      <c r="E43" s="26">
        <v>0</v>
      </c>
      <c r="F43" s="123">
        <v>4112</v>
      </c>
      <c r="G43" s="120"/>
      <c r="H43" s="20"/>
      <c r="I43" s="20"/>
      <c r="J43" s="20"/>
    </row>
    <row r="44" spans="1:10" s="12" customFormat="1" ht="16.5" customHeight="1">
      <c r="A44" s="17">
        <v>39</v>
      </c>
      <c r="B44" s="25" t="s">
        <v>77</v>
      </c>
      <c r="C44" s="34">
        <v>24.46</v>
      </c>
      <c r="D44" s="26">
        <v>167</v>
      </c>
      <c r="E44" s="26">
        <v>4085</v>
      </c>
      <c r="F44" s="123"/>
      <c r="G44" s="120"/>
      <c r="H44" s="20"/>
      <c r="I44" s="20"/>
      <c r="J44" s="20"/>
    </row>
    <row r="45" spans="1:10" s="12" customFormat="1" ht="16.5" customHeight="1">
      <c r="A45" s="17">
        <v>40</v>
      </c>
      <c r="B45" s="25" t="s">
        <v>60</v>
      </c>
      <c r="C45" s="34">
        <v>25.62</v>
      </c>
      <c r="D45" s="26">
        <v>34</v>
      </c>
      <c r="E45" s="26">
        <v>872</v>
      </c>
      <c r="F45" s="123"/>
      <c r="G45" s="120"/>
      <c r="H45" s="20"/>
      <c r="I45" s="20"/>
      <c r="J45" s="20"/>
    </row>
    <row r="46" spans="1:10" s="12" customFormat="1" ht="16.5" customHeight="1">
      <c r="A46" s="17">
        <v>41</v>
      </c>
      <c r="B46" s="25" t="s">
        <v>61</v>
      </c>
      <c r="C46" s="34">
        <v>26.45</v>
      </c>
      <c r="D46" s="26">
        <v>33</v>
      </c>
      <c r="E46" s="26">
        <v>874</v>
      </c>
      <c r="F46" s="123"/>
      <c r="G46" s="120"/>
      <c r="H46" s="20"/>
      <c r="I46" s="20"/>
      <c r="J46" s="20"/>
    </row>
    <row r="47" spans="1:10" s="12" customFormat="1" ht="16.5" customHeight="1">
      <c r="A47" s="17">
        <v>42</v>
      </c>
      <c r="B47" s="25" t="s">
        <v>62</v>
      </c>
      <c r="C47" s="34">
        <v>27.41</v>
      </c>
      <c r="D47" s="26">
        <v>32</v>
      </c>
      <c r="E47" s="26">
        <v>878</v>
      </c>
      <c r="F47" s="123"/>
      <c r="G47" s="120"/>
      <c r="H47" s="20"/>
      <c r="I47" s="20"/>
      <c r="J47" s="20"/>
    </row>
    <row r="48" spans="1:10" s="12" customFormat="1" ht="16.5" customHeight="1">
      <c r="A48" s="17">
        <v>43</v>
      </c>
      <c r="B48" s="25" t="s">
        <v>65</v>
      </c>
      <c r="C48" s="34">
        <v>28.97</v>
      </c>
      <c r="D48" s="26">
        <v>31</v>
      </c>
      <c r="E48" s="26">
        <v>899</v>
      </c>
      <c r="F48" s="123"/>
      <c r="G48" s="120"/>
      <c r="H48" s="20"/>
      <c r="I48" s="20"/>
      <c r="J48" s="20"/>
    </row>
    <row r="49" spans="1:10" s="12" customFormat="1" ht="16.5" customHeight="1">
      <c r="A49" s="17">
        <v>44</v>
      </c>
      <c r="B49" s="25"/>
      <c r="C49" s="34"/>
      <c r="D49" s="26"/>
      <c r="E49" s="26"/>
      <c r="F49" s="123"/>
      <c r="G49" s="120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23"/>
      <c r="G50" s="120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23"/>
      <c r="G51" s="120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23"/>
      <c r="G52" s="120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23"/>
      <c r="G53" s="120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23"/>
      <c r="G54" s="120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23"/>
      <c r="G55" s="120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23"/>
      <c r="G56" s="120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23"/>
      <c r="G57" s="120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23"/>
      <c r="G58" s="120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23"/>
      <c r="G59" s="120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23"/>
      <c r="G60" s="120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23"/>
      <c r="G61" s="120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23"/>
      <c r="G62" s="120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23"/>
      <c r="G63" s="120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23"/>
      <c r="G64" s="120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23"/>
      <c r="G65" s="120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23"/>
      <c r="G66" s="120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23"/>
      <c r="G67" s="120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23"/>
      <c r="G68" s="120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23"/>
      <c r="G69" s="120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23"/>
      <c r="G70" s="120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23"/>
      <c r="G71" s="120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23"/>
      <c r="G72" s="120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23"/>
      <c r="G73" s="120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23"/>
      <c r="G74" s="120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23"/>
      <c r="G75" s="120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23"/>
      <c r="G76" s="120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23"/>
      <c r="G77" s="120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23"/>
      <c r="G78" s="120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23"/>
      <c r="G79" s="120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23"/>
      <c r="G80" s="120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23"/>
      <c r="G81" s="120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23"/>
      <c r="G82" s="120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23"/>
      <c r="G83" s="120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23"/>
      <c r="G84" s="120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23"/>
      <c r="G85" s="120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23"/>
      <c r="G86" s="120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23"/>
      <c r="G87" s="120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23"/>
      <c r="G88" s="120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23"/>
      <c r="G89" s="120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23"/>
      <c r="G90" s="120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23"/>
      <c r="G91" s="120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23"/>
      <c r="G92" s="120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23"/>
      <c r="G93" s="120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23"/>
      <c r="G94" s="120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23"/>
      <c r="G95" s="120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23"/>
      <c r="G96" s="120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23"/>
      <c r="G97" s="120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23"/>
      <c r="G98" s="120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23"/>
      <c r="G99" s="120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23"/>
      <c r="G100" s="120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23"/>
      <c r="G101" s="120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23"/>
      <c r="G102" s="120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23"/>
      <c r="G103" s="120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23"/>
      <c r="G104" s="120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23"/>
      <c r="G105" s="120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23"/>
      <c r="G106" s="120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23"/>
      <c r="G107" s="120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23"/>
      <c r="G108" s="120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23"/>
      <c r="G109" s="120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23"/>
      <c r="G110" s="120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23"/>
      <c r="G111" s="120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23"/>
      <c r="G112" s="120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23"/>
      <c r="G113" s="120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23"/>
      <c r="G114" s="120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23"/>
      <c r="G115" s="120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23"/>
      <c r="G116" s="120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23"/>
      <c r="G117" s="120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23"/>
      <c r="G118" s="120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23"/>
      <c r="G119" s="120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23"/>
      <c r="G120" s="120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23"/>
      <c r="G121" s="120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23"/>
      <c r="G122" s="120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23"/>
      <c r="G123" s="120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23"/>
      <c r="G124" s="120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23"/>
      <c r="G125" s="120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23"/>
      <c r="G126" s="120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23"/>
      <c r="G127" s="120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23"/>
      <c r="G128" s="120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23"/>
      <c r="G129" s="120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23"/>
      <c r="G130" s="120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23"/>
      <c r="G131" s="120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23"/>
      <c r="G132" s="120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23"/>
      <c r="G133" s="120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23"/>
      <c r="G134" s="120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23"/>
      <c r="G135" s="120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23"/>
      <c r="G136" s="120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23"/>
      <c r="G137" s="120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23"/>
      <c r="G138" s="120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23"/>
      <c r="G139" s="120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23"/>
      <c r="G140" s="120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23"/>
      <c r="G141" s="120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23"/>
      <c r="G142" s="120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23"/>
      <c r="G143" s="120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23"/>
      <c r="G144" s="120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23"/>
      <c r="G145" s="120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23"/>
      <c r="G146" s="120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23"/>
      <c r="G147" s="120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23"/>
      <c r="G148" s="120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23"/>
      <c r="G149" s="120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23"/>
      <c r="G150" s="120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23"/>
      <c r="G151" s="120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23"/>
      <c r="G152" s="120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23"/>
      <c r="G153" s="120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23"/>
      <c r="G154" s="120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23"/>
      <c r="G155" s="120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23"/>
      <c r="G156" s="120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23"/>
      <c r="G157" s="120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23"/>
      <c r="G158" s="120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23"/>
      <c r="G159" s="120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23"/>
      <c r="G160" s="120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23"/>
      <c r="G161" s="120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23"/>
      <c r="G162" s="120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23"/>
      <c r="G163" s="120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23"/>
      <c r="G164" s="120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23"/>
      <c r="G165" s="120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23"/>
      <c r="G166" s="120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23"/>
      <c r="G167" s="120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23"/>
      <c r="G168" s="120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23"/>
      <c r="G169" s="120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23"/>
      <c r="G170" s="120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23"/>
      <c r="G171" s="120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23"/>
      <c r="G172" s="120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23"/>
      <c r="G173" s="120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23"/>
      <c r="G174" s="120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23"/>
      <c r="G175" s="120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23"/>
      <c r="G176" s="120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23"/>
      <c r="G177" s="120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23"/>
      <c r="G178" s="120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23"/>
      <c r="G179" s="120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23"/>
      <c r="G180" s="120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23"/>
      <c r="G181" s="120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23"/>
      <c r="G182" s="120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23"/>
      <c r="G183" s="120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23"/>
      <c r="G184" s="120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23"/>
      <c r="G185" s="120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23"/>
      <c r="G186" s="120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23"/>
      <c r="G187" s="120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23"/>
      <c r="G188" s="120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23"/>
      <c r="G189" s="120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23"/>
      <c r="G190" s="120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23"/>
      <c r="G191" s="120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23"/>
      <c r="G192" s="120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23"/>
      <c r="G193" s="120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23"/>
      <c r="G194" s="120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23"/>
      <c r="G195" s="120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23"/>
      <c r="G196" s="120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23"/>
      <c r="G197" s="120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23"/>
      <c r="G198" s="120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23"/>
      <c r="G199" s="120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23"/>
      <c r="G200" s="120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23"/>
      <c r="G201" s="120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23"/>
      <c r="G202" s="120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23"/>
      <c r="G203" s="120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23"/>
      <c r="G204" s="120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23"/>
      <c r="G205" s="120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23"/>
      <c r="G206" s="120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23"/>
      <c r="G207" s="120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23"/>
      <c r="G208" s="120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23"/>
      <c r="G209" s="120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23"/>
      <c r="G210" s="120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23"/>
      <c r="G211" s="120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23"/>
      <c r="G212" s="120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23"/>
      <c r="G213" s="120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23"/>
      <c r="G214" s="120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23"/>
      <c r="G215" s="120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23"/>
      <c r="G216" s="120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23"/>
      <c r="G217" s="120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23"/>
      <c r="G218" s="120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23"/>
      <c r="G219" s="120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23"/>
      <c r="G220" s="120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23"/>
      <c r="G221" s="120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23"/>
      <c r="G222" s="120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23"/>
      <c r="G223" s="120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23"/>
      <c r="G224" s="120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23"/>
      <c r="G225" s="120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23"/>
      <c r="G226" s="120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23"/>
      <c r="G227" s="120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23"/>
      <c r="G228" s="120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23"/>
      <c r="G229" s="120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23"/>
      <c r="G230" s="120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23"/>
      <c r="G231" s="120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23"/>
      <c r="G232" s="120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23"/>
      <c r="G233" s="120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23"/>
      <c r="G234" s="120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23"/>
      <c r="G235" s="120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23"/>
      <c r="G236" s="120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23"/>
      <c r="G237" s="120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23"/>
      <c r="G238" s="120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23"/>
      <c r="G239" s="120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23"/>
      <c r="G240" s="120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23"/>
      <c r="G241" s="120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23"/>
      <c r="G242" s="120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23"/>
      <c r="G243" s="120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23"/>
      <c r="G244" s="120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23"/>
      <c r="G245" s="120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23"/>
      <c r="G246" s="120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23"/>
      <c r="G247" s="120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23"/>
      <c r="G248" s="120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23"/>
      <c r="G249" s="120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23"/>
      <c r="G250" s="120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23"/>
      <c r="G251" s="120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23"/>
      <c r="G252" s="120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23"/>
      <c r="G253" s="120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23"/>
      <c r="G254" s="120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23"/>
      <c r="G255" s="120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23"/>
      <c r="G256" s="120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23"/>
      <c r="G257" s="120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23"/>
      <c r="G258" s="120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23"/>
      <c r="G259" s="120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23"/>
      <c r="G260" s="120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23"/>
      <c r="G261" s="120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23"/>
      <c r="G262" s="120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23"/>
      <c r="G263" s="120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23"/>
      <c r="G264" s="120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23"/>
      <c r="G265" s="120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23"/>
      <c r="G266" s="120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23"/>
      <c r="G267" s="120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23"/>
      <c r="G268" s="120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23"/>
      <c r="G269" s="120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23"/>
      <c r="G270" s="120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23"/>
      <c r="G271" s="120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23"/>
      <c r="G272" s="120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23"/>
      <c r="G273" s="120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23"/>
      <c r="G274" s="120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23"/>
      <c r="G275" s="120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23"/>
      <c r="G276" s="120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23"/>
      <c r="G277" s="120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23"/>
      <c r="G278" s="120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23"/>
      <c r="G279" s="120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23"/>
      <c r="G280" s="120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23"/>
      <c r="G281" s="120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23"/>
      <c r="G282" s="120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23"/>
      <c r="G283" s="120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23"/>
      <c r="G284" s="120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23"/>
      <c r="G285" s="120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23"/>
      <c r="G286" s="120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23"/>
      <c r="G287" s="120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23"/>
      <c r="G288" s="120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23"/>
      <c r="G289" s="120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23"/>
      <c r="G290" s="120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23"/>
      <c r="G291" s="120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23"/>
      <c r="G292" s="120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23"/>
      <c r="G293" s="120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23"/>
      <c r="G294" s="120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23"/>
      <c r="G295" s="120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23"/>
      <c r="G296" s="120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23"/>
      <c r="G297" s="120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23"/>
      <c r="G298" s="120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23"/>
      <c r="G299" s="120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23"/>
      <c r="G300" s="120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23"/>
      <c r="G301" s="120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23"/>
      <c r="G302" s="120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23"/>
      <c r="G303" s="120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23"/>
      <c r="G304" s="120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23"/>
      <c r="G305" s="120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23"/>
      <c r="G306" s="120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23"/>
      <c r="G307" s="120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23"/>
      <c r="G308" s="120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23"/>
      <c r="G309" s="120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23"/>
      <c r="G310" s="120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23"/>
      <c r="G311" s="120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23"/>
      <c r="G312" s="120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23"/>
      <c r="G313" s="120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23"/>
      <c r="G314" s="120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23"/>
      <c r="G315" s="120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23"/>
      <c r="G316" s="120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23"/>
      <c r="G317" s="120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23"/>
      <c r="G318" s="120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23"/>
      <c r="G319" s="120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23"/>
      <c r="G320" s="120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23"/>
      <c r="G321" s="120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23"/>
      <c r="G322" s="120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23"/>
      <c r="G323" s="120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23"/>
      <c r="G324" s="120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23"/>
      <c r="G325" s="120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23"/>
      <c r="G326" s="120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23"/>
      <c r="G327" s="120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23"/>
      <c r="G328" s="120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23"/>
      <c r="G329" s="120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23"/>
      <c r="G330" s="120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23"/>
      <c r="G331" s="120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23"/>
      <c r="G332" s="120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23"/>
      <c r="G333" s="120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23"/>
      <c r="G334" s="120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23"/>
      <c r="G335" s="120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23"/>
      <c r="G336" s="120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23"/>
      <c r="G337" s="120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23"/>
      <c r="G338" s="120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23"/>
      <c r="G339" s="120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23"/>
      <c r="G340" s="120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23"/>
      <c r="G341" s="120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23"/>
      <c r="G342" s="120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23"/>
      <c r="G343" s="120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23"/>
      <c r="G344" s="120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23"/>
      <c r="G345" s="120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23"/>
      <c r="G346" s="120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23"/>
      <c r="G347" s="120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23"/>
      <c r="G348" s="120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23"/>
      <c r="G349" s="120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23"/>
      <c r="G350" s="120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23"/>
      <c r="G351" s="120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23"/>
      <c r="G352" s="120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23"/>
      <c r="G353" s="120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23"/>
      <c r="G354" s="120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23"/>
      <c r="G355" s="120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23"/>
      <c r="G356" s="120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23"/>
      <c r="G357" s="120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23"/>
      <c r="G358" s="120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23"/>
      <c r="G359" s="120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23"/>
      <c r="G360" s="120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23"/>
      <c r="G361" s="120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23"/>
      <c r="G362" s="120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23"/>
      <c r="G363" s="120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23"/>
      <c r="G364" s="120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23"/>
      <c r="G365" s="120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23"/>
      <c r="G366" s="120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23"/>
      <c r="G367" s="120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23"/>
      <c r="G368" s="120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23"/>
      <c r="G369" s="120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23"/>
      <c r="G370" s="120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23"/>
      <c r="G371" s="120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23"/>
      <c r="G372" s="120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23"/>
      <c r="G373" s="120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23"/>
      <c r="G374" s="120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23"/>
      <c r="G375" s="120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23"/>
      <c r="G376" s="120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23"/>
      <c r="G377" s="120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23"/>
      <c r="G378" s="120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23"/>
      <c r="G379" s="120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23"/>
      <c r="G380" s="120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23"/>
      <c r="G381" s="120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23"/>
      <c r="G382" s="120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23"/>
      <c r="G383" s="120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23"/>
      <c r="G384" s="120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23"/>
      <c r="G385" s="120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23"/>
      <c r="G386" s="120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23"/>
      <c r="G387" s="120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23"/>
      <c r="G388" s="120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23"/>
      <c r="G389" s="120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23"/>
      <c r="G390" s="120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23"/>
      <c r="G391" s="120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23"/>
      <c r="G392" s="120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23"/>
      <c r="G393" s="120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23"/>
      <c r="G394" s="120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23"/>
      <c r="G395" s="120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23"/>
      <c r="G396" s="120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23"/>
      <c r="G397" s="120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23"/>
      <c r="G398" s="120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23"/>
      <c r="G399" s="120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23"/>
      <c r="G400" s="120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23"/>
      <c r="G401" s="120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23"/>
      <c r="G402" s="120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23"/>
      <c r="G403" s="120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23"/>
      <c r="G404" s="120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23"/>
      <c r="G405" s="120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23"/>
      <c r="G406" s="120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23"/>
      <c r="G407" s="120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23"/>
      <c r="G408" s="120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23"/>
      <c r="G409" s="120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23"/>
      <c r="G410" s="120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23"/>
      <c r="G411" s="120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23"/>
      <c r="G412" s="120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23"/>
      <c r="G413" s="120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23"/>
      <c r="G414" s="120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23"/>
      <c r="G415" s="120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23"/>
      <c r="G416" s="120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23"/>
      <c r="G417" s="120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23"/>
      <c r="G418" s="120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23"/>
      <c r="G419" s="120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23"/>
      <c r="G420" s="120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23"/>
      <c r="G421" s="120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23"/>
      <c r="G422" s="120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23"/>
      <c r="G423" s="120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23"/>
      <c r="G424" s="120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23"/>
      <c r="G425" s="120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23"/>
      <c r="G426" s="120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23"/>
      <c r="G427" s="120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23"/>
      <c r="G428" s="120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23"/>
      <c r="G429" s="120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23"/>
      <c r="G430" s="120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23"/>
      <c r="G431" s="120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23"/>
      <c r="G432" s="120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23"/>
      <c r="G433" s="120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23"/>
      <c r="G434" s="120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23"/>
      <c r="G435" s="120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23"/>
      <c r="G436" s="120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23"/>
      <c r="G437" s="120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23"/>
      <c r="G438" s="120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23"/>
      <c r="G439" s="120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23"/>
      <c r="G440" s="120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23"/>
      <c r="G441" s="120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23"/>
      <c r="G442" s="120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23"/>
      <c r="G443" s="120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23"/>
      <c r="G444" s="120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23"/>
      <c r="G445" s="120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23"/>
      <c r="G446" s="120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23"/>
      <c r="G447" s="120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23"/>
      <c r="G448" s="120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23"/>
      <c r="G449" s="120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23"/>
      <c r="G450" s="120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23"/>
      <c r="G451" s="120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23"/>
      <c r="G452" s="120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23"/>
      <c r="G453" s="120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23"/>
      <c r="G454" s="120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23"/>
      <c r="G455" s="120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23"/>
      <c r="G456" s="120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23"/>
      <c r="G457" s="120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23"/>
      <c r="G458" s="120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23"/>
      <c r="G459" s="120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23"/>
      <c r="G460" s="120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23"/>
      <c r="G461" s="120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23"/>
      <c r="G462" s="120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23"/>
      <c r="G463" s="120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23"/>
      <c r="G464" s="120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23"/>
      <c r="G465" s="120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23"/>
      <c r="G466" s="120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23"/>
      <c r="G467" s="120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23"/>
      <c r="G468" s="120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23"/>
      <c r="G469" s="120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23"/>
      <c r="G470" s="120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23"/>
      <c r="G471" s="120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23"/>
      <c r="G472" s="120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23"/>
      <c r="G473" s="120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23"/>
      <c r="G474" s="120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23"/>
      <c r="G475" s="120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23"/>
      <c r="G476" s="120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23"/>
      <c r="G477" s="120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23"/>
      <c r="G478" s="120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23"/>
      <c r="G479" s="120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23"/>
      <c r="G480" s="120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23"/>
      <c r="G481" s="120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23"/>
      <c r="G482" s="120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23"/>
      <c r="G483" s="120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23"/>
      <c r="G484" s="120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23"/>
      <c r="G485" s="120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23"/>
      <c r="G486" s="120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23"/>
      <c r="G487" s="120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23"/>
      <c r="G488" s="120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23"/>
      <c r="G489" s="120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23"/>
      <c r="G490" s="120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23"/>
      <c r="G491" s="120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23"/>
      <c r="G492" s="120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23"/>
      <c r="G493" s="120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23"/>
      <c r="G494" s="120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23"/>
      <c r="G495" s="120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23"/>
      <c r="G496" s="120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23"/>
      <c r="G497" s="120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23"/>
      <c r="G498" s="120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23"/>
      <c r="G499" s="120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23"/>
      <c r="G500" s="120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23"/>
      <c r="G501" s="120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23"/>
      <c r="G502" s="120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23"/>
      <c r="G503" s="120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23"/>
      <c r="G504" s="120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23"/>
      <c r="G505" s="120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8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N50" sqref="N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33" t="s">
        <v>7</v>
      </c>
      <c r="D1" s="134"/>
      <c r="E1" s="134"/>
      <c r="F1" s="138" t="s">
        <v>1</v>
      </c>
      <c r="G1" s="120"/>
      <c r="H1" s="136" t="s">
        <v>78</v>
      </c>
      <c r="I1" s="119"/>
      <c r="J1" s="120"/>
    </row>
    <row r="2" spans="1:10" ht="21.75" customHeight="1">
      <c r="A2" s="4" t="s">
        <v>9</v>
      </c>
      <c r="B2" s="4" t="s">
        <v>10</v>
      </c>
      <c r="C2" s="4" t="s">
        <v>11</v>
      </c>
      <c r="D2" s="4" t="s">
        <v>12</v>
      </c>
      <c r="E2" s="4" t="s">
        <v>3</v>
      </c>
      <c r="F2" s="4" t="s">
        <v>13</v>
      </c>
      <c r="G2" s="4" t="s">
        <v>5</v>
      </c>
      <c r="H2" s="27" t="s">
        <v>11</v>
      </c>
      <c r="I2" s="27" t="s">
        <v>79</v>
      </c>
      <c r="J2" s="27" t="s">
        <v>3</v>
      </c>
    </row>
    <row r="3" spans="1:10" ht="18.75" customHeight="1">
      <c r="A3" s="125">
        <f>(E3-F3)/D3</f>
        <v>3622.2864335440113</v>
      </c>
      <c r="B3" s="128">
        <f>E3/D3</f>
        <v>3692.658639970934</v>
      </c>
      <c r="C3" s="140">
        <f>H3*I3</f>
        <v>4586.7657499999996</v>
      </c>
      <c r="D3" s="135">
        <f>SUM(D7:D505)</f>
        <v>48.027649999999994</v>
      </c>
      <c r="E3" s="137">
        <f>SUM(E7:E505)</f>
        <v>177349.71673000001</v>
      </c>
      <c r="F3" s="137">
        <f>SUM(F6:G505)</f>
        <v>3379.8117000000002</v>
      </c>
      <c r="G3" s="7">
        <f>G4/E3</f>
        <v>0.26118832269412795</v>
      </c>
      <c r="H3" s="130" t="s">
        <v>80</v>
      </c>
      <c r="I3" s="143">
        <f>投資!G2</f>
        <v>31.535</v>
      </c>
      <c r="J3" s="131">
        <f>SUM(J7:J505)</f>
        <v>5606.8200000000006</v>
      </c>
    </row>
    <row r="4" spans="1:10" ht="18.75" customHeight="1">
      <c r="A4" s="122"/>
      <c r="B4" s="122"/>
      <c r="C4" s="127"/>
      <c r="D4" s="122"/>
      <c r="E4" s="122"/>
      <c r="F4" s="122"/>
      <c r="G4" s="32">
        <f>D3*C3-E3+F3</f>
        <v>46321.67504298743</v>
      </c>
      <c r="H4" s="127"/>
      <c r="I4" s="127"/>
      <c r="J4" s="127"/>
    </row>
    <row r="5" spans="1:10">
      <c r="A5" s="16" t="s">
        <v>15</v>
      </c>
      <c r="B5" s="24" t="s">
        <v>16</v>
      </c>
      <c r="C5" s="16" t="s">
        <v>17</v>
      </c>
      <c r="D5" s="16" t="s">
        <v>18</v>
      </c>
      <c r="E5" s="16" t="s">
        <v>19</v>
      </c>
      <c r="F5" s="139" t="s">
        <v>20</v>
      </c>
      <c r="G5" s="120"/>
      <c r="H5" s="126" t="s">
        <v>17</v>
      </c>
      <c r="I5" s="126" t="s">
        <v>81</v>
      </c>
      <c r="J5" s="126" t="s">
        <v>82</v>
      </c>
    </row>
    <row r="6" spans="1:10">
      <c r="A6" s="17">
        <v>1</v>
      </c>
      <c r="B6" s="124" t="s">
        <v>21</v>
      </c>
      <c r="C6" s="119"/>
      <c r="D6" s="119"/>
      <c r="E6" s="120"/>
      <c r="F6" s="129"/>
      <c r="G6" s="120"/>
      <c r="H6" s="127"/>
      <c r="I6" s="127"/>
      <c r="J6" s="127"/>
    </row>
    <row r="7" spans="1:10">
      <c r="A7" s="17">
        <v>2</v>
      </c>
      <c r="B7" s="25" t="s">
        <v>22</v>
      </c>
      <c r="C7" s="36">
        <f t="shared" ref="C7:C70" si="0">H7*I7</f>
        <v>3066.7917499999999</v>
      </c>
      <c r="D7" s="26">
        <v>0.326071</v>
      </c>
      <c r="E7" s="26">
        <v>1000</v>
      </c>
      <c r="F7" s="123"/>
      <c r="G7" s="120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83</v>
      </c>
      <c r="C8" s="36">
        <f t="shared" si="0"/>
        <v>3071.5083</v>
      </c>
      <c r="D8" s="26">
        <v>0.32553500000000002</v>
      </c>
      <c r="E8" s="26">
        <v>1000</v>
      </c>
      <c r="F8" s="123"/>
      <c r="G8" s="120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84</v>
      </c>
      <c r="C9" s="36">
        <f t="shared" si="0"/>
        <v>3114.2246399999999</v>
      </c>
      <c r="D9" s="26">
        <v>0.321135</v>
      </c>
      <c r="E9" s="26">
        <v>1000</v>
      </c>
      <c r="F9" s="123"/>
      <c r="G9" s="120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84</v>
      </c>
      <c r="C10" s="36">
        <f t="shared" si="0"/>
        <v>3114.2246399999999</v>
      </c>
      <c r="D10" s="26">
        <v>12.84426</v>
      </c>
      <c r="E10" s="18">
        <v>40004</v>
      </c>
      <c r="F10" s="123"/>
      <c r="G10" s="120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85</v>
      </c>
      <c r="C11" s="36">
        <f t="shared" si="0"/>
        <v>0</v>
      </c>
      <c r="D11" s="26"/>
      <c r="E11" s="26"/>
      <c r="F11" s="123">
        <v>126</v>
      </c>
      <c r="G11" s="120"/>
      <c r="H11" s="20"/>
      <c r="I11" s="20"/>
      <c r="J11" s="20"/>
    </row>
    <row r="12" spans="1:10">
      <c r="A12" s="17">
        <v>7</v>
      </c>
      <c r="B12" s="25" t="s">
        <v>27</v>
      </c>
      <c r="C12" s="36">
        <f t="shared" si="0"/>
        <v>2959.0029999999997</v>
      </c>
      <c r="D12" s="26">
        <v>0.337951</v>
      </c>
      <c r="E12" s="26">
        <v>1000</v>
      </c>
      <c r="F12" s="123"/>
      <c r="G12" s="120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29</v>
      </c>
      <c r="C13" s="36">
        <f t="shared" si="0"/>
        <v>3042.1262000000002</v>
      </c>
      <c r="D13" s="26">
        <v>0.32874100000000001</v>
      </c>
      <c r="E13" s="26">
        <v>1000</v>
      </c>
      <c r="F13" s="123"/>
      <c r="G13" s="120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30</v>
      </c>
      <c r="C14" s="36">
        <f t="shared" si="0"/>
        <v>3130.9049600000003</v>
      </c>
      <c r="D14" s="26">
        <v>0.319359</v>
      </c>
      <c r="E14" s="26">
        <v>1000</v>
      </c>
      <c r="F14" s="123"/>
      <c r="G14" s="120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86</v>
      </c>
      <c r="C15" s="36">
        <f t="shared" si="0"/>
        <v>0</v>
      </c>
      <c r="D15" s="26"/>
      <c r="E15" s="26"/>
      <c r="F15" s="123">
        <v>254</v>
      </c>
      <c r="G15" s="120"/>
      <c r="H15" s="20"/>
      <c r="I15" s="20"/>
      <c r="J15" s="20"/>
    </row>
    <row r="16" spans="1:10">
      <c r="A16" s="17">
        <v>11</v>
      </c>
      <c r="B16" s="25" t="s">
        <v>32</v>
      </c>
      <c r="C16" s="36">
        <f t="shared" si="0"/>
        <v>3137.1045200000003</v>
      </c>
      <c r="D16" s="26">
        <v>0.318718</v>
      </c>
      <c r="E16" s="26">
        <v>1003</v>
      </c>
      <c r="F16" s="123"/>
      <c r="G16" s="120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87</v>
      </c>
      <c r="C17" s="36">
        <f t="shared" si="0"/>
        <v>3275.1165599999999</v>
      </c>
      <c r="D17" s="26">
        <v>0.30535299999999999</v>
      </c>
      <c r="E17" s="26">
        <v>1000</v>
      </c>
      <c r="F17" s="123"/>
      <c r="G17" s="120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35</v>
      </c>
      <c r="C18" s="36">
        <f t="shared" si="0"/>
        <v>3434.2774399999998</v>
      </c>
      <c r="D18" s="26">
        <v>0.29116700000000001</v>
      </c>
      <c r="E18" s="26">
        <v>1000</v>
      </c>
      <c r="F18" s="123"/>
      <c r="G18" s="120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88</v>
      </c>
      <c r="C19" s="36">
        <f t="shared" si="0"/>
        <v>0</v>
      </c>
      <c r="D19" s="26"/>
      <c r="E19" s="26"/>
      <c r="F19" s="123">
        <v>148</v>
      </c>
      <c r="G19" s="120"/>
      <c r="H19" s="20"/>
      <c r="I19" s="20"/>
      <c r="J19" s="20"/>
    </row>
    <row r="20" spans="1:10" s="12" customFormat="1" ht="16.5" customHeight="1">
      <c r="A20" s="17">
        <v>15</v>
      </c>
      <c r="B20" s="25" t="s">
        <v>36</v>
      </c>
      <c r="C20" s="36">
        <f t="shared" si="0"/>
        <v>3535.0024500000004</v>
      </c>
      <c r="D20" s="26">
        <v>0.282856</v>
      </c>
      <c r="E20" s="26">
        <v>1000</v>
      </c>
      <c r="F20" s="123"/>
      <c r="G20" s="120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37</v>
      </c>
      <c r="C21" s="36">
        <f t="shared" si="0"/>
        <v>3540.1177000000002</v>
      </c>
      <c r="D21" s="26">
        <v>0.28243400000000002</v>
      </c>
      <c r="E21" s="26">
        <v>1000</v>
      </c>
      <c r="F21" s="123"/>
      <c r="G21" s="120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38</v>
      </c>
      <c r="C22" s="36">
        <f t="shared" si="0"/>
        <v>3642.9198000000001</v>
      </c>
      <c r="D22" s="26">
        <v>0.27448</v>
      </c>
      <c r="E22" s="26">
        <v>1000</v>
      </c>
      <c r="F22" s="123"/>
      <c r="G22" s="120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89</v>
      </c>
      <c r="C23" s="36">
        <f t="shared" si="0"/>
        <v>0</v>
      </c>
      <c r="D23" s="26"/>
      <c r="E23" s="26"/>
      <c r="F23" s="123">
        <v>217</v>
      </c>
      <c r="G23" s="120"/>
      <c r="H23" s="20"/>
      <c r="I23" s="20"/>
      <c r="J23" s="20"/>
    </row>
    <row r="24" spans="1:10" s="12" customFormat="1" ht="16.5" customHeight="1">
      <c r="A24" s="17">
        <v>19</v>
      </c>
      <c r="B24" s="25" t="s">
        <v>39</v>
      </c>
      <c r="C24" s="36">
        <f t="shared" si="0"/>
        <v>3730.2285000000006</v>
      </c>
      <c r="D24" s="26">
        <v>7.7744299999999997</v>
      </c>
      <c r="E24" s="26">
        <v>29003</v>
      </c>
      <c r="F24" s="123"/>
      <c r="G24" s="120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40</v>
      </c>
      <c r="C25" s="36">
        <f t="shared" si="0"/>
        <v>3532.7945999999997</v>
      </c>
      <c r="D25" s="26">
        <v>0.84916999999999998</v>
      </c>
      <c r="E25" s="26">
        <v>3000</v>
      </c>
      <c r="F25" s="123"/>
      <c r="G25" s="120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43</v>
      </c>
      <c r="C26" s="36">
        <f t="shared" si="0"/>
        <v>3681.8798299999999</v>
      </c>
      <c r="D26" s="26">
        <v>0.81479999999999997</v>
      </c>
      <c r="E26" s="26">
        <v>3000</v>
      </c>
      <c r="F26" s="123"/>
      <c r="G26" s="120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73</v>
      </c>
      <c r="C27" s="36">
        <f t="shared" si="0"/>
        <v>0</v>
      </c>
      <c r="D27" s="26"/>
      <c r="E27" s="26"/>
      <c r="F27" s="123">
        <v>241</v>
      </c>
      <c r="G27" s="120"/>
      <c r="H27" s="20"/>
      <c r="I27" s="20"/>
      <c r="J27" s="20"/>
    </row>
    <row r="28" spans="1:10" s="12" customFormat="1" ht="16.5" customHeight="1">
      <c r="A28" s="17">
        <v>23</v>
      </c>
      <c r="B28" s="25" t="s">
        <v>44</v>
      </c>
      <c r="C28" s="36">
        <f t="shared" si="0"/>
        <v>3845.8385400000002</v>
      </c>
      <c r="D28" s="26">
        <v>0.78005999999999998</v>
      </c>
      <c r="E28" s="26">
        <v>3000</v>
      </c>
      <c r="F28" s="123"/>
      <c r="G28" s="120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45</v>
      </c>
      <c r="C29" s="36">
        <f t="shared" si="0"/>
        <v>3860.76</v>
      </c>
      <c r="D29" s="26">
        <v>0.77710000000000001</v>
      </c>
      <c r="E29" s="26">
        <v>3000</v>
      </c>
      <c r="F29" s="123"/>
      <c r="G29" s="120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46</v>
      </c>
      <c r="C30" s="36">
        <f t="shared" si="0"/>
        <v>4001.085</v>
      </c>
      <c r="D30" s="26">
        <v>0.74980000000000002</v>
      </c>
      <c r="E30" s="26">
        <v>3000</v>
      </c>
      <c r="F30" s="123"/>
      <c r="G30" s="120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90</v>
      </c>
      <c r="C31" s="36">
        <f t="shared" si="0"/>
        <v>0</v>
      </c>
      <c r="D31" s="26"/>
      <c r="E31" s="26"/>
      <c r="F31" s="123">
        <v>568</v>
      </c>
      <c r="G31" s="120"/>
      <c r="H31" s="20"/>
      <c r="I31" s="20"/>
      <c r="J31" s="20"/>
    </row>
    <row r="32" spans="1:10" s="12" customFormat="1" ht="16.5" customHeight="1">
      <c r="A32" s="17">
        <v>27</v>
      </c>
      <c r="B32" s="25" t="s">
        <v>49</v>
      </c>
      <c r="C32" s="36">
        <f t="shared" si="0"/>
        <v>3935.0944</v>
      </c>
      <c r="D32" s="26">
        <v>0.76234000000000002</v>
      </c>
      <c r="E32" s="26">
        <v>3000</v>
      </c>
      <c r="F32" s="123"/>
      <c r="G32" s="120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50</v>
      </c>
      <c r="C33" s="36">
        <f t="shared" si="0"/>
        <v>4020.7558500000005</v>
      </c>
      <c r="D33" s="26">
        <v>0.74614000000000003</v>
      </c>
      <c r="E33" s="26">
        <v>3000</v>
      </c>
      <c r="F33" s="123"/>
      <c r="G33" s="120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51</v>
      </c>
      <c r="C34" s="36">
        <f t="shared" si="0"/>
        <v>3929.3636799999999</v>
      </c>
      <c r="D34" s="26">
        <v>0.76346999999999998</v>
      </c>
      <c r="E34" s="26">
        <v>3000</v>
      </c>
      <c r="F34" s="123"/>
      <c r="G34" s="120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91</v>
      </c>
      <c r="C35" s="36">
        <f t="shared" si="0"/>
        <v>0</v>
      </c>
      <c r="D35" s="26"/>
      <c r="E35" s="26"/>
      <c r="F35" s="123">
        <v>273</v>
      </c>
      <c r="G35" s="120"/>
      <c r="H35" s="20"/>
      <c r="I35" s="20"/>
      <c r="J35" s="20"/>
    </row>
    <row r="36" spans="1:10" s="12" customFormat="1" ht="16.5" customHeight="1">
      <c r="A36" s="17">
        <v>31</v>
      </c>
      <c r="B36" s="25" t="s">
        <v>52</v>
      </c>
      <c r="C36" s="36">
        <f t="shared" si="0"/>
        <v>3387.8566500000002</v>
      </c>
      <c r="D36" s="26">
        <v>0.88548000000000004</v>
      </c>
      <c r="E36" s="26">
        <v>3000</v>
      </c>
      <c r="F36" s="123"/>
      <c r="G36" s="120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53</v>
      </c>
      <c r="C37" s="36">
        <f t="shared" si="0"/>
        <v>3569.4848999999999</v>
      </c>
      <c r="D37" s="26">
        <v>0.84048</v>
      </c>
      <c r="E37" s="26">
        <v>3000</v>
      </c>
      <c r="F37" s="123"/>
      <c r="G37" s="120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54</v>
      </c>
      <c r="C38" s="36">
        <f t="shared" si="0"/>
        <v>3755.3881199999996</v>
      </c>
      <c r="D38" s="26">
        <v>0.79884999999999995</v>
      </c>
      <c r="E38" s="26">
        <v>3000</v>
      </c>
      <c r="F38" s="123"/>
      <c r="G38" s="120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92</v>
      </c>
      <c r="C39" s="36">
        <f t="shared" si="0"/>
        <v>0</v>
      </c>
      <c r="D39" s="26"/>
      <c r="E39" s="26"/>
      <c r="F39" s="123">
        <v>398</v>
      </c>
      <c r="G39" s="120"/>
      <c r="H39" s="20"/>
      <c r="I39" s="20"/>
      <c r="J39" s="20"/>
    </row>
    <row r="40" spans="1:10" s="12" customFormat="1" ht="16.5" customHeight="1">
      <c r="A40" s="17">
        <v>35</v>
      </c>
      <c r="B40" s="25" t="s">
        <v>55</v>
      </c>
      <c r="C40" s="36">
        <f t="shared" si="0"/>
        <v>3780.6701999999996</v>
      </c>
      <c r="D40" s="26">
        <v>1.0062599999999999</v>
      </c>
      <c r="E40" s="26">
        <v>3804.3505500000001</v>
      </c>
      <c r="F40" s="123"/>
      <c r="G40" s="120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56</v>
      </c>
      <c r="C41" s="36">
        <f t="shared" si="0"/>
        <v>3868.9544400000004</v>
      </c>
      <c r="D41" s="26">
        <v>0.99724000000000002</v>
      </c>
      <c r="E41" s="26">
        <v>3859.1603700000001</v>
      </c>
      <c r="F41" s="123"/>
      <c r="G41" s="120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93</v>
      </c>
      <c r="C42" s="36">
        <f t="shared" si="0"/>
        <v>4109.5728900000004</v>
      </c>
      <c r="D42" s="26">
        <v>0.96231999999999995</v>
      </c>
      <c r="E42" s="26">
        <v>3955.0342099999998</v>
      </c>
      <c r="F42" s="123"/>
      <c r="G42" s="120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94</v>
      </c>
      <c r="C43" s="36">
        <f t="shared" si="0"/>
        <v>4113.4283999999998</v>
      </c>
      <c r="D43" s="26">
        <v>-33.100180000000002</v>
      </c>
      <c r="E43" s="26">
        <v>-135835</v>
      </c>
      <c r="F43" s="123"/>
      <c r="G43" s="120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95</v>
      </c>
      <c r="C44" s="36">
        <f t="shared" si="0"/>
        <v>4140.5113499999998</v>
      </c>
      <c r="D44" s="26">
        <v>41.166679999999999</v>
      </c>
      <c r="E44" s="26">
        <v>170451.20115000001</v>
      </c>
      <c r="F44" s="123"/>
      <c r="G44" s="120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96</v>
      </c>
      <c r="C45" s="36">
        <f t="shared" si="0"/>
        <v>4259.1959999999999</v>
      </c>
      <c r="D45" s="26">
        <v>0.93123</v>
      </c>
      <c r="E45" s="26">
        <v>3966.6051000000002</v>
      </c>
      <c r="F45" s="123"/>
      <c r="G45" s="120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61</v>
      </c>
      <c r="C46" s="36">
        <f t="shared" si="0"/>
        <v>4323.4119999999994</v>
      </c>
      <c r="D46" s="26">
        <v>0.93123</v>
      </c>
      <c r="E46" s="26">
        <v>4027</v>
      </c>
      <c r="F46" s="123"/>
      <c r="G46" s="120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62</v>
      </c>
      <c r="C47" s="36">
        <f t="shared" si="0"/>
        <v>4430.625</v>
      </c>
      <c r="D47" s="26">
        <v>0.91691</v>
      </c>
      <c r="E47" s="26">
        <v>4075</v>
      </c>
      <c r="F47" s="123"/>
      <c r="G47" s="120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97</v>
      </c>
      <c r="C48" s="36">
        <f t="shared" si="0"/>
        <v>0</v>
      </c>
      <c r="D48" s="26"/>
      <c r="E48" s="26"/>
      <c r="F48" s="123">
        <f>36.62*投資!G2</f>
        <v>1154.8117</v>
      </c>
      <c r="G48" s="120"/>
      <c r="H48" s="20"/>
      <c r="I48" s="20"/>
      <c r="J48" s="20"/>
    </row>
    <row r="49" spans="1:10" s="12" customFormat="1" ht="16.5" customHeight="1">
      <c r="A49" s="17">
        <v>44</v>
      </c>
      <c r="B49" s="25" t="s">
        <v>98</v>
      </c>
      <c r="C49" s="36">
        <f t="shared" si="0"/>
        <v>4500.9905499999995</v>
      </c>
      <c r="D49" s="26">
        <v>0.21018000000000001</v>
      </c>
      <c r="E49" s="26">
        <f>30.01*投資!G2</f>
        <v>946.36535000000003</v>
      </c>
      <c r="F49" s="123"/>
      <c r="G49" s="120"/>
      <c r="H49" s="20">
        <v>142.72999999999999</v>
      </c>
      <c r="I49" s="20">
        <f>投資!G2</f>
        <v>31.535</v>
      </c>
      <c r="J49" s="20">
        <v>30.01</v>
      </c>
    </row>
    <row r="50" spans="1:10" s="12" customFormat="1" ht="16.5" customHeight="1">
      <c r="A50" s="17">
        <v>45</v>
      </c>
      <c r="B50" s="25" t="s">
        <v>65</v>
      </c>
      <c r="C50" s="36">
        <f t="shared" si="0"/>
        <v>4516.0830000000005</v>
      </c>
      <c r="D50" s="26">
        <v>0.90559999999999996</v>
      </c>
      <c r="E50" s="26">
        <v>4090</v>
      </c>
      <c r="F50" s="123"/>
      <c r="G50" s="120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/>
      <c r="C51" s="36">
        <f t="shared" si="0"/>
        <v>0</v>
      </c>
      <c r="D51" s="26"/>
      <c r="E51" s="26"/>
      <c r="F51" s="123"/>
      <c r="G51" s="120"/>
      <c r="H51" s="20"/>
      <c r="I51" s="20"/>
      <c r="J51" s="20"/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23"/>
      <c r="G52" s="120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23"/>
      <c r="G53" s="120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23"/>
      <c r="G54" s="120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23"/>
      <c r="G55" s="120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23"/>
      <c r="G56" s="120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23"/>
      <c r="G57" s="120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23"/>
      <c r="G58" s="120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23"/>
      <c r="G59" s="120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23"/>
      <c r="G60" s="120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23"/>
      <c r="G61" s="120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23"/>
      <c r="G62" s="120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23"/>
      <c r="G63" s="120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23"/>
      <c r="G64" s="120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23"/>
      <c r="G65" s="120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23"/>
      <c r="G66" s="120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23"/>
      <c r="G67" s="120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23"/>
      <c r="G68" s="120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23"/>
      <c r="G69" s="120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23"/>
      <c r="G70" s="120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23"/>
      <c r="G71" s="120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23"/>
      <c r="G72" s="120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23"/>
      <c r="G73" s="120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23"/>
      <c r="G74" s="120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23"/>
      <c r="G75" s="120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23"/>
      <c r="G76" s="120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23"/>
      <c r="G77" s="120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23"/>
      <c r="G78" s="120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23"/>
      <c r="G79" s="120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23"/>
      <c r="G80" s="120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23"/>
      <c r="G81" s="120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23"/>
      <c r="G82" s="120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23"/>
      <c r="G83" s="120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23"/>
      <c r="G84" s="120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23"/>
      <c r="G85" s="120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23"/>
      <c r="G86" s="120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23"/>
      <c r="G87" s="120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23"/>
      <c r="G88" s="120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23"/>
      <c r="G89" s="120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23"/>
      <c r="G90" s="120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23"/>
      <c r="G91" s="120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23"/>
      <c r="G92" s="120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23"/>
      <c r="G93" s="120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23"/>
      <c r="G94" s="120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23"/>
      <c r="G95" s="120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23"/>
      <c r="G96" s="120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23"/>
      <c r="G97" s="120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23"/>
      <c r="G98" s="120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23"/>
      <c r="G99" s="120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23"/>
      <c r="G100" s="120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23"/>
      <c r="G101" s="120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23"/>
      <c r="G102" s="120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23"/>
      <c r="G103" s="120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23"/>
      <c r="G104" s="120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23"/>
      <c r="G105" s="120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23"/>
      <c r="G106" s="120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23"/>
      <c r="G107" s="120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23"/>
      <c r="G108" s="120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23"/>
      <c r="G109" s="120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23"/>
      <c r="G110" s="120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23"/>
      <c r="G111" s="120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23"/>
      <c r="G112" s="120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23"/>
      <c r="G113" s="120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23"/>
      <c r="G114" s="120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23"/>
      <c r="G115" s="120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23"/>
      <c r="G116" s="120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23"/>
      <c r="G117" s="120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23"/>
      <c r="G118" s="120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23"/>
      <c r="G119" s="120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23"/>
      <c r="G120" s="120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23"/>
      <c r="G121" s="120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23"/>
      <c r="G122" s="120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23"/>
      <c r="G123" s="120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23"/>
      <c r="G124" s="120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23"/>
      <c r="G125" s="120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23"/>
      <c r="G126" s="120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23"/>
      <c r="G127" s="120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23"/>
      <c r="G128" s="120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23"/>
      <c r="G129" s="120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23"/>
      <c r="G130" s="120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23"/>
      <c r="G131" s="120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23"/>
      <c r="G132" s="120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23"/>
      <c r="G133" s="120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23"/>
      <c r="G134" s="120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23"/>
      <c r="G135" s="120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23"/>
      <c r="G136" s="120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23"/>
      <c r="G137" s="120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23"/>
      <c r="G138" s="120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23"/>
      <c r="G139" s="120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23"/>
      <c r="G140" s="120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23"/>
      <c r="G141" s="120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23"/>
      <c r="G142" s="120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23"/>
      <c r="G143" s="120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23"/>
      <c r="G144" s="120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23"/>
      <c r="G145" s="120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23"/>
      <c r="G146" s="120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23"/>
      <c r="G147" s="120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23"/>
      <c r="G148" s="120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23"/>
      <c r="G149" s="120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23"/>
      <c r="G150" s="120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23"/>
      <c r="G151" s="120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23"/>
      <c r="G152" s="120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23"/>
      <c r="G153" s="120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23"/>
      <c r="G154" s="120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23"/>
      <c r="G155" s="120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23"/>
      <c r="G156" s="120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23"/>
      <c r="G157" s="120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23"/>
      <c r="G158" s="120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23"/>
      <c r="G159" s="120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23"/>
      <c r="G160" s="120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23"/>
      <c r="G161" s="120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23"/>
      <c r="G162" s="120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23"/>
      <c r="G163" s="120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23"/>
      <c r="G164" s="120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23"/>
      <c r="G165" s="120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23"/>
      <c r="G166" s="120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23"/>
      <c r="G167" s="120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23"/>
      <c r="G168" s="120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23"/>
      <c r="G169" s="120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23"/>
      <c r="G170" s="120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23"/>
      <c r="G171" s="120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23"/>
      <c r="G172" s="120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23"/>
      <c r="G173" s="120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23"/>
      <c r="G174" s="120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23"/>
      <c r="G175" s="120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23"/>
      <c r="G176" s="120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23"/>
      <c r="G177" s="120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23"/>
      <c r="G178" s="120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23"/>
      <c r="G179" s="120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23"/>
      <c r="G180" s="120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23"/>
      <c r="G181" s="120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23"/>
      <c r="G182" s="120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23"/>
      <c r="G183" s="120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23"/>
      <c r="G184" s="120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23"/>
      <c r="G185" s="120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23"/>
      <c r="G186" s="120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23"/>
      <c r="G187" s="120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23"/>
      <c r="G188" s="120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23"/>
      <c r="G189" s="120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23"/>
      <c r="G190" s="120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23"/>
      <c r="G191" s="120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23"/>
      <c r="G192" s="120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23"/>
      <c r="G193" s="120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23"/>
      <c r="G194" s="120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23"/>
      <c r="G195" s="120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23"/>
      <c r="G196" s="120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23"/>
      <c r="G197" s="120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23"/>
      <c r="G198" s="120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23"/>
      <c r="G199" s="120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23"/>
      <c r="G200" s="120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23"/>
      <c r="G201" s="120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23"/>
      <c r="G202" s="120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23"/>
      <c r="G203" s="120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23"/>
      <c r="G204" s="120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23"/>
      <c r="G205" s="120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23"/>
      <c r="G206" s="120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23"/>
      <c r="G207" s="120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23"/>
      <c r="G208" s="120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23"/>
      <c r="G209" s="120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23"/>
      <c r="G210" s="120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23"/>
      <c r="G211" s="120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23"/>
      <c r="G212" s="120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23"/>
      <c r="G213" s="120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23"/>
      <c r="G214" s="120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23"/>
      <c r="G215" s="120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23"/>
      <c r="G216" s="120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23"/>
      <c r="G217" s="120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23"/>
      <c r="G218" s="120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23"/>
      <c r="G219" s="120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23"/>
      <c r="G220" s="120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23"/>
      <c r="G221" s="120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23"/>
      <c r="G222" s="120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23"/>
      <c r="G223" s="120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23"/>
      <c r="G224" s="120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23"/>
      <c r="G225" s="120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23"/>
      <c r="G226" s="120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23"/>
      <c r="G227" s="120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23"/>
      <c r="G228" s="120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23"/>
      <c r="G229" s="120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23"/>
      <c r="G230" s="120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23"/>
      <c r="G231" s="120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23"/>
      <c r="G232" s="120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23"/>
      <c r="G233" s="120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23"/>
      <c r="G234" s="120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23"/>
      <c r="G235" s="120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23"/>
      <c r="G236" s="120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23"/>
      <c r="G237" s="120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23"/>
      <c r="G238" s="120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23"/>
      <c r="G239" s="120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23"/>
      <c r="G240" s="120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23"/>
      <c r="G241" s="120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23"/>
      <c r="G242" s="120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23"/>
      <c r="G243" s="120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23"/>
      <c r="G244" s="120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23"/>
      <c r="G245" s="120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23"/>
      <c r="G246" s="120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23"/>
      <c r="G247" s="120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23"/>
      <c r="G248" s="120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23"/>
      <c r="G249" s="120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23"/>
      <c r="G250" s="120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23"/>
      <c r="G251" s="120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23"/>
      <c r="G252" s="120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23"/>
      <c r="G253" s="120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23"/>
      <c r="G254" s="120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23"/>
      <c r="G255" s="120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23"/>
      <c r="G256" s="120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23"/>
      <c r="G257" s="120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23"/>
      <c r="G258" s="120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23"/>
      <c r="G259" s="120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23"/>
      <c r="G260" s="120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23"/>
      <c r="G261" s="120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23"/>
      <c r="G262" s="120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23"/>
      <c r="G263" s="120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23"/>
      <c r="G264" s="120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23"/>
      <c r="G265" s="120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23"/>
      <c r="G266" s="120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23"/>
      <c r="G267" s="120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23"/>
      <c r="G268" s="120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23"/>
      <c r="G269" s="120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23"/>
      <c r="G270" s="120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23"/>
      <c r="G271" s="120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23"/>
      <c r="G272" s="120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23"/>
      <c r="G273" s="120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23"/>
      <c r="G274" s="120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23"/>
      <c r="G275" s="120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23"/>
      <c r="G276" s="120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23"/>
      <c r="G277" s="120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23"/>
      <c r="G278" s="120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23"/>
      <c r="G279" s="120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23"/>
      <c r="G280" s="120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23"/>
      <c r="G281" s="120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23"/>
      <c r="G282" s="120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23"/>
      <c r="G283" s="120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23"/>
      <c r="G284" s="120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23"/>
      <c r="G285" s="120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23"/>
      <c r="G286" s="120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23"/>
      <c r="G287" s="120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23"/>
      <c r="G288" s="120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23"/>
      <c r="G289" s="120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23"/>
      <c r="G290" s="120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23"/>
      <c r="G291" s="120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23"/>
      <c r="G292" s="120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23"/>
      <c r="G293" s="120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23"/>
      <c r="G294" s="120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23"/>
      <c r="G295" s="120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23"/>
      <c r="G296" s="120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23"/>
      <c r="G297" s="120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23"/>
      <c r="G298" s="120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23"/>
      <c r="G299" s="120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23"/>
      <c r="G300" s="120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23"/>
      <c r="G301" s="120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23"/>
      <c r="G302" s="120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23"/>
      <c r="G303" s="120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23"/>
      <c r="G304" s="120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23"/>
      <c r="G305" s="120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23"/>
      <c r="G306" s="120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23"/>
      <c r="G307" s="120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23"/>
      <c r="G308" s="120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23"/>
      <c r="G309" s="120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23"/>
      <c r="G310" s="120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23"/>
      <c r="G311" s="120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23"/>
      <c r="G312" s="120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23"/>
      <c r="G313" s="120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23"/>
      <c r="G314" s="120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23"/>
      <c r="G315" s="120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23"/>
      <c r="G316" s="120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23"/>
      <c r="G317" s="120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23"/>
      <c r="G318" s="120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23"/>
      <c r="G319" s="120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23"/>
      <c r="G320" s="120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23"/>
      <c r="G321" s="120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23"/>
      <c r="G322" s="120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23"/>
      <c r="G323" s="120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23"/>
      <c r="G324" s="120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23"/>
      <c r="G325" s="120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23"/>
      <c r="G326" s="120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23"/>
      <c r="G327" s="120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23"/>
      <c r="G328" s="120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23"/>
      <c r="G329" s="120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23"/>
      <c r="G330" s="120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23"/>
      <c r="G331" s="120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23"/>
      <c r="G332" s="120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23"/>
      <c r="G333" s="120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23"/>
      <c r="G334" s="120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23"/>
      <c r="G335" s="120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23"/>
      <c r="G336" s="120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23"/>
      <c r="G337" s="120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23"/>
      <c r="G338" s="120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23"/>
      <c r="G339" s="120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23"/>
      <c r="G340" s="120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23"/>
      <c r="G341" s="120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23"/>
      <c r="G342" s="120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23"/>
      <c r="G343" s="120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23"/>
      <c r="G344" s="120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23"/>
      <c r="G345" s="120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23"/>
      <c r="G346" s="120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23"/>
      <c r="G347" s="120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23"/>
      <c r="G348" s="120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23"/>
      <c r="G349" s="120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23"/>
      <c r="G350" s="120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23"/>
      <c r="G351" s="120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23"/>
      <c r="G352" s="120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23"/>
      <c r="G353" s="120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23"/>
      <c r="G354" s="120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23"/>
      <c r="G355" s="120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23"/>
      <c r="G356" s="120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23"/>
      <c r="G357" s="120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23"/>
      <c r="G358" s="120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23"/>
      <c r="G359" s="120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23"/>
      <c r="G360" s="120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23"/>
      <c r="G361" s="120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23"/>
      <c r="G362" s="120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23"/>
      <c r="G363" s="120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23"/>
      <c r="G364" s="120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23"/>
      <c r="G365" s="120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23"/>
      <c r="G366" s="120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23"/>
      <c r="G367" s="120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23"/>
      <c r="G368" s="120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23"/>
      <c r="G369" s="120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23"/>
      <c r="G370" s="120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23"/>
      <c r="G371" s="120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23"/>
      <c r="G372" s="120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23"/>
      <c r="G373" s="120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23"/>
      <c r="G374" s="120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23"/>
      <c r="G375" s="120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23"/>
      <c r="G376" s="120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23"/>
      <c r="G377" s="120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23"/>
      <c r="G378" s="120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23"/>
      <c r="G379" s="120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23"/>
      <c r="G380" s="120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23"/>
      <c r="G381" s="120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23"/>
      <c r="G382" s="120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23"/>
      <c r="G383" s="120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23"/>
      <c r="G384" s="120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23"/>
      <c r="G385" s="120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23"/>
      <c r="G386" s="120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23"/>
      <c r="G387" s="120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23"/>
      <c r="G388" s="120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23"/>
      <c r="G389" s="120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23"/>
      <c r="G390" s="120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23"/>
      <c r="G391" s="120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23"/>
      <c r="G392" s="120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23"/>
      <c r="G393" s="120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23"/>
      <c r="G394" s="120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23"/>
      <c r="G395" s="120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23"/>
      <c r="G396" s="120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23"/>
      <c r="G397" s="120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23"/>
      <c r="G398" s="120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23"/>
      <c r="G399" s="120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23"/>
      <c r="G400" s="120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23"/>
      <c r="G401" s="120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23"/>
      <c r="G402" s="120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23"/>
      <c r="G403" s="120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23"/>
      <c r="G404" s="120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23"/>
      <c r="G405" s="120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23"/>
      <c r="G406" s="120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23"/>
      <c r="G407" s="120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23"/>
      <c r="G408" s="120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23"/>
      <c r="G409" s="120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23"/>
      <c r="G410" s="120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23"/>
      <c r="G411" s="120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23"/>
      <c r="G412" s="120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23"/>
      <c r="G413" s="120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23"/>
      <c r="G414" s="120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23"/>
      <c r="G415" s="120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23"/>
      <c r="G416" s="120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23"/>
      <c r="G417" s="120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23"/>
      <c r="G418" s="120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23"/>
      <c r="G419" s="120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23"/>
      <c r="G420" s="120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23"/>
      <c r="G421" s="120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23"/>
      <c r="G422" s="120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23"/>
      <c r="G423" s="120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23"/>
      <c r="G424" s="120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23"/>
      <c r="G425" s="120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23"/>
      <c r="G426" s="120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23"/>
      <c r="G427" s="120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23"/>
      <c r="G428" s="120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23"/>
      <c r="G429" s="120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23"/>
      <c r="G430" s="120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23"/>
      <c r="G431" s="120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23"/>
      <c r="G432" s="120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23"/>
      <c r="G433" s="120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23"/>
      <c r="G434" s="120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23"/>
      <c r="G435" s="120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23"/>
      <c r="G436" s="120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23"/>
      <c r="G437" s="120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23"/>
      <c r="G438" s="120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23"/>
      <c r="G439" s="120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23"/>
      <c r="G440" s="120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23"/>
      <c r="G441" s="120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23"/>
      <c r="G442" s="120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23"/>
      <c r="G443" s="120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23"/>
      <c r="G444" s="120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23"/>
      <c r="G445" s="120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23"/>
      <c r="G446" s="120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23"/>
      <c r="G447" s="120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23"/>
      <c r="G448" s="120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23"/>
      <c r="G449" s="120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23"/>
      <c r="G450" s="120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23"/>
      <c r="G451" s="120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23"/>
      <c r="G452" s="120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23"/>
      <c r="G453" s="120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23"/>
      <c r="G454" s="120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23"/>
      <c r="G455" s="120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23"/>
      <c r="G456" s="120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23"/>
      <c r="G457" s="120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23"/>
      <c r="G458" s="120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23"/>
      <c r="G459" s="120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23"/>
      <c r="G460" s="120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23"/>
      <c r="G461" s="120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23"/>
      <c r="G462" s="120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23"/>
      <c r="G463" s="120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23"/>
      <c r="G464" s="120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23"/>
      <c r="G465" s="120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23"/>
      <c r="G466" s="120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23"/>
      <c r="G467" s="120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23"/>
      <c r="G468" s="120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23"/>
      <c r="G469" s="120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23"/>
      <c r="G470" s="120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23"/>
      <c r="G471" s="120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23"/>
      <c r="G472" s="120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23"/>
      <c r="G473" s="120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23"/>
      <c r="G474" s="120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23"/>
      <c r="G475" s="120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23"/>
      <c r="G476" s="120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23"/>
      <c r="G477" s="120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23"/>
      <c r="G478" s="120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23"/>
      <c r="G479" s="120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23"/>
      <c r="G480" s="120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23"/>
      <c r="G481" s="120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23"/>
      <c r="G482" s="120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23"/>
      <c r="G483" s="120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23"/>
      <c r="G484" s="120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23"/>
      <c r="G485" s="120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23"/>
      <c r="G486" s="120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23"/>
      <c r="G487" s="120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23"/>
      <c r="G488" s="120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23"/>
      <c r="G489" s="120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23"/>
      <c r="G490" s="120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23"/>
      <c r="G491" s="120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23"/>
      <c r="G492" s="120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23"/>
      <c r="G493" s="120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23"/>
      <c r="G494" s="120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23"/>
      <c r="G495" s="120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23"/>
      <c r="G496" s="120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23"/>
      <c r="G497" s="120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23"/>
      <c r="G498" s="120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23"/>
      <c r="G499" s="120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23"/>
      <c r="G500" s="120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23"/>
      <c r="G501" s="120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23"/>
      <c r="G502" s="120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23"/>
      <c r="G503" s="120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23"/>
      <c r="G504" s="120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23"/>
      <c r="G505" s="120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213:G213"/>
    <mergeCell ref="F384:G384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194:G194"/>
    <mergeCell ref="F50:G50"/>
    <mergeCell ref="F15:G15"/>
    <mergeCell ref="F80:G80"/>
    <mergeCell ref="F79:G79"/>
    <mergeCell ref="F321:G321"/>
    <mergeCell ref="F144:G144"/>
    <mergeCell ref="F315:G315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8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33" t="s">
        <v>7</v>
      </c>
      <c r="D1" s="134"/>
      <c r="E1" s="134"/>
      <c r="F1" s="138" t="s">
        <v>99</v>
      </c>
      <c r="G1" s="120"/>
      <c r="H1" s="136"/>
      <c r="I1" s="119"/>
      <c r="J1" s="120"/>
    </row>
    <row r="2" spans="1:10" ht="21.75" customHeight="1">
      <c r="A2" s="4" t="s">
        <v>9</v>
      </c>
      <c r="B2" s="4" t="s">
        <v>10</v>
      </c>
      <c r="C2" s="4" t="s">
        <v>11</v>
      </c>
      <c r="D2" s="4" t="s">
        <v>12</v>
      </c>
      <c r="E2" s="4" t="s">
        <v>3</v>
      </c>
      <c r="F2" s="4" t="s">
        <v>13</v>
      </c>
      <c r="G2" s="4" t="s">
        <v>5</v>
      </c>
      <c r="H2" s="27"/>
      <c r="I2" s="27"/>
      <c r="J2" s="19"/>
    </row>
    <row r="3" spans="1:10" ht="18.75" customHeight="1">
      <c r="A3" s="125" t="e">
        <f>(E3-F3)/D3</f>
        <v>#DIV/0!</v>
      </c>
      <c r="B3" s="128" t="e">
        <f>E3/D3</f>
        <v>#DIV/0!</v>
      </c>
      <c r="C3" s="140" t="s">
        <v>100</v>
      </c>
      <c r="D3" s="135">
        <f>SUM(D7:D505)</f>
        <v>0</v>
      </c>
      <c r="E3" s="137">
        <f>SUM(E7:E505)</f>
        <v>61650</v>
      </c>
      <c r="F3" s="137">
        <f>SUM(F6:G505)</f>
        <v>98204</v>
      </c>
      <c r="G3" s="7">
        <f>G4/E3</f>
        <v>0.59292781832927821</v>
      </c>
      <c r="H3" s="130"/>
      <c r="I3" s="132"/>
      <c r="J3" s="131"/>
    </row>
    <row r="4" spans="1:10" ht="18.75" customHeight="1">
      <c r="A4" s="122"/>
      <c r="B4" s="122"/>
      <c r="C4" s="127"/>
      <c r="D4" s="122"/>
      <c r="E4" s="122"/>
      <c r="F4" s="122"/>
      <c r="G4" s="32">
        <f>D3*C3-E3+F3</f>
        <v>36554</v>
      </c>
      <c r="H4" s="127"/>
      <c r="I4" s="127"/>
      <c r="J4" s="127"/>
    </row>
    <row r="5" spans="1:10">
      <c r="A5" s="16" t="s">
        <v>15</v>
      </c>
      <c r="B5" s="24" t="s">
        <v>16</v>
      </c>
      <c r="C5" s="16" t="s">
        <v>17</v>
      </c>
      <c r="D5" s="16" t="s">
        <v>18</v>
      </c>
      <c r="E5" s="16" t="s">
        <v>19</v>
      </c>
      <c r="F5" s="139" t="s">
        <v>20</v>
      </c>
      <c r="G5" s="120"/>
      <c r="H5" s="126"/>
      <c r="I5" s="126"/>
      <c r="J5" s="126"/>
    </row>
    <row r="6" spans="1:10">
      <c r="A6" s="17">
        <v>1</v>
      </c>
      <c r="B6" s="124" t="s">
        <v>21</v>
      </c>
      <c r="C6" s="119"/>
      <c r="D6" s="119"/>
      <c r="E6" s="120"/>
      <c r="F6" s="129"/>
      <c r="G6" s="120"/>
      <c r="H6" s="127"/>
      <c r="I6" s="127"/>
      <c r="J6" s="127"/>
    </row>
    <row r="7" spans="1:10">
      <c r="A7" s="17">
        <v>2</v>
      </c>
      <c r="B7" s="25" t="s">
        <v>25</v>
      </c>
      <c r="C7" s="26">
        <v>31.92</v>
      </c>
      <c r="D7" s="26">
        <v>30</v>
      </c>
      <c r="E7" s="26">
        <v>958</v>
      </c>
      <c r="F7" s="123"/>
      <c r="G7" s="120"/>
      <c r="H7" s="20"/>
      <c r="I7" s="20"/>
      <c r="J7" s="20"/>
    </row>
    <row r="8" spans="1:10">
      <c r="A8" s="17">
        <v>3</v>
      </c>
      <c r="B8" s="25" t="s">
        <v>68</v>
      </c>
      <c r="C8" s="26">
        <v>31.18</v>
      </c>
      <c r="D8" s="26">
        <v>1000</v>
      </c>
      <c r="E8" s="26">
        <v>31224</v>
      </c>
      <c r="F8" s="123"/>
      <c r="G8" s="120"/>
      <c r="H8" s="20"/>
      <c r="I8" s="20"/>
      <c r="J8" s="20"/>
    </row>
    <row r="9" spans="1:10">
      <c r="A9" s="17">
        <v>4</v>
      </c>
      <c r="B9" s="25" t="s">
        <v>26</v>
      </c>
      <c r="C9" s="26">
        <v>31.03</v>
      </c>
      <c r="D9" s="26">
        <v>30</v>
      </c>
      <c r="E9" s="26">
        <v>932</v>
      </c>
      <c r="F9" s="123"/>
      <c r="G9" s="120"/>
      <c r="H9" s="20"/>
      <c r="I9" s="20"/>
      <c r="J9" s="20"/>
    </row>
    <row r="10" spans="1:10">
      <c r="A10" s="17">
        <v>5</v>
      </c>
      <c r="B10" s="25" t="s">
        <v>27</v>
      </c>
      <c r="C10" s="26">
        <v>31.12</v>
      </c>
      <c r="D10" s="26">
        <v>31</v>
      </c>
      <c r="E10" s="18">
        <v>966</v>
      </c>
      <c r="F10" s="123"/>
      <c r="G10" s="120"/>
      <c r="H10" s="20"/>
      <c r="I10" s="20"/>
      <c r="J10" s="20"/>
    </row>
    <row r="11" spans="1:10">
      <c r="A11" s="17">
        <v>6</v>
      </c>
      <c r="B11" s="25" t="s">
        <v>101</v>
      </c>
      <c r="C11" s="26">
        <v>30.79</v>
      </c>
      <c r="D11" s="26">
        <v>50</v>
      </c>
      <c r="E11" s="26">
        <v>1541</v>
      </c>
      <c r="F11" s="123"/>
      <c r="G11" s="120"/>
      <c r="H11" s="20"/>
      <c r="I11" s="20"/>
      <c r="J11" s="20"/>
    </row>
    <row r="12" spans="1:10">
      <c r="A12" s="17">
        <v>7</v>
      </c>
      <c r="B12" s="25" t="s">
        <v>29</v>
      </c>
      <c r="C12" s="26">
        <v>31.67</v>
      </c>
      <c r="D12" s="26">
        <v>30</v>
      </c>
      <c r="E12" s="26">
        <v>951</v>
      </c>
      <c r="F12" s="123"/>
      <c r="G12" s="120"/>
      <c r="H12" s="20"/>
      <c r="I12" s="20"/>
      <c r="J12" s="20"/>
    </row>
    <row r="13" spans="1:10">
      <c r="A13" s="17">
        <v>8</v>
      </c>
      <c r="B13" s="25" t="s">
        <v>30</v>
      </c>
      <c r="C13" s="26">
        <v>31.67</v>
      </c>
      <c r="D13" s="26">
        <v>30</v>
      </c>
      <c r="E13" s="26">
        <v>951</v>
      </c>
      <c r="F13" s="123"/>
      <c r="G13" s="120"/>
      <c r="H13" s="20"/>
      <c r="I13" s="20"/>
      <c r="J13" s="20"/>
    </row>
    <row r="14" spans="1:10">
      <c r="A14" s="17">
        <v>9</v>
      </c>
      <c r="B14" s="25" t="s">
        <v>31</v>
      </c>
      <c r="C14" s="26"/>
      <c r="D14" s="26"/>
      <c r="E14" s="26"/>
      <c r="F14" s="123">
        <v>1234</v>
      </c>
      <c r="G14" s="120"/>
      <c r="H14" s="20"/>
      <c r="I14" s="20"/>
      <c r="J14" s="20"/>
    </row>
    <row r="15" spans="1:10">
      <c r="A15" s="17">
        <v>10</v>
      </c>
      <c r="B15" s="25" t="s">
        <v>32</v>
      </c>
      <c r="C15" s="26">
        <v>32.1</v>
      </c>
      <c r="D15" s="26">
        <v>30</v>
      </c>
      <c r="E15" s="26">
        <v>964</v>
      </c>
      <c r="F15" s="123"/>
      <c r="G15" s="120"/>
      <c r="H15" s="20"/>
      <c r="I15" s="20"/>
      <c r="J15" s="20"/>
    </row>
    <row r="16" spans="1:10">
      <c r="A16" s="17">
        <v>11</v>
      </c>
      <c r="B16" s="25" t="s">
        <v>102</v>
      </c>
      <c r="C16" s="26">
        <v>31.57</v>
      </c>
      <c r="D16" s="26">
        <v>50</v>
      </c>
      <c r="E16" s="26">
        <v>1580</v>
      </c>
      <c r="F16" s="123"/>
      <c r="G16" s="120"/>
      <c r="H16" s="20"/>
      <c r="I16" s="20"/>
      <c r="J16" s="20"/>
    </row>
    <row r="17" spans="1:10" s="12" customFormat="1" ht="16.5" customHeight="1">
      <c r="A17" s="17">
        <v>12</v>
      </c>
      <c r="B17" s="25" t="s">
        <v>34</v>
      </c>
      <c r="C17" s="26">
        <v>34.36</v>
      </c>
      <c r="D17" s="26">
        <v>28</v>
      </c>
      <c r="E17" s="26">
        <v>863</v>
      </c>
      <c r="F17" s="123"/>
      <c r="G17" s="120"/>
      <c r="H17" s="20"/>
      <c r="I17" s="20"/>
      <c r="J17" s="20"/>
    </row>
    <row r="18" spans="1:10" s="12" customFormat="1" ht="16.5" customHeight="1">
      <c r="A18" s="17">
        <v>13</v>
      </c>
      <c r="B18" s="25" t="s">
        <v>35</v>
      </c>
      <c r="C18" s="26">
        <v>35.65</v>
      </c>
      <c r="D18" s="26">
        <v>26</v>
      </c>
      <c r="E18" s="26">
        <v>928</v>
      </c>
      <c r="F18" s="123"/>
      <c r="G18" s="120"/>
      <c r="H18" s="20"/>
      <c r="I18" s="20"/>
      <c r="J18" s="20"/>
    </row>
    <row r="19" spans="1:10" s="12" customFormat="1" ht="16.5" customHeight="1">
      <c r="A19" s="17">
        <v>14</v>
      </c>
      <c r="B19" s="25" t="s">
        <v>36</v>
      </c>
      <c r="C19" s="26">
        <v>38.24</v>
      </c>
      <c r="D19" s="26">
        <v>25</v>
      </c>
      <c r="E19" s="26">
        <v>957</v>
      </c>
      <c r="F19" s="123"/>
      <c r="G19" s="120"/>
      <c r="H19" s="20"/>
      <c r="I19" s="20"/>
      <c r="J19" s="20"/>
    </row>
    <row r="20" spans="1:10" s="12" customFormat="1" ht="16.5" customHeight="1">
      <c r="A20" s="17">
        <v>15</v>
      </c>
      <c r="B20" s="25" t="s">
        <v>37</v>
      </c>
      <c r="C20" s="26">
        <v>38.520000000000003</v>
      </c>
      <c r="D20" s="26">
        <v>25</v>
      </c>
      <c r="E20" s="26">
        <v>964</v>
      </c>
      <c r="F20" s="123"/>
      <c r="G20" s="120"/>
      <c r="H20" s="20"/>
      <c r="I20" s="20"/>
      <c r="J20" s="20"/>
    </row>
    <row r="21" spans="1:10" s="12" customFormat="1" ht="16.5" customHeight="1">
      <c r="A21" s="17">
        <v>16</v>
      </c>
      <c r="B21" s="25" t="s">
        <v>38</v>
      </c>
      <c r="C21" s="26">
        <v>41.65</v>
      </c>
      <c r="D21" s="26">
        <v>23</v>
      </c>
      <c r="E21" s="26">
        <v>959</v>
      </c>
      <c r="F21" s="123"/>
      <c r="G21" s="120"/>
      <c r="H21" s="20"/>
      <c r="I21" s="20"/>
      <c r="J21" s="20"/>
    </row>
    <row r="22" spans="1:10" s="12" customFormat="1" ht="16.5" customHeight="1">
      <c r="A22" s="17">
        <v>17</v>
      </c>
      <c r="B22" s="25" t="s">
        <v>39</v>
      </c>
      <c r="C22" s="26">
        <v>46.29</v>
      </c>
      <c r="D22" s="26">
        <v>21</v>
      </c>
      <c r="E22" s="26">
        <v>973</v>
      </c>
      <c r="F22" s="123"/>
      <c r="G22" s="120"/>
      <c r="H22" s="20"/>
      <c r="I22" s="20"/>
      <c r="J22" s="20"/>
    </row>
    <row r="23" spans="1:10" s="12" customFormat="1" ht="16.5" customHeight="1">
      <c r="A23" s="17">
        <v>18</v>
      </c>
      <c r="B23" s="25" t="s">
        <v>40</v>
      </c>
      <c r="C23" s="26">
        <v>39.24</v>
      </c>
      <c r="D23" s="26">
        <v>25</v>
      </c>
      <c r="E23" s="26">
        <v>982</v>
      </c>
      <c r="F23" s="123"/>
      <c r="G23" s="120"/>
      <c r="H23" s="20"/>
      <c r="I23" s="20"/>
      <c r="J23" s="20"/>
    </row>
    <row r="24" spans="1:10" s="12" customFormat="1" ht="16.5" customHeight="1">
      <c r="A24" s="17">
        <v>19</v>
      </c>
      <c r="B24" s="25" t="s">
        <v>41</v>
      </c>
      <c r="C24" s="26"/>
      <c r="D24" s="26"/>
      <c r="E24" s="26"/>
      <c r="F24" s="123">
        <v>593</v>
      </c>
      <c r="G24" s="120"/>
      <c r="H24" s="20"/>
      <c r="I24" s="20"/>
      <c r="J24" s="20"/>
    </row>
    <row r="25" spans="1:10" s="12" customFormat="1" ht="16.5" customHeight="1">
      <c r="A25" s="17">
        <v>20</v>
      </c>
      <c r="B25" s="25" t="s">
        <v>42</v>
      </c>
      <c r="C25" s="26">
        <v>43</v>
      </c>
      <c r="D25" s="26">
        <v>11</v>
      </c>
      <c r="E25" s="26">
        <v>474</v>
      </c>
      <c r="F25" s="123"/>
      <c r="G25" s="120"/>
      <c r="H25" s="20"/>
      <c r="I25" s="20"/>
      <c r="J25" s="20"/>
    </row>
    <row r="26" spans="1:10" s="12" customFormat="1" ht="16.5" customHeight="1">
      <c r="A26" s="17">
        <v>21</v>
      </c>
      <c r="B26" s="25" t="s">
        <v>43</v>
      </c>
      <c r="C26" s="26">
        <v>41.04</v>
      </c>
      <c r="D26" s="26">
        <v>24</v>
      </c>
      <c r="E26" s="26">
        <v>986</v>
      </c>
      <c r="F26" s="123"/>
      <c r="G26" s="120"/>
      <c r="H26" s="20"/>
      <c r="I26" s="20"/>
      <c r="J26" s="20"/>
    </row>
    <row r="27" spans="1:10" s="12" customFormat="1" ht="16.5" customHeight="1">
      <c r="A27" s="17">
        <v>22</v>
      </c>
      <c r="B27" s="25" t="s">
        <v>44</v>
      </c>
      <c r="C27" s="26">
        <v>43.86</v>
      </c>
      <c r="D27" s="26">
        <v>22</v>
      </c>
      <c r="E27" s="26">
        <v>965</v>
      </c>
      <c r="F27" s="123"/>
      <c r="G27" s="120"/>
      <c r="H27" s="20"/>
      <c r="I27" s="20"/>
      <c r="J27" s="20"/>
    </row>
    <row r="28" spans="1:10" s="12" customFormat="1" ht="16.5" customHeight="1">
      <c r="A28" s="17">
        <v>23</v>
      </c>
      <c r="B28" s="25" t="s">
        <v>45</v>
      </c>
      <c r="C28" s="26">
        <v>45.76</v>
      </c>
      <c r="D28" s="26">
        <v>21</v>
      </c>
      <c r="E28" s="26">
        <v>962</v>
      </c>
      <c r="F28" s="123"/>
      <c r="G28" s="120"/>
      <c r="H28" s="20"/>
      <c r="I28" s="20"/>
      <c r="J28" s="20"/>
    </row>
    <row r="29" spans="1:10" s="12" customFormat="1" ht="16.5" customHeight="1">
      <c r="A29" s="17">
        <v>24</v>
      </c>
      <c r="B29" s="25" t="s">
        <v>46</v>
      </c>
      <c r="C29" s="26">
        <v>44.95</v>
      </c>
      <c r="D29" s="26">
        <v>22</v>
      </c>
      <c r="E29" s="26">
        <v>990</v>
      </c>
      <c r="F29" s="123"/>
      <c r="G29" s="120"/>
      <c r="H29" s="20"/>
      <c r="I29" s="20"/>
      <c r="J29" s="20"/>
    </row>
    <row r="30" spans="1:10" s="12" customFormat="1" ht="16.5" customHeight="1">
      <c r="A30" s="17">
        <v>25</v>
      </c>
      <c r="B30" s="25" t="s">
        <v>47</v>
      </c>
      <c r="C30" s="26"/>
      <c r="D30" s="26"/>
      <c r="E30" s="26"/>
      <c r="F30" s="123">
        <v>919</v>
      </c>
      <c r="G30" s="120"/>
      <c r="H30" s="20"/>
      <c r="I30" s="20"/>
      <c r="J30" s="20"/>
    </row>
    <row r="31" spans="1:10" s="12" customFormat="1" ht="16.5" customHeight="1">
      <c r="A31" s="17">
        <v>26</v>
      </c>
      <c r="B31" s="25" t="s">
        <v>48</v>
      </c>
      <c r="C31" s="26">
        <v>44.45</v>
      </c>
      <c r="D31" s="26">
        <v>20</v>
      </c>
      <c r="E31" s="26">
        <v>890</v>
      </c>
      <c r="F31" s="123"/>
      <c r="G31" s="120"/>
      <c r="H31" s="20"/>
      <c r="I31" s="20"/>
      <c r="J31" s="20"/>
    </row>
    <row r="32" spans="1:10" s="12" customFormat="1" ht="16.5" customHeight="1">
      <c r="A32" s="17">
        <v>27</v>
      </c>
      <c r="B32" s="25" t="s">
        <v>49</v>
      </c>
      <c r="C32" s="26">
        <v>45.95</v>
      </c>
      <c r="D32" s="26">
        <v>21</v>
      </c>
      <c r="E32" s="26">
        <v>966</v>
      </c>
      <c r="F32" s="123"/>
      <c r="G32" s="120"/>
      <c r="H32" s="20"/>
      <c r="I32" s="20"/>
      <c r="J32" s="20"/>
    </row>
    <row r="33" spans="1:10" s="12" customFormat="1" ht="16.5" customHeight="1">
      <c r="A33" s="17">
        <v>28</v>
      </c>
      <c r="B33" s="25" t="s">
        <v>50</v>
      </c>
      <c r="C33" s="26">
        <v>45.67</v>
      </c>
      <c r="D33" s="26">
        <v>21</v>
      </c>
      <c r="E33" s="26">
        <v>960</v>
      </c>
      <c r="F33" s="123"/>
      <c r="G33" s="120"/>
      <c r="H33" s="20"/>
      <c r="I33" s="20"/>
      <c r="J33" s="20"/>
    </row>
    <row r="34" spans="1:10" s="12" customFormat="1" ht="16.5" customHeight="1">
      <c r="A34" s="17">
        <v>29</v>
      </c>
      <c r="B34" s="25" t="s">
        <v>51</v>
      </c>
      <c r="C34" s="26">
        <v>43.82</v>
      </c>
      <c r="D34" s="26">
        <v>22</v>
      </c>
      <c r="E34" s="26">
        <v>965</v>
      </c>
      <c r="F34" s="123"/>
      <c r="G34" s="120"/>
      <c r="H34" s="20"/>
      <c r="I34" s="20"/>
      <c r="J34" s="20"/>
    </row>
    <row r="35" spans="1:10" s="12" customFormat="1" ht="16.5" customHeight="1">
      <c r="A35" s="17">
        <v>30</v>
      </c>
      <c r="B35" s="25" t="s">
        <v>52</v>
      </c>
      <c r="C35" s="26">
        <v>37.08</v>
      </c>
      <c r="D35" s="26">
        <v>26</v>
      </c>
      <c r="E35" s="26">
        <v>965</v>
      </c>
      <c r="F35" s="123"/>
      <c r="G35" s="120"/>
      <c r="H35" s="20"/>
      <c r="I35" s="20"/>
      <c r="J35" s="20"/>
    </row>
    <row r="36" spans="1:10" s="12" customFormat="1" ht="16.5" customHeight="1">
      <c r="A36" s="17">
        <v>31</v>
      </c>
      <c r="B36" s="25" t="s">
        <v>53</v>
      </c>
      <c r="C36" s="26">
        <v>39.92</v>
      </c>
      <c r="D36" s="26">
        <v>24</v>
      </c>
      <c r="E36" s="26">
        <v>959</v>
      </c>
      <c r="F36" s="123"/>
      <c r="G36" s="120"/>
      <c r="H36" s="20"/>
      <c r="I36" s="20"/>
      <c r="J36" s="20"/>
    </row>
    <row r="37" spans="1:10" s="12" customFormat="1" ht="16.5" customHeight="1">
      <c r="A37" s="17">
        <v>32</v>
      </c>
      <c r="B37" s="25" t="s">
        <v>54</v>
      </c>
      <c r="C37" s="26">
        <v>42.22</v>
      </c>
      <c r="D37" s="26">
        <v>23</v>
      </c>
      <c r="E37" s="26">
        <v>972</v>
      </c>
      <c r="F37" s="123"/>
      <c r="G37" s="120"/>
      <c r="H37" s="20"/>
      <c r="I37" s="20"/>
      <c r="J37" s="20"/>
    </row>
    <row r="38" spans="1:10" s="12" customFormat="1" ht="16.5" customHeight="1">
      <c r="A38" s="17">
        <v>33</v>
      </c>
      <c r="B38" s="25" t="s">
        <v>55</v>
      </c>
      <c r="C38" s="26">
        <v>44.82</v>
      </c>
      <c r="D38" s="26">
        <v>22</v>
      </c>
      <c r="E38" s="26">
        <v>987</v>
      </c>
      <c r="F38" s="123"/>
      <c r="G38" s="120"/>
      <c r="H38" s="20"/>
      <c r="I38" s="20"/>
      <c r="J38" s="20"/>
    </row>
    <row r="39" spans="1:10" s="12" customFormat="1" ht="16.5" customHeight="1">
      <c r="A39" s="17">
        <v>34</v>
      </c>
      <c r="B39" s="25" t="s">
        <v>56</v>
      </c>
      <c r="C39" s="26">
        <v>46.48</v>
      </c>
      <c r="D39" s="26">
        <v>21</v>
      </c>
      <c r="E39" s="26">
        <v>977</v>
      </c>
      <c r="F39" s="123"/>
      <c r="G39" s="120"/>
      <c r="H39" s="20"/>
      <c r="I39" s="20"/>
      <c r="J39" s="20"/>
    </row>
    <row r="40" spans="1:10" s="12" customFormat="1" ht="16.5" customHeight="1">
      <c r="A40" s="17">
        <v>35</v>
      </c>
      <c r="B40" s="25" t="s">
        <v>57</v>
      </c>
      <c r="C40" s="26"/>
      <c r="D40" s="26"/>
      <c r="E40" s="26"/>
      <c r="F40" s="123">
        <v>1088</v>
      </c>
      <c r="G40" s="120"/>
      <c r="H40" s="20"/>
      <c r="I40" s="20"/>
      <c r="J40" s="20"/>
    </row>
    <row r="41" spans="1:10" s="12" customFormat="1" ht="16.5" customHeight="1">
      <c r="A41" s="17">
        <v>36</v>
      </c>
      <c r="B41" s="25" t="s">
        <v>58</v>
      </c>
      <c r="C41" s="26">
        <v>48.25</v>
      </c>
      <c r="D41" s="26">
        <v>20</v>
      </c>
      <c r="E41" s="26">
        <v>966</v>
      </c>
      <c r="F41" s="123"/>
      <c r="G41" s="120"/>
      <c r="H41" s="20"/>
      <c r="I41" s="20"/>
      <c r="J41" s="20"/>
    </row>
    <row r="42" spans="1:10" s="12" customFormat="1" ht="16.5" customHeight="1">
      <c r="A42" s="17">
        <v>37</v>
      </c>
      <c r="B42" s="25" t="s">
        <v>59</v>
      </c>
      <c r="C42" s="26">
        <v>48.6</v>
      </c>
      <c r="D42" s="26">
        <v>20</v>
      </c>
      <c r="E42" s="26">
        <v>973</v>
      </c>
      <c r="F42" s="123"/>
      <c r="G42" s="120"/>
      <c r="H42" s="20"/>
      <c r="I42" s="20"/>
      <c r="J42" s="20"/>
    </row>
    <row r="43" spans="1:10" s="12" customFormat="1" ht="16.5" customHeight="1">
      <c r="A43" s="17">
        <v>38</v>
      </c>
      <c r="B43" s="25" t="s">
        <v>103</v>
      </c>
      <c r="C43" s="26">
        <v>48.75</v>
      </c>
      <c r="D43" s="26">
        <v>-1794</v>
      </c>
      <c r="E43" s="26"/>
      <c r="F43" s="123">
        <v>94370</v>
      </c>
      <c r="G43" s="120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23"/>
      <c r="G44" s="120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23"/>
      <c r="G45" s="120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23"/>
      <c r="G46" s="120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23"/>
      <c r="G47" s="120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23"/>
      <c r="G48" s="120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23"/>
      <c r="G49" s="120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23"/>
      <c r="G50" s="120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23"/>
      <c r="G51" s="120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23"/>
      <c r="G52" s="120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23"/>
      <c r="G53" s="120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23"/>
      <c r="G54" s="120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23"/>
      <c r="G55" s="120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23"/>
      <c r="G56" s="120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23"/>
      <c r="G57" s="120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23"/>
      <c r="G58" s="120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23"/>
      <c r="G59" s="120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23"/>
      <c r="G60" s="120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23"/>
      <c r="G61" s="120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23"/>
      <c r="G62" s="120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23"/>
      <c r="G63" s="120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23"/>
      <c r="G64" s="120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23"/>
      <c r="G65" s="120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23"/>
      <c r="G66" s="120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23"/>
      <c r="G67" s="120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23"/>
      <c r="G68" s="120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23"/>
      <c r="G69" s="120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23"/>
      <c r="G70" s="120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23"/>
      <c r="G71" s="120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23"/>
      <c r="G72" s="120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23"/>
      <c r="G73" s="120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23"/>
      <c r="G74" s="120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23"/>
      <c r="G75" s="120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23"/>
      <c r="G76" s="120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23"/>
      <c r="G77" s="120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23"/>
      <c r="G78" s="120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23"/>
      <c r="G79" s="120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23"/>
      <c r="G80" s="120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23"/>
      <c r="G81" s="120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23"/>
      <c r="G82" s="120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23"/>
      <c r="G83" s="120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23"/>
      <c r="G84" s="120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23"/>
      <c r="G85" s="120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23"/>
      <c r="G86" s="120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23"/>
      <c r="G87" s="120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23"/>
      <c r="G88" s="120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23"/>
      <c r="G89" s="120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23"/>
      <c r="G90" s="120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23"/>
      <c r="G91" s="120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23"/>
      <c r="G92" s="120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23"/>
      <c r="G93" s="120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23"/>
      <c r="G94" s="120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23"/>
      <c r="G95" s="120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23"/>
      <c r="G96" s="120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23"/>
      <c r="G97" s="120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23"/>
      <c r="G98" s="120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23"/>
      <c r="G99" s="120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23"/>
      <c r="G100" s="120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23"/>
      <c r="G101" s="120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23"/>
      <c r="G102" s="120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23"/>
      <c r="G103" s="120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23"/>
      <c r="G104" s="120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23"/>
      <c r="G105" s="120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23"/>
      <c r="G106" s="120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23"/>
      <c r="G107" s="120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23"/>
      <c r="G108" s="120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23"/>
      <c r="G109" s="120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23"/>
      <c r="G110" s="120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23"/>
      <c r="G111" s="120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23"/>
      <c r="G112" s="120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23"/>
      <c r="G113" s="120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23"/>
      <c r="G114" s="120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23"/>
      <c r="G115" s="120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23"/>
      <c r="G116" s="120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23"/>
      <c r="G117" s="120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23"/>
      <c r="G118" s="120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23"/>
      <c r="G119" s="120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23"/>
      <c r="G120" s="120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23"/>
      <c r="G121" s="120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23"/>
      <c r="G122" s="120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23"/>
      <c r="G123" s="120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23"/>
      <c r="G124" s="120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23"/>
      <c r="G125" s="120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23"/>
      <c r="G126" s="120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23"/>
      <c r="G127" s="120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23"/>
      <c r="G128" s="120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23"/>
      <c r="G129" s="120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23"/>
      <c r="G130" s="120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23"/>
      <c r="G131" s="120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23"/>
      <c r="G132" s="120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23"/>
      <c r="G133" s="120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23"/>
      <c r="G134" s="120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23"/>
      <c r="G135" s="120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23"/>
      <c r="G136" s="120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23"/>
      <c r="G137" s="120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23"/>
      <c r="G138" s="120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23"/>
      <c r="G139" s="120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23"/>
      <c r="G140" s="120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23"/>
      <c r="G141" s="120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23"/>
      <c r="G142" s="120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23"/>
      <c r="G143" s="120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23"/>
      <c r="G144" s="120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23"/>
      <c r="G145" s="120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23"/>
      <c r="G146" s="120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23"/>
      <c r="G147" s="120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23"/>
      <c r="G148" s="120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23"/>
      <c r="G149" s="120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23"/>
      <c r="G150" s="120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23"/>
      <c r="G151" s="120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23"/>
      <c r="G152" s="120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23"/>
      <c r="G153" s="120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23"/>
      <c r="G154" s="120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23"/>
      <c r="G155" s="120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23"/>
      <c r="G156" s="120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23"/>
      <c r="G157" s="120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23"/>
      <c r="G158" s="120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23"/>
      <c r="G159" s="120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23"/>
      <c r="G160" s="120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23"/>
      <c r="G161" s="120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23"/>
      <c r="G162" s="120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23"/>
      <c r="G163" s="120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23"/>
      <c r="G164" s="120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23"/>
      <c r="G165" s="120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23"/>
      <c r="G166" s="120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23"/>
      <c r="G167" s="120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23"/>
      <c r="G168" s="120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23"/>
      <c r="G169" s="120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23"/>
      <c r="G170" s="120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23"/>
      <c r="G171" s="120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23"/>
      <c r="G172" s="120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23"/>
      <c r="G173" s="120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23"/>
      <c r="G174" s="120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23"/>
      <c r="G175" s="120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23"/>
      <c r="G176" s="120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23"/>
      <c r="G177" s="120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23"/>
      <c r="G178" s="120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23"/>
      <c r="G179" s="120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23"/>
      <c r="G180" s="120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23"/>
      <c r="G181" s="120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23"/>
      <c r="G182" s="120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23"/>
      <c r="G183" s="120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23"/>
      <c r="G184" s="120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23"/>
      <c r="G185" s="120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23"/>
      <c r="G186" s="120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23"/>
      <c r="G187" s="120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23"/>
      <c r="G188" s="120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23"/>
      <c r="G189" s="120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23"/>
      <c r="G190" s="120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23"/>
      <c r="G191" s="120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23"/>
      <c r="G192" s="120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23"/>
      <c r="G193" s="120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23"/>
      <c r="G194" s="120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23"/>
      <c r="G195" s="120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23"/>
      <c r="G196" s="120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23"/>
      <c r="G197" s="120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23"/>
      <c r="G198" s="120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23"/>
      <c r="G199" s="120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23"/>
      <c r="G200" s="120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23"/>
      <c r="G201" s="120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23"/>
      <c r="G202" s="120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23"/>
      <c r="G203" s="120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23"/>
      <c r="G204" s="120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23"/>
      <c r="G205" s="120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23"/>
      <c r="G206" s="120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23"/>
      <c r="G207" s="120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23"/>
      <c r="G208" s="120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23"/>
      <c r="G209" s="120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23"/>
      <c r="G210" s="120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23"/>
      <c r="G211" s="120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23"/>
      <c r="G212" s="120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23"/>
      <c r="G213" s="120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23"/>
      <c r="G214" s="120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23"/>
      <c r="G215" s="120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23"/>
      <c r="G216" s="120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23"/>
      <c r="G217" s="120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23"/>
      <c r="G218" s="120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23"/>
      <c r="G219" s="120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23"/>
      <c r="G220" s="120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23"/>
      <c r="G221" s="120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23"/>
      <c r="G222" s="120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23"/>
      <c r="G223" s="120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23"/>
      <c r="G224" s="120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23"/>
      <c r="G225" s="120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23"/>
      <c r="G226" s="120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23"/>
      <c r="G227" s="120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23"/>
      <c r="G228" s="120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23"/>
      <c r="G229" s="120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23"/>
      <c r="G230" s="120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23"/>
      <c r="G231" s="120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23"/>
      <c r="G232" s="120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23"/>
      <c r="G233" s="120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23"/>
      <c r="G234" s="120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23"/>
      <c r="G235" s="120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23"/>
      <c r="G236" s="120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23"/>
      <c r="G237" s="120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23"/>
      <c r="G238" s="120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23"/>
      <c r="G239" s="120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23"/>
      <c r="G240" s="120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23"/>
      <c r="G241" s="120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23"/>
      <c r="G242" s="120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23"/>
      <c r="G243" s="120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23"/>
      <c r="G244" s="120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23"/>
      <c r="G245" s="120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23"/>
      <c r="G246" s="120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23"/>
      <c r="G247" s="120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23"/>
      <c r="G248" s="120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23"/>
      <c r="G249" s="120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23"/>
      <c r="G250" s="120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23"/>
      <c r="G251" s="120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23"/>
      <c r="G252" s="120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23"/>
      <c r="G253" s="120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23"/>
      <c r="G254" s="120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23"/>
      <c r="G255" s="120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23"/>
      <c r="G256" s="120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23"/>
      <c r="G257" s="120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23"/>
      <c r="G258" s="120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23"/>
      <c r="G259" s="120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23"/>
      <c r="G260" s="120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23"/>
      <c r="G261" s="120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23"/>
      <c r="G262" s="120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23"/>
      <c r="G263" s="120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23"/>
      <c r="G264" s="120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23"/>
      <c r="G265" s="120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23"/>
      <c r="G266" s="120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23"/>
      <c r="G267" s="120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23"/>
      <c r="G268" s="120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23"/>
      <c r="G269" s="120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23"/>
      <c r="G270" s="120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23"/>
      <c r="G271" s="120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23"/>
      <c r="G272" s="120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23"/>
      <c r="G273" s="120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23"/>
      <c r="G274" s="120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23"/>
      <c r="G275" s="120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23"/>
      <c r="G276" s="120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23"/>
      <c r="G277" s="120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23"/>
      <c r="G278" s="120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23"/>
      <c r="G279" s="120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23"/>
      <c r="G280" s="120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23"/>
      <c r="G281" s="120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23"/>
      <c r="G282" s="120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23"/>
      <c r="G283" s="120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23"/>
      <c r="G284" s="120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23"/>
      <c r="G285" s="120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23"/>
      <c r="G286" s="120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23"/>
      <c r="G287" s="120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23"/>
      <c r="G288" s="120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23"/>
      <c r="G289" s="120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23"/>
      <c r="G290" s="120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23"/>
      <c r="G291" s="120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23"/>
      <c r="G292" s="120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23"/>
      <c r="G293" s="120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23"/>
      <c r="G294" s="120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23"/>
      <c r="G295" s="120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23"/>
      <c r="G296" s="120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23"/>
      <c r="G297" s="120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23"/>
      <c r="G298" s="120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23"/>
      <c r="G299" s="120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23"/>
      <c r="G300" s="120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23"/>
      <c r="G301" s="120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23"/>
      <c r="G302" s="120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23"/>
      <c r="G303" s="120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23"/>
      <c r="G304" s="120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23"/>
      <c r="G305" s="120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23"/>
      <c r="G306" s="120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23"/>
      <c r="G307" s="120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23"/>
      <c r="G308" s="120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23"/>
      <c r="G309" s="120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23"/>
      <c r="G310" s="120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23"/>
      <c r="G311" s="120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23"/>
      <c r="G312" s="120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23"/>
      <c r="G313" s="120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23"/>
      <c r="G314" s="120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23"/>
      <c r="G315" s="120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23"/>
      <c r="G316" s="120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23"/>
      <c r="G317" s="120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23"/>
      <c r="G318" s="120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23"/>
      <c r="G319" s="120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23"/>
      <c r="G320" s="120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23"/>
      <c r="G321" s="120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23"/>
      <c r="G322" s="120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23"/>
      <c r="G323" s="120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23"/>
      <c r="G324" s="120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23"/>
      <c r="G325" s="120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23"/>
      <c r="G326" s="120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23"/>
      <c r="G327" s="120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23"/>
      <c r="G328" s="120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23"/>
      <c r="G329" s="120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23"/>
      <c r="G330" s="120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23"/>
      <c r="G331" s="120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23"/>
      <c r="G332" s="120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23"/>
      <c r="G333" s="120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23"/>
      <c r="G334" s="120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23"/>
      <c r="G335" s="120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23"/>
      <c r="G336" s="120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23"/>
      <c r="G337" s="120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23"/>
      <c r="G338" s="120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23"/>
      <c r="G339" s="120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23"/>
      <c r="G340" s="120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23"/>
      <c r="G341" s="120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23"/>
      <c r="G342" s="120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23"/>
      <c r="G343" s="120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23"/>
      <c r="G344" s="120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23"/>
      <c r="G345" s="120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23"/>
      <c r="G346" s="120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23"/>
      <c r="G347" s="120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23"/>
      <c r="G348" s="120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23"/>
      <c r="G349" s="120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23"/>
      <c r="G350" s="120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23"/>
      <c r="G351" s="120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23"/>
      <c r="G352" s="120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23"/>
      <c r="G353" s="120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23"/>
      <c r="G354" s="120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23"/>
      <c r="G355" s="120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23"/>
      <c r="G356" s="120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23"/>
      <c r="G357" s="120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23"/>
      <c r="G358" s="120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23"/>
      <c r="G359" s="120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23"/>
      <c r="G360" s="120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23"/>
      <c r="G361" s="120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23"/>
      <c r="G362" s="120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23"/>
      <c r="G363" s="120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23"/>
      <c r="G364" s="120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23"/>
      <c r="G365" s="120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23"/>
      <c r="G366" s="120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23"/>
      <c r="G367" s="120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23"/>
      <c r="G368" s="120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23"/>
      <c r="G369" s="120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23"/>
      <c r="G370" s="120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23"/>
      <c r="G371" s="120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23"/>
      <c r="G372" s="120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23"/>
      <c r="G373" s="120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23"/>
      <c r="G374" s="120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23"/>
      <c r="G375" s="120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23"/>
      <c r="G376" s="120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23"/>
      <c r="G377" s="120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23"/>
      <c r="G378" s="120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23"/>
      <c r="G379" s="120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23"/>
      <c r="G380" s="120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23"/>
      <c r="G381" s="120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23"/>
      <c r="G382" s="120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23"/>
      <c r="G383" s="120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23"/>
      <c r="G384" s="120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23"/>
      <c r="G385" s="120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23"/>
      <c r="G386" s="120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23"/>
      <c r="G387" s="120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23"/>
      <c r="G388" s="120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23"/>
      <c r="G389" s="120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23"/>
      <c r="G390" s="120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23"/>
      <c r="G391" s="120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23"/>
      <c r="G392" s="120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23"/>
      <c r="G393" s="120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23"/>
      <c r="G394" s="120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23"/>
      <c r="G395" s="120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23"/>
      <c r="G396" s="120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23"/>
      <c r="G397" s="120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23"/>
      <c r="G398" s="120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23"/>
      <c r="G399" s="120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23"/>
      <c r="G400" s="120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23"/>
      <c r="G401" s="120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23"/>
      <c r="G402" s="120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23"/>
      <c r="G403" s="120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23"/>
      <c r="G404" s="120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23"/>
      <c r="G405" s="120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23"/>
      <c r="G406" s="120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23"/>
      <c r="G407" s="120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23"/>
      <c r="G408" s="120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23"/>
      <c r="G409" s="120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23"/>
      <c r="G410" s="120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23"/>
      <c r="G411" s="120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23"/>
      <c r="G412" s="120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23"/>
      <c r="G413" s="120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23"/>
      <c r="G414" s="120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23"/>
      <c r="G415" s="120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23"/>
      <c r="G416" s="120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23"/>
      <c r="G417" s="120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23"/>
      <c r="G418" s="120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23"/>
      <c r="G419" s="120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23"/>
      <c r="G420" s="120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23"/>
      <c r="G421" s="120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23"/>
      <c r="G422" s="120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23"/>
      <c r="G423" s="120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23"/>
      <c r="G424" s="120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23"/>
      <c r="G425" s="120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23"/>
      <c r="G426" s="120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23"/>
      <c r="G427" s="120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23"/>
      <c r="G428" s="120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23"/>
      <c r="G429" s="120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23"/>
      <c r="G430" s="120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23"/>
      <c r="G431" s="120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23"/>
      <c r="G432" s="120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23"/>
      <c r="G433" s="120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23"/>
      <c r="G434" s="120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23"/>
      <c r="G435" s="120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23"/>
      <c r="G436" s="120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23"/>
      <c r="G437" s="120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23"/>
      <c r="G438" s="120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23"/>
      <c r="G439" s="120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23"/>
      <c r="G440" s="120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23"/>
      <c r="G441" s="120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23"/>
      <c r="G442" s="120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23"/>
      <c r="G443" s="120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23"/>
      <c r="G444" s="120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23"/>
      <c r="G445" s="120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23"/>
      <c r="G446" s="120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23"/>
      <c r="G447" s="120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23"/>
      <c r="G448" s="120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23"/>
      <c r="G449" s="120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23"/>
      <c r="G450" s="120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23"/>
      <c r="G451" s="120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23"/>
      <c r="G452" s="120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23"/>
      <c r="G453" s="120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23"/>
      <c r="G454" s="120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23"/>
      <c r="G455" s="120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23"/>
      <c r="G456" s="120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23"/>
      <c r="G457" s="120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23"/>
      <c r="G458" s="120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23"/>
      <c r="G459" s="120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23"/>
      <c r="G460" s="120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23"/>
      <c r="G461" s="120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23"/>
      <c r="G462" s="120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23"/>
      <c r="G463" s="120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23"/>
      <c r="G464" s="120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23"/>
      <c r="G465" s="120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23"/>
      <c r="G466" s="120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23"/>
      <c r="G467" s="120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23"/>
      <c r="G468" s="120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23"/>
      <c r="G469" s="120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23"/>
      <c r="G470" s="120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23"/>
      <c r="G471" s="120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23"/>
      <c r="G472" s="120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23"/>
      <c r="G473" s="120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23"/>
      <c r="G474" s="120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23"/>
      <c r="G475" s="120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23"/>
      <c r="G476" s="120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23"/>
      <c r="G477" s="120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23"/>
      <c r="G478" s="120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23"/>
      <c r="G479" s="120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23"/>
      <c r="G480" s="120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23"/>
      <c r="G481" s="120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23"/>
      <c r="G482" s="120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23"/>
      <c r="G483" s="120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23"/>
      <c r="G484" s="120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23"/>
      <c r="G485" s="120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23"/>
      <c r="G486" s="120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23"/>
      <c r="G487" s="120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23"/>
      <c r="G488" s="120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23"/>
      <c r="G489" s="120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23"/>
      <c r="G490" s="120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23"/>
      <c r="G491" s="120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23"/>
      <c r="G492" s="120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23"/>
      <c r="G493" s="120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23"/>
      <c r="G494" s="120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23"/>
      <c r="G495" s="120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23"/>
      <c r="G496" s="120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23"/>
      <c r="G497" s="120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23"/>
      <c r="G498" s="120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23"/>
      <c r="G499" s="120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23"/>
      <c r="G500" s="120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23"/>
      <c r="G501" s="120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23"/>
      <c r="G502" s="120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23"/>
      <c r="G503" s="120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23"/>
      <c r="G504" s="120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23"/>
      <c r="G505" s="120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384:G384"/>
    <mergeCell ref="F213:G21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194:G194"/>
    <mergeCell ref="F50:G50"/>
    <mergeCell ref="F15:G15"/>
    <mergeCell ref="F80:G80"/>
    <mergeCell ref="F79:G79"/>
    <mergeCell ref="F321:G321"/>
    <mergeCell ref="F315:G315"/>
    <mergeCell ref="F144:G144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8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33" t="s">
        <v>7</v>
      </c>
      <c r="D1" s="134"/>
      <c r="E1" s="134"/>
      <c r="F1" s="138" t="s">
        <v>104</v>
      </c>
      <c r="G1" s="120"/>
      <c r="H1" s="136" t="s">
        <v>78</v>
      </c>
      <c r="I1" s="119"/>
      <c r="J1" s="120"/>
    </row>
    <row r="2" spans="1:10" ht="21.75" customHeight="1">
      <c r="A2" s="4" t="s">
        <v>9</v>
      </c>
      <c r="B2" s="4" t="s">
        <v>10</v>
      </c>
      <c r="C2" s="4" t="s">
        <v>11</v>
      </c>
      <c r="D2" s="4" t="s">
        <v>12</v>
      </c>
      <c r="E2" s="4" t="s">
        <v>3</v>
      </c>
      <c r="F2" s="4" t="s">
        <v>13</v>
      </c>
      <c r="G2" s="4" t="s">
        <v>5</v>
      </c>
      <c r="H2" s="27" t="s">
        <v>11</v>
      </c>
      <c r="I2" s="27" t="s">
        <v>79</v>
      </c>
      <c r="J2" s="27" t="s">
        <v>3</v>
      </c>
    </row>
    <row r="3" spans="1:10" ht="18.75" customHeight="1">
      <c r="A3" s="125" t="e">
        <f>(E3-F3)/D3</f>
        <v>#DIV/0!</v>
      </c>
      <c r="B3" s="128" t="e">
        <f>E3/D3</f>
        <v>#DIV/0!</v>
      </c>
      <c r="C3" s="141">
        <f>H3*I3</f>
        <v>2339.2663000000002</v>
      </c>
      <c r="D3" s="135">
        <f>SUM(D7:D505)</f>
        <v>0</v>
      </c>
      <c r="E3" s="137">
        <f>SUM(E7:E505)</f>
        <v>1008</v>
      </c>
      <c r="F3" s="137">
        <f>SUM(F6:G505)</f>
        <v>1451</v>
      </c>
      <c r="G3" s="7">
        <f>G4/E3</f>
        <v>0.43948412698412698</v>
      </c>
      <c r="H3" s="130" t="s">
        <v>105</v>
      </c>
      <c r="I3" s="132">
        <f>投資!G2</f>
        <v>31.535</v>
      </c>
      <c r="J3" s="131">
        <f>SUM(J7:J505)</f>
        <v>-41.149999999999864</v>
      </c>
    </row>
    <row r="4" spans="1:10" ht="18.75" customHeight="1">
      <c r="A4" s="122"/>
      <c r="B4" s="122"/>
      <c r="C4" s="142"/>
      <c r="D4" s="122"/>
      <c r="E4" s="122"/>
      <c r="F4" s="122"/>
      <c r="G4" s="32">
        <f>D3*C3-E3+F3</f>
        <v>443</v>
      </c>
      <c r="H4" s="127"/>
      <c r="I4" s="127"/>
      <c r="J4" s="127"/>
    </row>
    <row r="5" spans="1:10">
      <c r="A5" s="16" t="s">
        <v>15</v>
      </c>
      <c r="B5" s="24" t="s">
        <v>16</v>
      </c>
      <c r="C5" s="16" t="s">
        <v>17</v>
      </c>
      <c r="D5" s="16" t="s">
        <v>18</v>
      </c>
      <c r="E5" s="16" t="s">
        <v>19</v>
      </c>
      <c r="F5" s="139" t="s">
        <v>20</v>
      </c>
      <c r="G5" s="120"/>
      <c r="H5" s="126" t="s">
        <v>17</v>
      </c>
      <c r="I5" s="126" t="s">
        <v>81</v>
      </c>
      <c r="J5" s="126" t="s">
        <v>82</v>
      </c>
    </row>
    <row r="6" spans="1:10">
      <c r="A6" s="17">
        <v>1</v>
      </c>
      <c r="B6" s="124" t="s">
        <v>21</v>
      </c>
      <c r="C6" s="119"/>
      <c r="D6" s="119"/>
      <c r="E6" s="120"/>
      <c r="F6" s="129"/>
      <c r="G6" s="120"/>
      <c r="H6" s="127"/>
      <c r="I6" s="127"/>
      <c r="J6" s="127"/>
    </row>
    <row r="7" spans="1:10">
      <c r="A7" s="17">
        <v>2</v>
      </c>
      <c r="B7" s="25" t="s">
        <v>22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23"/>
      <c r="G7" s="120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106</v>
      </c>
      <c r="C8" s="36">
        <f t="shared" si="0"/>
        <v>0</v>
      </c>
      <c r="D8" s="26"/>
      <c r="E8" s="26"/>
      <c r="F8" s="123">
        <v>2</v>
      </c>
      <c r="G8" s="120"/>
      <c r="H8" s="20"/>
      <c r="I8" s="20"/>
      <c r="J8" s="20"/>
    </row>
    <row r="9" spans="1:10">
      <c r="A9" s="17">
        <v>4</v>
      </c>
      <c r="B9" s="25" t="s">
        <v>83</v>
      </c>
      <c r="C9" s="36">
        <f t="shared" si="0"/>
        <v>2267.0656499999996</v>
      </c>
      <c r="D9" s="26">
        <v>0.441048</v>
      </c>
      <c r="E9" s="26">
        <v>1000</v>
      </c>
      <c r="F9" s="123"/>
      <c r="G9" s="120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107</v>
      </c>
      <c r="C10" s="36">
        <f t="shared" si="0"/>
        <v>2269.7217000000001</v>
      </c>
      <c r="D10" s="26">
        <v>0.44062099999999998</v>
      </c>
      <c r="E10" s="18">
        <v>1000</v>
      </c>
      <c r="F10" s="123"/>
      <c r="G10" s="120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107</v>
      </c>
      <c r="C11" s="36">
        <f t="shared" si="0"/>
        <v>2269.7217000000001</v>
      </c>
      <c r="D11" s="26">
        <v>4.4057849999999998</v>
      </c>
      <c r="E11" s="26">
        <v>10001</v>
      </c>
      <c r="F11" s="123"/>
      <c r="G11" s="120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69</v>
      </c>
      <c r="C12" s="36">
        <f t="shared" si="0"/>
        <v>0</v>
      </c>
      <c r="D12" s="26"/>
      <c r="E12" s="26"/>
      <c r="F12" s="123">
        <v>4</v>
      </c>
      <c r="G12" s="120"/>
      <c r="H12" s="20"/>
      <c r="I12" s="20"/>
      <c r="J12" s="20"/>
    </row>
    <row r="13" spans="1:10">
      <c r="A13" s="17">
        <v>8</v>
      </c>
      <c r="B13" s="25" t="s">
        <v>27</v>
      </c>
      <c r="C13" s="36">
        <f t="shared" si="0"/>
        <v>2213.8420000000001</v>
      </c>
      <c r="D13" s="26">
        <v>0.451706</v>
      </c>
      <c r="E13" s="26">
        <v>1000</v>
      </c>
      <c r="F13" s="123"/>
      <c r="G13" s="120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108</v>
      </c>
      <c r="C14" s="36">
        <f t="shared" si="0"/>
        <v>0</v>
      </c>
      <c r="D14" s="26"/>
      <c r="E14" s="26"/>
      <c r="F14" s="123">
        <v>25</v>
      </c>
      <c r="G14" s="120"/>
      <c r="H14" s="20"/>
      <c r="I14" s="20"/>
      <c r="J14" s="20"/>
    </row>
    <row r="15" spans="1:10">
      <c r="A15" s="17">
        <v>10</v>
      </c>
      <c r="B15" s="25" t="s">
        <v>29</v>
      </c>
      <c r="C15" s="36">
        <f t="shared" si="0"/>
        <v>2241.6852500000005</v>
      </c>
      <c r="D15" s="26">
        <v>0.44608700000000001</v>
      </c>
      <c r="E15" s="26">
        <v>1000</v>
      </c>
      <c r="F15" s="123"/>
      <c r="G15" s="120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109</v>
      </c>
      <c r="C16" s="36">
        <f t="shared" si="0"/>
        <v>0</v>
      </c>
      <c r="D16" s="26"/>
      <c r="E16" s="26"/>
      <c r="F16" s="123">
        <v>28</v>
      </c>
      <c r="G16" s="120"/>
      <c r="H16" s="20"/>
      <c r="I16" s="20"/>
      <c r="J16" s="20"/>
    </row>
    <row r="17" spans="1:10" s="12" customFormat="1" ht="16.5" customHeight="1">
      <c r="A17" s="17">
        <v>12</v>
      </c>
      <c r="B17" s="25" t="s">
        <v>30</v>
      </c>
      <c r="C17" s="36">
        <f t="shared" si="0"/>
        <v>2276.4768000000004</v>
      </c>
      <c r="D17" s="26">
        <v>0.439224</v>
      </c>
      <c r="E17" s="26">
        <v>1000</v>
      </c>
      <c r="F17" s="123"/>
      <c r="G17" s="120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31</v>
      </c>
      <c r="C18" s="36">
        <f t="shared" si="0"/>
        <v>0</v>
      </c>
      <c r="D18" s="26"/>
      <c r="E18" s="26"/>
      <c r="F18" s="123">
        <v>29</v>
      </c>
      <c r="G18" s="120"/>
      <c r="H18" s="20"/>
      <c r="I18" s="20"/>
      <c r="J18" s="20"/>
    </row>
    <row r="19" spans="1:10" s="12" customFormat="1" ht="16.5" customHeight="1">
      <c r="A19" s="17">
        <v>14</v>
      </c>
      <c r="B19" s="25" t="s">
        <v>110</v>
      </c>
      <c r="C19" s="36">
        <f t="shared" si="0"/>
        <v>0</v>
      </c>
      <c r="D19" s="26"/>
      <c r="E19" s="26"/>
      <c r="F19" s="123">
        <v>32</v>
      </c>
      <c r="G19" s="120"/>
      <c r="H19" s="20"/>
      <c r="I19" s="20"/>
      <c r="J19" s="20"/>
    </row>
    <row r="20" spans="1:10" s="12" customFormat="1" ht="16.5" customHeight="1">
      <c r="A20" s="17">
        <v>15</v>
      </c>
      <c r="B20" s="25" t="s">
        <v>32</v>
      </c>
      <c r="C20" s="36">
        <f t="shared" si="0"/>
        <v>2260.7888600000001</v>
      </c>
      <c r="D20" s="26">
        <v>0.44240200000000002</v>
      </c>
      <c r="E20" s="26">
        <v>1003</v>
      </c>
      <c r="F20" s="123"/>
      <c r="G20" s="120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87</v>
      </c>
      <c r="C21" s="36">
        <f t="shared" si="0"/>
        <v>2278.8200700000002</v>
      </c>
      <c r="D21" s="26">
        <v>0.43885299999999999</v>
      </c>
      <c r="E21" s="26">
        <v>1000</v>
      </c>
      <c r="F21" s="123"/>
      <c r="G21" s="120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111</v>
      </c>
      <c r="C22" s="36">
        <f t="shared" si="0"/>
        <v>0</v>
      </c>
      <c r="D22" s="26"/>
      <c r="E22" s="26"/>
      <c r="F22" s="123">
        <v>35</v>
      </c>
      <c r="G22" s="120"/>
      <c r="H22" s="20"/>
      <c r="I22" s="20"/>
      <c r="J22" s="20"/>
    </row>
    <row r="23" spans="1:10" s="12" customFormat="1" ht="16.5" customHeight="1">
      <c r="A23" s="17">
        <v>18</v>
      </c>
      <c r="B23" s="25" t="s">
        <v>35</v>
      </c>
      <c r="C23" s="36">
        <f t="shared" si="0"/>
        <v>2299.4396800000004</v>
      </c>
      <c r="D23" s="26">
        <v>0.43486599999999997</v>
      </c>
      <c r="E23" s="26">
        <v>1000</v>
      </c>
      <c r="F23" s="123"/>
      <c r="G23" s="120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112</v>
      </c>
      <c r="C24" s="36">
        <f t="shared" si="0"/>
        <v>0</v>
      </c>
      <c r="D24" s="26"/>
      <c r="E24" s="26"/>
      <c r="F24" s="123">
        <v>35</v>
      </c>
      <c r="G24" s="120"/>
      <c r="H24" s="20"/>
      <c r="I24" s="20"/>
      <c r="J24" s="20"/>
    </row>
    <row r="25" spans="1:10" s="12" customFormat="1" ht="16.5" customHeight="1">
      <c r="A25" s="17">
        <v>20</v>
      </c>
      <c r="B25" s="25" t="s">
        <v>36</v>
      </c>
      <c r="C25" s="36">
        <f t="shared" si="0"/>
        <v>2302.6546200000003</v>
      </c>
      <c r="D25" s="26">
        <v>0.43423600000000001</v>
      </c>
      <c r="E25" s="26">
        <v>1000</v>
      </c>
      <c r="F25" s="123"/>
      <c r="G25" s="120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113</v>
      </c>
      <c r="C26" s="36">
        <f t="shared" si="0"/>
        <v>0</v>
      </c>
      <c r="D26" s="26"/>
      <c r="E26" s="26"/>
      <c r="F26" s="123">
        <v>41</v>
      </c>
      <c r="G26" s="120"/>
      <c r="H26" s="20"/>
      <c r="I26" s="20"/>
      <c r="J26" s="20"/>
    </row>
    <row r="27" spans="1:10" s="12" customFormat="1" ht="16.5" customHeight="1">
      <c r="A27" s="17">
        <v>22</v>
      </c>
      <c r="B27" s="25" t="s">
        <v>37</v>
      </c>
      <c r="C27" s="36">
        <f t="shared" si="0"/>
        <v>2312.5746000000004</v>
      </c>
      <c r="D27" s="26">
        <v>0.43249399999999999</v>
      </c>
      <c r="E27" s="26">
        <v>1000</v>
      </c>
      <c r="F27" s="123"/>
      <c r="G27" s="120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114</v>
      </c>
      <c r="C28" s="36">
        <f t="shared" si="0"/>
        <v>0</v>
      </c>
      <c r="D28" s="26"/>
      <c r="E28" s="26"/>
      <c r="F28" s="123">
        <v>43</v>
      </c>
      <c r="G28" s="120"/>
      <c r="H28" s="20"/>
      <c r="I28" s="20"/>
      <c r="J28" s="20"/>
    </row>
    <row r="29" spans="1:10" s="12" customFormat="1" ht="16.5" customHeight="1">
      <c r="A29" s="17">
        <v>24</v>
      </c>
      <c r="B29" s="25" t="s">
        <v>38</v>
      </c>
      <c r="C29" s="36">
        <f t="shared" si="0"/>
        <v>2337.4376999999995</v>
      </c>
      <c r="D29" s="26">
        <v>0.42777999999999999</v>
      </c>
      <c r="E29" s="26">
        <v>1000</v>
      </c>
      <c r="F29" s="123"/>
      <c r="G29" s="120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115</v>
      </c>
      <c r="C30" s="36">
        <f t="shared" si="0"/>
        <v>0</v>
      </c>
      <c r="D30" s="26"/>
      <c r="E30" s="26"/>
      <c r="F30" s="123">
        <v>46</v>
      </c>
      <c r="G30" s="120"/>
      <c r="H30" s="20"/>
      <c r="I30" s="20"/>
      <c r="J30" s="20"/>
    </row>
    <row r="31" spans="1:10" s="12" customFormat="1" ht="16.5" customHeight="1">
      <c r="A31" s="17">
        <v>26</v>
      </c>
      <c r="B31" s="12" t="s">
        <v>39</v>
      </c>
      <c r="C31" s="36">
        <f t="shared" si="0"/>
        <v>2350.1413500000003</v>
      </c>
      <c r="D31" s="26">
        <v>0.42548999999999998</v>
      </c>
      <c r="E31" s="26">
        <v>1000</v>
      </c>
      <c r="F31" s="123"/>
      <c r="G31" s="120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116</v>
      </c>
      <c r="C32" s="36">
        <f t="shared" si="0"/>
        <v>0</v>
      </c>
      <c r="D32" s="26"/>
      <c r="E32" s="26"/>
      <c r="F32" s="123">
        <v>48</v>
      </c>
      <c r="G32" s="120"/>
      <c r="H32" s="20"/>
      <c r="I32" s="20"/>
      <c r="J32" s="20"/>
    </row>
    <row r="33" spans="1:10" s="12" customFormat="1" ht="16.5" customHeight="1">
      <c r="A33" s="17">
        <v>28</v>
      </c>
      <c r="B33" s="25" t="s">
        <v>40</v>
      </c>
      <c r="C33" s="36">
        <f t="shared" si="0"/>
        <v>2434.6574999999998</v>
      </c>
      <c r="D33" s="26">
        <v>0.41077999999999998</v>
      </c>
      <c r="E33" s="26">
        <v>1000</v>
      </c>
      <c r="F33" s="123"/>
      <c r="G33" s="120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117</v>
      </c>
      <c r="C34" s="36">
        <f t="shared" si="0"/>
        <v>0</v>
      </c>
      <c r="D34" s="26"/>
      <c r="E34" s="26"/>
      <c r="F34" s="123">
        <v>51</v>
      </c>
      <c r="G34" s="120"/>
      <c r="H34" s="20"/>
      <c r="I34" s="20"/>
      <c r="J34" s="20"/>
    </row>
    <row r="35" spans="1:10" s="12" customFormat="1" ht="16.5" customHeight="1">
      <c r="A35" s="17">
        <v>30</v>
      </c>
      <c r="B35" s="25" t="s">
        <v>43</v>
      </c>
      <c r="C35" s="36">
        <f t="shared" si="0"/>
        <v>2403.2045299999995</v>
      </c>
      <c r="D35" s="26">
        <v>0.41619</v>
      </c>
      <c r="E35" s="26">
        <v>1000</v>
      </c>
      <c r="F35" s="123"/>
      <c r="G35" s="120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118</v>
      </c>
      <c r="C36" s="36">
        <f t="shared" si="0"/>
        <v>0</v>
      </c>
      <c r="D36" s="26"/>
      <c r="E36" s="26"/>
      <c r="F36" s="123">
        <v>53</v>
      </c>
      <c r="G36" s="120"/>
      <c r="H36" s="20"/>
      <c r="I36" s="20"/>
      <c r="J36" s="20"/>
    </row>
    <row r="37" spans="1:10" s="12" customFormat="1" ht="16.5" customHeight="1">
      <c r="A37" s="17">
        <v>32</v>
      </c>
      <c r="B37" s="25" t="s">
        <v>44</v>
      </c>
      <c r="C37" s="36">
        <f t="shared" si="0"/>
        <v>2382.7372800000003</v>
      </c>
      <c r="D37" s="26">
        <v>0.41965999999999998</v>
      </c>
      <c r="E37" s="26">
        <v>1000</v>
      </c>
      <c r="F37" s="123"/>
      <c r="G37" s="120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119</v>
      </c>
      <c r="C38" s="36">
        <f t="shared" si="0"/>
        <v>0</v>
      </c>
      <c r="D38" s="26"/>
      <c r="E38" s="26"/>
      <c r="F38" s="123">
        <v>54</v>
      </c>
      <c r="G38" s="120"/>
      <c r="H38" s="20"/>
      <c r="I38" s="20"/>
      <c r="J38" s="20"/>
    </row>
    <row r="39" spans="1:10" s="12" customFormat="1" ht="16.5" customHeight="1">
      <c r="A39" s="17">
        <v>34</v>
      </c>
      <c r="B39" s="25" t="s">
        <v>45</v>
      </c>
      <c r="C39" s="36">
        <f t="shared" si="0"/>
        <v>2326.1079</v>
      </c>
      <c r="D39" s="26">
        <v>0.42987999999999998</v>
      </c>
      <c r="E39" s="26">
        <v>1000</v>
      </c>
      <c r="F39" s="123"/>
      <c r="G39" s="120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120</v>
      </c>
      <c r="C40" s="36">
        <f t="shared" si="0"/>
        <v>0</v>
      </c>
      <c r="D40" s="26"/>
      <c r="E40" s="26"/>
      <c r="F40" s="123">
        <v>58</v>
      </c>
      <c r="G40" s="120"/>
      <c r="H40" s="20"/>
      <c r="I40" s="20"/>
      <c r="J40" s="20"/>
    </row>
    <row r="41" spans="1:10" s="12" customFormat="1" ht="16.5" customHeight="1">
      <c r="A41" s="17">
        <v>36</v>
      </c>
      <c r="B41" s="25" t="s">
        <v>46</v>
      </c>
      <c r="C41" s="36">
        <f t="shared" si="0"/>
        <v>2393.8364999999999</v>
      </c>
      <c r="D41" s="26">
        <v>0.41778999999999999</v>
      </c>
      <c r="E41" s="26">
        <v>1000</v>
      </c>
      <c r="F41" s="123"/>
      <c r="G41" s="120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121</v>
      </c>
      <c r="C42" s="36">
        <f t="shared" si="0"/>
        <v>0</v>
      </c>
      <c r="D42" s="26"/>
      <c r="E42" s="26"/>
      <c r="F42" s="123">
        <v>60</v>
      </c>
      <c r="G42" s="120"/>
      <c r="H42" s="20"/>
      <c r="I42" s="20"/>
      <c r="J42" s="20"/>
    </row>
    <row r="43" spans="1:10" s="12" customFormat="1" ht="16.5" customHeight="1">
      <c r="A43" s="17">
        <v>38</v>
      </c>
      <c r="B43" s="25" t="s">
        <v>122</v>
      </c>
      <c r="C43" s="36">
        <f t="shared" si="0"/>
        <v>0</v>
      </c>
      <c r="D43" s="26"/>
      <c r="E43" s="26"/>
      <c r="F43" s="123">
        <v>65</v>
      </c>
      <c r="G43" s="120"/>
      <c r="H43" s="20"/>
      <c r="I43" s="20"/>
      <c r="J43" s="20"/>
    </row>
    <row r="44" spans="1:10" s="12" customFormat="1" ht="16.5" customHeight="1">
      <c r="A44" s="17">
        <v>39</v>
      </c>
      <c r="B44" s="25" t="s">
        <v>49</v>
      </c>
      <c r="C44" s="36">
        <f t="shared" si="0"/>
        <v>2367.1871999999998</v>
      </c>
      <c r="D44" s="26">
        <v>0.42244999999999999</v>
      </c>
      <c r="E44" s="26">
        <v>1000</v>
      </c>
      <c r="F44" s="123"/>
      <c r="G44" s="120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50</v>
      </c>
      <c r="C45" s="36">
        <f t="shared" si="0"/>
        <v>2387.1901499999999</v>
      </c>
      <c r="D45" s="26">
        <v>0.41891</v>
      </c>
      <c r="E45" s="26">
        <v>1000</v>
      </c>
      <c r="F45" s="123"/>
      <c r="G45" s="120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123</v>
      </c>
      <c r="C46" s="36">
        <f t="shared" si="0"/>
        <v>0</v>
      </c>
      <c r="D46" s="26"/>
      <c r="E46" s="26"/>
      <c r="F46" s="123">
        <v>68</v>
      </c>
      <c r="G46" s="120"/>
      <c r="H46" s="20"/>
      <c r="I46" s="20"/>
      <c r="J46" s="20"/>
    </row>
    <row r="47" spans="1:10" s="12" customFormat="1" ht="16.5" customHeight="1">
      <c r="A47" s="17">
        <v>42</v>
      </c>
      <c r="B47" s="25" t="s">
        <v>51</v>
      </c>
      <c r="C47" s="36">
        <f t="shared" si="0"/>
        <v>2406.5254399999999</v>
      </c>
      <c r="D47" s="26">
        <v>0.41561999999999999</v>
      </c>
      <c r="E47" s="26">
        <v>1000</v>
      </c>
      <c r="F47" s="123"/>
      <c r="G47" s="120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124</v>
      </c>
      <c r="C48" s="36">
        <f t="shared" si="0"/>
        <v>0</v>
      </c>
      <c r="D48" s="26"/>
      <c r="E48" s="26"/>
      <c r="F48" s="123">
        <v>66</v>
      </c>
      <c r="G48" s="120"/>
      <c r="H48" s="20"/>
      <c r="I48" s="20"/>
      <c r="J48" s="20"/>
    </row>
    <row r="49" spans="1:10" s="12" customFormat="1" ht="16.5" customHeight="1">
      <c r="A49" s="17">
        <v>44</v>
      </c>
      <c r="B49" s="25" t="s">
        <v>52</v>
      </c>
      <c r="C49" s="36">
        <f t="shared" si="0"/>
        <v>2442.0841500000001</v>
      </c>
      <c r="D49" s="26">
        <v>0.40956999999999999</v>
      </c>
      <c r="E49" s="26">
        <v>1000</v>
      </c>
      <c r="F49" s="123"/>
      <c r="G49" s="120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125</v>
      </c>
      <c r="C50" s="36">
        <f t="shared" si="0"/>
        <v>0</v>
      </c>
      <c r="D50" s="26"/>
      <c r="E50" s="26"/>
      <c r="F50" s="123">
        <v>246</v>
      </c>
      <c r="G50" s="120"/>
      <c r="H50" s="20"/>
      <c r="I50" s="20"/>
      <c r="J50" s="20"/>
    </row>
    <row r="51" spans="1:10" s="12" customFormat="1" ht="16.5" customHeight="1">
      <c r="A51" s="17">
        <v>46</v>
      </c>
      <c r="B51" s="25" t="s">
        <v>53</v>
      </c>
      <c r="C51" s="36">
        <f t="shared" si="0"/>
        <v>2195.3027999999999</v>
      </c>
      <c r="D51" s="26">
        <v>0.45549000000000001</v>
      </c>
      <c r="E51" s="26">
        <v>1000</v>
      </c>
      <c r="F51" s="123"/>
      <c r="G51" s="120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126</v>
      </c>
      <c r="C52" s="36">
        <f t="shared" si="0"/>
        <v>0</v>
      </c>
      <c r="D52" s="26"/>
      <c r="E52" s="26"/>
      <c r="F52" s="123">
        <v>69</v>
      </c>
      <c r="G52" s="120"/>
      <c r="H52" s="20"/>
      <c r="I52" s="20"/>
      <c r="J52" s="20"/>
    </row>
    <row r="53" spans="1:10" s="12" customFormat="1" ht="16.5" customHeight="1">
      <c r="A53" s="17">
        <v>48</v>
      </c>
      <c r="B53" s="25" t="s">
        <v>54</v>
      </c>
      <c r="C53" s="36">
        <f t="shared" si="0"/>
        <v>2167.5957600000002</v>
      </c>
      <c r="D53" s="26">
        <v>0.46128999999999998</v>
      </c>
      <c r="E53" s="26">
        <v>1000</v>
      </c>
      <c r="F53" s="123"/>
      <c r="G53" s="120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127</v>
      </c>
      <c r="C54" s="36">
        <f t="shared" si="0"/>
        <v>0</v>
      </c>
      <c r="D54" s="26"/>
      <c r="E54" s="26"/>
      <c r="F54" s="123">
        <v>72</v>
      </c>
      <c r="G54" s="120"/>
      <c r="H54" s="20"/>
      <c r="I54" s="20"/>
      <c r="J54" s="20"/>
    </row>
    <row r="55" spans="1:10" s="12" customFormat="1" ht="16.5" customHeight="1">
      <c r="A55" s="17">
        <v>50</v>
      </c>
      <c r="B55" s="25" t="s">
        <v>128</v>
      </c>
      <c r="C55" s="36">
        <f t="shared" si="0"/>
        <v>0</v>
      </c>
      <c r="D55" s="26"/>
      <c r="E55" s="26"/>
      <c r="F55" s="123">
        <v>71</v>
      </c>
      <c r="G55" s="120"/>
      <c r="H55" s="20"/>
      <c r="I55" s="20"/>
      <c r="J55" s="20"/>
    </row>
    <row r="56" spans="1:10" s="12" customFormat="1" ht="16.5" customHeight="1">
      <c r="A56" s="17">
        <v>51</v>
      </c>
      <c r="B56" s="25" t="s">
        <v>57</v>
      </c>
      <c r="C56" s="36">
        <f t="shared" si="0"/>
        <v>0</v>
      </c>
      <c r="D56" s="26"/>
      <c r="E56" s="26"/>
      <c r="F56" s="123">
        <v>74</v>
      </c>
      <c r="G56" s="120"/>
      <c r="H56" s="20"/>
      <c r="I56" s="20"/>
      <c r="J56" s="20"/>
    </row>
    <row r="57" spans="1:10" s="12" customFormat="1" ht="16.5" customHeight="1">
      <c r="A57" s="17">
        <v>52</v>
      </c>
      <c r="B57" s="25" t="s">
        <v>93</v>
      </c>
      <c r="C57" s="36">
        <f t="shared" si="0"/>
        <v>0</v>
      </c>
      <c r="D57" s="26"/>
      <c r="E57" s="26"/>
      <c r="F57" s="123">
        <v>76</v>
      </c>
      <c r="G57" s="120"/>
      <c r="H57" s="20"/>
      <c r="I57" s="20"/>
      <c r="J57" s="20"/>
    </row>
    <row r="58" spans="1:10" s="12" customFormat="1" ht="16.5" customHeight="1">
      <c r="A58" s="17">
        <v>53</v>
      </c>
      <c r="B58" s="25" t="s">
        <v>94</v>
      </c>
      <c r="C58" s="36">
        <f t="shared" si="0"/>
        <v>2239.0533999999998</v>
      </c>
      <c r="D58" s="26">
        <v>-14.781594999999999</v>
      </c>
      <c r="E58" s="26">
        <v>-32996</v>
      </c>
      <c r="F58" s="123"/>
      <c r="G58" s="120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23"/>
      <c r="G59" s="120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23"/>
      <c r="G60" s="120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23"/>
      <c r="G61" s="120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23"/>
      <c r="G62" s="120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23"/>
      <c r="G63" s="120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23"/>
      <c r="G64" s="120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23"/>
      <c r="G65" s="120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23"/>
      <c r="G66" s="120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23"/>
      <c r="G67" s="120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23"/>
      <c r="G68" s="120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23"/>
      <c r="G69" s="120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23"/>
      <c r="G70" s="120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23"/>
      <c r="G71" s="120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23"/>
      <c r="G72" s="120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23"/>
      <c r="G73" s="120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23"/>
      <c r="G74" s="120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23"/>
      <c r="G75" s="120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23"/>
      <c r="G76" s="120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23"/>
      <c r="G77" s="120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23"/>
      <c r="G78" s="120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23"/>
      <c r="G79" s="120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23"/>
      <c r="G80" s="120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23"/>
      <c r="G81" s="120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23"/>
      <c r="G82" s="120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23"/>
      <c r="G83" s="120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23"/>
      <c r="G84" s="120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23"/>
      <c r="G85" s="120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23"/>
      <c r="G86" s="120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23"/>
      <c r="G87" s="120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23"/>
      <c r="G88" s="120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23"/>
      <c r="G89" s="120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23"/>
      <c r="G90" s="120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23"/>
      <c r="G91" s="120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23"/>
      <c r="G92" s="120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23"/>
      <c r="G93" s="120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23"/>
      <c r="G94" s="120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23"/>
      <c r="G95" s="120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23"/>
      <c r="G96" s="120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23"/>
      <c r="G97" s="120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23"/>
      <c r="G98" s="120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23"/>
      <c r="G99" s="120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23"/>
      <c r="G100" s="120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23"/>
      <c r="G101" s="120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23"/>
      <c r="G102" s="120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23"/>
      <c r="G103" s="120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23"/>
      <c r="G104" s="120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23"/>
      <c r="G105" s="120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23"/>
      <c r="G106" s="120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23"/>
      <c r="G107" s="120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23"/>
      <c r="G108" s="120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23"/>
      <c r="G109" s="120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23"/>
      <c r="G110" s="120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23"/>
      <c r="G111" s="120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23"/>
      <c r="G112" s="120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23"/>
      <c r="G113" s="120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23"/>
      <c r="G114" s="120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23"/>
      <c r="G115" s="120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23"/>
      <c r="G116" s="120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23"/>
      <c r="G117" s="120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23"/>
      <c r="G118" s="120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23"/>
      <c r="G119" s="120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23"/>
      <c r="G120" s="120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23"/>
      <c r="G121" s="120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23"/>
      <c r="G122" s="120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23"/>
      <c r="G123" s="120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23"/>
      <c r="G124" s="120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23"/>
      <c r="G125" s="120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23"/>
      <c r="G126" s="120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23"/>
      <c r="G127" s="120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23"/>
      <c r="G128" s="120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23"/>
      <c r="G129" s="120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23"/>
      <c r="G130" s="120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23"/>
      <c r="G131" s="120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23"/>
      <c r="G132" s="120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23"/>
      <c r="G133" s="120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23"/>
      <c r="G134" s="120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23"/>
      <c r="G135" s="120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23"/>
      <c r="G136" s="120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23"/>
      <c r="G137" s="120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23"/>
      <c r="G138" s="120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23"/>
      <c r="G139" s="120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23"/>
      <c r="G140" s="120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23"/>
      <c r="G141" s="120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23"/>
      <c r="G142" s="120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23"/>
      <c r="G143" s="120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23"/>
      <c r="G144" s="120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23"/>
      <c r="G145" s="120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23"/>
      <c r="G146" s="120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23"/>
      <c r="G147" s="120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23"/>
      <c r="G148" s="120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23"/>
      <c r="G149" s="120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23"/>
      <c r="G150" s="120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23"/>
      <c r="G151" s="120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23"/>
      <c r="G152" s="120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23"/>
      <c r="G153" s="120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23"/>
      <c r="G154" s="120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23"/>
      <c r="G155" s="120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23"/>
      <c r="G156" s="120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23"/>
      <c r="G157" s="120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23"/>
      <c r="G158" s="120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23"/>
      <c r="G159" s="120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23"/>
      <c r="G160" s="120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23"/>
      <c r="G161" s="120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23"/>
      <c r="G162" s="120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23"/>
      <c r="G163" s="120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23"/>
      <c r="G164" s="120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23"/>
      <c r="G165" s="120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23"/>
      <c r="G166" s="120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23"/>
      <c r="G167" s="120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23"/>
      <c r="G168" s="120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23"/>
      <c r="G169" s="120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23"/>
      <c r="G170" s="120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23"/>
      <c r="G171" s="120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23"/>
      <c r="G172" s="120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23"/>
      <c r="G173" s="120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23"/>
      <c r="G174" s="120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23"/>
      <c r="G175" s="120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23"/>
      <c r="G176" s="120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23"/>
      <c r="G177" s="120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23"/>
      <c r="G178" s="120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23"/>
      <c r="G179" s="120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23"/>
      <c r="G180" s="120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23"/>
      <c r="G181" s="120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23"/>
      <c r="G182" s="120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23"/>
      <c r="G183" s="120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23"/>
      <c r="G184" s="120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23"/>
      <c r="G185" s="120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23"/>
      <c r="G186" s="120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23"/>
      <c r="G187" s="120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23"/>
      <c r="G188" s="120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23"/>
      <c r="G189" s="120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23"/>
      <c r="G190" s="120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23"/>
      <c r="G191" s="120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23"/>
      <c r="G192" s="120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23"/>
      <c r="G193" s="120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23"/>
      <c r="G194" s="120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23"/>
      <c r="G195" s="120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23"/>
      <c r="G196" s="120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23"/>
      <c r="G197" s="120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23"/>
      <c r="G198" s="120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23"/>
      <c r="G199" s="120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23"/>
      <c r="G200" s="120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23"/>
      <c r="G201" s="120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23"/>
      <c r="G202" s="120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23"/>
      <c r="G203" s="120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23"/>
      <c r="G204" s="120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23"/>
      <c r="G205" s="120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23"/>
      <c r="G206" s="120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23"/>
      <c r="G207" s="120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23"/>
      <c r="G208" s="120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23"/>
      <c r="G209" s="120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23"/>
      <c r="G210" s="120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23"/>
      <c r="G211" s="120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23"/>
      <c r="G212" s="120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23"/>
      <c r="G213" s="120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23"/>
      <c r="G214" s="120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23"/>
      <c r="G215" s="120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23"/>
      <c r="G216" s="120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23"/>
      <c r="G217" s="120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23"/>
      <c r="G218" s="120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23"/>
      <c r="G219" s="120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23"/>
      <c r="G220" s="120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23"/>
      <c r="G221" s="120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23"/>
      <c r="G222" s="120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23"/>
      <c r="G223" s="120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23"/>
      <c r="G224" s="120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23"/>
      <c r="G225" s="120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23"/>
      <c r="G226" s="120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23"/>
      <c r="G227" s="120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23"/>
      <c r="G228" s="120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23"/>
      <c r="G229" s="120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23"/>
      <c r="G230" s="120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23"/>
      <c r="G231" s="120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23"/>
      <c r="G232" s="120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23"/>
      <c r="G233" s="120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23"/>
      <c r="G234" s="120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23"/>
      <c r="G235" s="120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23"/>
      <c r="G236" s="120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23"/>
      <c r="G237" s="120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23"/>
      <c r="G238" s="120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23"/>
      <c r="G239" s="120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23"/>
      <c r="G240" s="120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23"/>
      <c r="G241" s="120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23"/>
      <c r="G242" s="120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23"/>
      <c r="G243" s="120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23"/>
      <c r="G244" s="120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23"/>
      <c r="G245" s="120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23"/>
      <c r="G246" s="120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23"/>
      <c r="G247" s="120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23"/>
      <c r="G248" s="120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23"/>
      <c r="G249" s="120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23"/>
      <c r="G250" s="120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23"/>
      <c r="G251" s="120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23"/>
      <c r="G252" s="120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23"/>
      <c r="G253" s="120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23"/>
      <c r="G254" s="120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23"/>
      <c r="G255" s="120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23"/>
      <c r="G256" s="120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23"/>
      <c r="G257" s="120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23"/>
      <c r="G258" s="120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23"/>
      <c r="G259" s="120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23"/>
      <c r="G260" s="120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23"/>
      <c r="G261" s="120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23"/>
      <c r="G262" s="120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23"/>
      <c r="G263" s="120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23"/>
      <c r="G264" s="120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23"/>
      <c r="G265" s="120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23"/>
      <c r="G266" s="120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23"/>
      <c r="G267" s="120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23"/>
      <c r="G268" s="120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23"/>
      <c r="G269" s="120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23"/>
      <c r="G270" s="120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23"/>
      <c r="G271" s="120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23"/>
      <c r="G272" s="120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23"/>
      <c r="G273" s="120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23"/>
      <c r="G274" s="120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23"/>
      <c r="G275" s="120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23"/>
      <c r="G276" s="120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23"/>
      <c r="G277" s="120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23"/>
      <c r="G278" s="120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23"/>
      <c r="G279" s="120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23"/>
      <c r="G280" s="120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23"/>
      <c r="G281" s="120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23"/>
      <c r="G282" s="120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23"/>
      <c r="G283" s="120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23"/>
      <c r="G284" s="120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23"/>
      <c r="G285" s="120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23"/>
      <c r="G286" s="120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23"/>
      <c r="G287" s="120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23"/>
      <c r="G288" s="120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23"/>
      <c r="G289" s="120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23"/>
      <c r="G290" s="120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23"/>
      <c r="G291" s="120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23"/>
      <c r="G292" s="120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23"/>
      <c r="G293" s="120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23"/>
      <c r="G294" s="120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23"/>
      <c r="G295" s="120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23"/>
      <c r="G296" s="120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23"/>
      <c r="G297" s="120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23"/>
      <c r="G298" s="120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23"/>
      <c r="G299" s="120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23"/>
      <c r="G300" s="120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23"/>
      <c r="G301" s="120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23"/>
      <c r="G302" s="120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23"/>
      <c r="G303" s="120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23"/>
      <c r="G304" s="120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23"/>
      <c r="G305" s="120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23"/>
      <c r="G306" s="120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23"/>
      <c r="G307" s="120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23"/>
      <c r="G308" s="120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23"/>
      <c r="G309" s="120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23"/>
      <c r="G310" s="120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23"/>
      <c r="G311" s="120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23"/>
      <c r="G312" s="120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23"/>
      <c r="G313" s="120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23"/>
      <c r="G314" s="120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23"/>
      <c r="G315" s="120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23"/>
      <c r="G316" s="120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23"/>
      <c r="G317" s="120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23"/>
      <c r="G318" s="120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23"/>
      <c r="G319" s="120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23"/>
      <c r="G320" s="120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23"/>
      <c r="G321" s="120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23"/>
      <c r="G322" s="120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23"/>
      <c r="G323" s="120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23"/>
      <c r="G324" s="120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23"/>
      <c r="G325" s="120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23"/>
      <c r="G326" s="120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23"/>
      <c r="G327" s="120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23"/>
      <c r="G328" s="120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23"/>
      <c r="G329" s="120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23"/>
      <c r="G330" s="120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23"/>
      <c r="G331" s="120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23"/>
      <c r="G332" s="120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23"/>
      <c r="G333" s="120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23"/>
      <c r="G334" s="120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23"/>
      <c r="G335" s="120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23"/>
      <c r="G336" s="120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23"/>
      <c r="G337" s="120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23"/>
      <c r="G338" s="120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23"/>
      <c r="G339" s="120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23"/>
      <c r="G340" s="120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23"/>
      <c r="G341" s="120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23"/>
      <c r="G342" s="120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23"/>
      <c r="G343" s="120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23"/>
      <c r="G344" s="120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23"/>
      <c r="G345" s="120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23"/>
      <c r="G346" s="120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23"/>
      <c r="G347" s="120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23"/>
      <c r="G348" s="120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23"/>
      <c r="G349" s="120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23"/>
      <c r="G350" s="120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23"/>
      <c r="G351" s="120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23"/>
      <c r="G352" s="120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23"/>
      <c r="G353" s="120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23"/>
      <c r="G354" s="120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23"/>
      <c r="G355" s="120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23"/>
      <c r="G356" s="120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23"/>
      <c r="G357" s="120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23"/>
      <c r="G358" s="120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23"/>
      <c r="G359" s="120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23"/>
      <c r="G360" s="120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23"/>
      <c r="G361" s="120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23"/>
      <c r="G362" s="120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23"/>
      <c r="G363" s="120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23"/>
      <c r="G364" s="120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23"/>
      <c r="G365" s="120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23"/>
      <c r="G366" s="120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23"/>
      <c r="G367" s="120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23"/>
      <c r="G368" s="120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23"/>
      <c r="G369" s="120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23"/>
      <c r="G370" s="120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23"/>
      <c r="G371" s="120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23"/>
      <c r="G372" s="120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23"/>
      <c r="G373" s="120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23"/>
      <c r="G374" s="120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23"/>
      <c r="G375" s="120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23"/>
      <c r="G376" s="120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23"/>
      <c r="G377" s="120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23"/>
      <c r="G378" s="120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23"/>
      <c r="G379" s="120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23"/>
      <c r="G380" s="120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23"/>
      <c r="G381" s="120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23"/>
      <c r="G382" s="120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23"/>
      <c r="G383" s="120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23"/>
      <c r="G384" s="120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23"/>
      <c r="G385" s="120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23"/>
      <c r="G386" s="120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23"/>
      <c r="G387" s="120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23"/>
      <c r="G388" s="120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23"/>
      <c r="G389" s="120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23"/>
      <c r="G390" s="120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23"/>
      <c r="G391" s="120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23"/>
      <c r="G392" s="120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23"/>
      <c r="G393" s="120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23"/>
      <c r="G394" s="120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23"/>
      <c r="G395" s="120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23"/>
      <c r="G396" s="120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23"/>
      <c r="G397" s="120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23"/>
      <c r="G398" s="120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23"/>
      <c r="G399" s="120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23"/>
      <c r="G400" s="120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23"/>
      <c r="G401" s="120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23"/>
      <c r="G402" s="120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23"/>
      <c r="G403" s="120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23"/>
      <c r="G404" s="120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23"/>
      <c r="G405" s="120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23"/>
      <c r="G406" s="120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23"/>
      <c r="G407" s="120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23"/>
      <c r="G408" s="120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23"/>
      <c r="G409" s="120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23"/>
      <c r="G410" s="120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23"/>
      <c r="G411" s="120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23"/>
      <c r="G412" s="120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23"/>
      <c r="G413" s="120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23"/>
      <c r="G414" s="120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23"/>
      <c r="G415" s="120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23"/>
      <c r="G416" s="120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23"/>
      <c r="G417" s="120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23"/>
      <c r="G418" s="120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23"/>
      <c r="G419" s="120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23"/>
      <c r="G420" s="120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23"/>
      <c r="G421" s="120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23"/>
      <c r="G422" s="120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23"/>
      <c r="G423" s="120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23"/>
      <c r="G424" s="120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23"/>
      <c r="G425" s="120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23"/>
      <c r="G426" s="120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23"/>
      <c r="G427" s="120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23"/>
      <c r="G428" s="120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23"/>
      <c r="G429" s="120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23"/>
      <c r="G430" s="120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23"/>
      <c r="G431" s="120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23"/>
      <c r="G432" s="120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23"/>
      <c r="G433" s="120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23"/>
      <c r="G434" s="120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23"/>
      <c r="G435" s="120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23"/>
      <c r="G436" s="120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23"/>
      <c r="G437" s="120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23"/>
      <c r="G438" s="120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23"/>
      <c r="G439" s="120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23"/>
      <c r="G440" s="120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23"/>
      <c r="G441" s="120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23"/>
      <c r="G442" s="120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23"/>
      <c r="G443" s="120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23"/>
      <c r="G444" s="120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23"/>
      <c r="G445" s="120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23"/>
      <c r="G446" s="120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23"/>
      <c r="G447" s="120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23"/>
      <c r="G448" s="120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23"/>
      <c r="G449" s="120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23"/>
      <c r="G450" s="120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23"/>
      <c r="G451" s="120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23"/>
      <c r="G452" s="120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23"/>
      <c r="G453" s="120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23"/>
      <c r="G454" s="120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23"/>
      <c r="G455" s="120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23"/>
      <c r="G456" s="120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23"/>
      <c r="G457" s="120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23"/>
      <c r="G458" s="120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23"/>
      <c r="G459" s="120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23"/>
      <c r="G460" s="120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23"/>
      <c r="G461" s="120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23"/>
      <c r="G462" s="120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23"/>
      <c r="G463" s="120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23"/>
      <c r="G464" s="120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23"/>
      <c r="G465" s="120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23"/>
      <c r="G466" s="120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23"/>
      <c r="G467" s="120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23"/>
      <c r="G468" s="120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23"/>
      <c r="G469" s="120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23"/>
      <c r="G470" s="120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23"/>
      <c r="G471" s="120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23"/>
      <c r="G472" s="120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23"/>
      <c r="G473" s="120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23"/>
      <c r="G474" s="120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23"/>
      <c r="G475" s="120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23"/>
      <c r="G476" s="120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23"/>
      <c r="G477" s="120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23"/>
      <c r="G478" s="120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23"/>
      <c r="G479" s="120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23"/>
      <c r="G480" s="120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23"/>
      <c r="G481" s="120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23"/>
      <c r="G482" s="120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23"/>
      <c r="G483" s="120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23"/>
      <c r="G484" s="120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23"/>
      <c r="G485" s="120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23"/>
      <c r="G486" s="120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23"/>
      <c r="G487" s="120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23"/>
      <c r="G488" s="120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23"/>
      <c r="G489" s="120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23"/>
      <c r="G490" s="120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23"/>
      <c r="G491" s="120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23"/>
      <c r="G492" s="120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23"/>
      <c r="G493" s="120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23"/>
      <c r="G494" s="120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23"/>
      <c r="G495" s="120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23"/>
      <c r="G496" s="120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23"/>
      <c r="G497" s="120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23"/>
      <c r="G498" s="120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23"/>
      <c r="G499" s="120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23"/>
      <c r="G500" s="120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23"/>
      <c r="G501" s="120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23"/>
      <c r="G502" s="120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23"/>
      <c r="G503" s="120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23"/>
      <c r="G504" s="120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23"/>
      <c r="G505" s="120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F483:G483"/>
    <mergeCell ref="F312:G312"/>
    <mergeCell ref="F412:G412"/>
    <mergeCell ref="F86:G86"/>
    <mergeCell ref="F142:G142"/>
    <mergeCell ref="F213:G213"/>
    <mergeCell ref="F384:G384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194:G194"/>
    <mergeCell ref="F50:G50"/>
    <mergeCell ref="F15:G15"/>
    <mergeCell ref="F80:G80"/>
    <mergeCell ref="F79:G79"/>
    <mergeCell ref="F321:G321"/>
    <mergeCell ref="F144:G144"/>
    <mergeCell ref="F315:G315"/>
    <mergeCell ref="F215:G215"/>
    <mergeCell ref="F81:G81"/>
    <mergeCell ref="F210:G210"/>
    <mergeCell ref="F226:G226"/>
    <mergeCell ref="F241:G241"/>
    <mergeCell ref="F284:G284"/>
    <mergeCell ref="F331:G331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428:G428"/>
    <mergeCell ref="F415:G415"/>
    <mergeCell ref="F378:G378"/>
    <mergeCell ref="F449:G449"/>
    <mergeCell ref="F386:G386"/>
    <mergeCell ref="F373:G373"/>
    <mergeCell ref="F381:G381"/>
    <mergeCell ref="F437:G437"/>
    <mergeCell ref="F393:G393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80:G480"/>
    <mergeCell ref="F157:G157"/>
  </mergeCells>
  <phoneticPr fontId="8" type="noConversion"/>
  <conditionalFormatting sqref="G3:G4">
    <cfRule type="cellIs" dxfId="3" priority="2" operator="lessThan">
      <formula>0</formula>
    </cfRule>
    <cfRule type="cellIs" dxfId="2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2026-02-01T19:05:57Z</dcterms:modified>
  <dc:language>en-US</dc:language>
</cp:coreProperties>
</file>