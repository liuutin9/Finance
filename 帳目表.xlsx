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4A7241A5-E14A-456D-89EB-5B51268F46C9}" xr6:coauthVersionLast="47" xr6:coauthVersionMax="47" xr10:uidLastSave="{00000000-0000-0000-0000-000000000000}"/>
  <bookViews>
    <workbookView xWindow="-110" yWindow="-110" windowWidth="19420" windowHeight="11500" tabRatio="679" activeTab="4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F53" i="5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G4" i="7" s="1"/>
  <c r="G3" i="7" s="1"/>
  <c r="F3" i="7"/>
  <c r="E3" i="7"/>
  <c r="B3" i="7" s="1"/>
  <c r="D3" i="7"/>
  <c r="F3" i="6"/>
  <c r="E3" i="6"/>
  <c r="D3" i="6"/>
  <c r="A3" i="6" s="1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F3" i="4"/>
  <c r="E3" i="4"/>
  <c r="D3" i="4"/>
  <c r="K3" i="1" s="1"/>
  <c r="B3" i="4"/>
  <c r="A3" i="4"/>
  <c r="F3" i="3"/>
  <c r="E3" i="3"/>
  <c r="A3" i="3" s="1"/>
  <c r="D3" i="3"/>
  <c r="K2" i="1" s="1"/>
  <c r="K10" i="1" s="1"/>
  <c r="B3" i="3"/>
  <c r="C12" i="1"/>
  <c r="G10" i="1"/>
  <c r="C10" i="1"/>
  <c r="S7" i="1"/>
  <c r="S6" i="1"/>
  <c r="S5" i="1"/>
  <c r="S4" i="1"/>
  <c r="S3" i="1"/>
  <c r="S2" i="1"/>
  <c r="S10" i="1" s="1"/>
  <c r="B17" i="2" s="1"/>
  <c r="C18" i="2" s="1"/>
  <c r="C17" i="2" s="1"/>
  <c r="O2" i="1"/>
  <c r="O10" i="1" s="1"/>
  <c r="B10" i="2" s="1"/>
  <c r="G4" i="5" l="1"/>
  <c r="G3" i="5" s="1"/>
  <c r="B3" i="5"/>
  <c r="A3" i="5"/>
  <c r="A12" i="1"/>
  <c r="A16" i="1" s="1"/>
  <c r="B3" i="2"/>
  <c r="C16" i="1"/>
  <c r="B3" i="6"/>
  <c r="G4" i="6"/>
  <c r="G3" i="6" s="1"/>
  <c r="A10" i="2"/>
  <c r="C11" i="2" s="1"/>
  <c r="C10" i="2" s="1"/>
  <c r="G4" i="4"/>
  <c r="G3" i="4" s="1"/>
  <c r="A3" i="7"/>
  <c r="A3" i="2"/>
  <c r="G4" i="3"/>
  <c r="G3" i="3" s="1"/>
  <c r="E10" i="2" l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<sst xmlns="http://schemas.openxmlformats.org/spreadsheetml/2006/main" count="377" uniqueCount="159">
  <si>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</si>
  <si>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</si>
  <si>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</si>
  <si>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</si>
  <si>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</si>
  <si>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</si>
  <si>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</si>
  <si>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</si>
  <si>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</si>
  <si>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</si>
  <si>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</si>
  <si>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</si>
  <si>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</si>
  <si>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</si>
  <si>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</si>
  <si>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</si>
  <si>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</si>
  <si>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</si>
  <si>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</si>
  <si>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</si>
  <si>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</si>
  <si>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</si>
  <si>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</si>
  <si>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</si>
  <si>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</si>
  <si>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</si>
  <si>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</si>
  <si>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</si>
  <si>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</si>
  <si>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</si>
  <si>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</si>
  <si>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</si>
  <si>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</si>
  <si>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</si>
  <si>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</si>
  <si>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</si>
  <si>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</si>
  <si>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</si>
  <si>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</si>
  <si>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</si>
  <si>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</si>
  <si>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</si>
  <si>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</si>
  <si>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</si>
  <si>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</si>
  <si>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</si>
  <si>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</si>
  <si>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</si>
  <si>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</si>
  <si>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</si>
  <si>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</si>
  <si>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</si>
  <si>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</si>
  <si>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</si>
  <si>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</si>
  <si>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</si>
  <si>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</si>
  <si>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</si>
  <si>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</si>
  <si>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</si>
  <si>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</si>
  <si>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</si>
  <si>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</si>
  <si>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</si>
  <si>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</si>
  <si>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</si>
  <si>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</si>
  <si>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</si>
  <si>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</si>
  <si>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</si>
  <si>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</si>
  <si>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</si>
  <si>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</si>
  <si>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</si>
  <si>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</si>
  <si>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</si>
  <si>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</si>
  <si>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</si>
  <si>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</si>
  <si>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</si>
  <si>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</si>
  <si>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</si>
  <si>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</si>
  <si>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</si>
  <si>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</si>
  <si>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</si>
  <si>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</si>
  <si>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</si>
  <si>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</si>
  <si>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</si>
  <si>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</si>
  <si>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</si>
  <si>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</si>
  <si>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</si>
  <si>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</si>
  <si>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</si>
  <si>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</si>
  <si>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</si>
  <si>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</si>
  <si>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</si>
  <si>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</si>
  <si>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</si>
  <si>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</si>
  <si>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</si>
  <si>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</si>
  <si>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</si>
  <si>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</si>
  <si>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</si>
  <si>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</si>
  <si>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</si>
  <si>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</si>
  <si>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</si>
  <si>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</si>
  <si>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</si>
  <si>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</si>
  <si>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</si>
  <si>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</si>
  <si>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</si>
  <si>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</si>
  <si>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</si>
  <si>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</si>
  <si>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</si>
  <si>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</si>
  <si>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</si>
  <si>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</si>
  <si>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</si>
  <si>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</si>
  <si>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</si>
  <si>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</si>
  <si>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</si>
  <si>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</si>
  <si>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</si>
  <si>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</si>
  <si>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</si>
  <si>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</si>
  <si>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</si>
  <si>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</si>
  <si>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</si>
  <si>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</si>
  <si>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</si>
  <si>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</si>
  <si>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</si>
  <si>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</si>
  <si>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</si>
  <si>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</si>
  <si>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</si>
  <si>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</si>
  <si>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</si>
  <si>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</si>
  <si>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</si>
  <si>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</si>
  <si>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</si>
  <si>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</si>
  <si>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</si>
  <si>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</si>
  <si>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</si>
  <si>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</si>
  <si>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</si>
  <si>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2026.03.27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</si>
</sst>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F6D-49DC-8F75-873933EBE5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F6D-49DC-8F75-873933EBE5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F6D-49DC-8F75-873933EBE5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F6D-49DC-8F75-873933EBE5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F6D-49DC-8F75-873933EBE5B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517305</c:v>
                </c:pt>
                <c:pt idx="1">
                  <c:v>20006.78125</c:v>
                </c:pt>
                <c:pt idx="2">
                  <c:v>295989.01104999997</c:v>
                </c:pt>
                <c:pt idx="3">
                  <c:v>215222.88147108004</c:v>
                </c:pt>
                <c:pt idx="4">
                  <c:v>236864.09212500002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F6D-49DC-8F75-873933EBE5B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80-4BD4-BD3F-09A6329B7A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80-4BD4-BD3F-09A6329B7A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80-4BD4-BD3F-09A6329B7A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80-4BD4-BD3F-09A6329B7A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080-4BD4-BD3F-09A6329B7A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080-4BD4-BD3F-09A6329B7A13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140768.82279999999</c:v>
                </c:pt>
                <c:pt idx="1">
                  <c:v>155220.18825000001</c:v>
                </c:pt>
                <c:pt idx="2">
                  <c:v>215222.88147108004</c:v>
                </c:pt>
                <c:pt idx="3">
                  <c:v>69829.520250000016</c:v>
                </c:pt>
                <c:pt idx="4">
                  <c:v>7532.1722500000014</c:v>
                </c:pt>
                <c:pt idx="5">
                  <c:v>9937.4765000000007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080-4BD4-BD3F-09A6329B7A1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4" sqref="S4:T4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224827</v>
      </c>
      <c r="D2" s="57"/>
      <c r="E2" s="103" t="s">
        <v>6</v>
      </c>
      <c r="F2" s="101"/>
      <c r="G2" s="86">
        <v>4.72</v>
      </c>
      <c r="H2" s="57"/>
      <c r="I2" s="87" t="s">
        <v>7</v>
      </c>
      <c r="J2" s="66"/>
      <c r="K2" s="56">
        <f>'006208'!D3*'006208'!C3*0.997</f>
        <v>140768.82279999999</v>
      </c>
      <c r="L2" s="57"/>
      <c r="M2" s="92" t="s">
        <v>8</v>
      </c>
      <c r="N2" s="66"/>
      <c r="O2" s="64">
        <f>VT!H3*VT!D3</f>
        <v>215222.88147108004</v>
      </c>
      <c r="P2" s="57"/>
      <c r="Q2" s="65" t="s">
        <v>9</v>
      </c>
      <c r="R2" s="66"/>
      <c r="S2" s="95">
        <f>(682.1+1166.72+328.25)*投資!G2</f>
        <v>69829.520250000016</v>
      </c>
      <c r="T2" s="57"/>
    </row>
    <row r="3" spans="1:26" ht="17.25" customHeight="1">
      <c r="A3" s="50" t="s">
        <v>10</v>
      </c>
      <c r="B3" s="44"/>
      <c r="C3" s="45">
        <v>11601</v>
      </c>
      <c r="D3" s="42"/>
      <c r="E3" s="49" t="s">
        <v>11</v>
      </c>
      <c r="F3" s="44"/>
      <c r="G3" s="80">
        <v>521.76</v>
      </c>
      <c r="H3" s="42"/>
      <c r="I3" s="99" t="s">
        <v>12</v>
      </c>
      <c r="J3" s="78"/>
      <c r="K3" s="83">
        <f>'2890'!D3*'2890'!C3*0.997</f>
        <v>155220.18825000001</v>
      </c>
      <c r="L3" s="42"/>
      <c r="M3" s="90"/>
      <c r="N3" s="78"/>
      <c r="O3" s="41"/>
      <c r="P3" s="42"/>
      <c r="Q3" s="77" t="s">
        <v>13</v>
      </c>
      <c r="R3" s="78"/>
      <c r="S3" s="51">
        <f>234.83*投資!G2</f>
        <v>7532.1722500000014</v>
      </c>
      <c r="T3" s="42"/>
    </row>
    <row r="4" spans="1:26" ht="15.75" customHeight="1">
      <c r="A4" s="50" t="s">
        <v>14</v>
      </c>
      <c r="B4" s="44"/>
      <c r="C4" s="45">
        <v>120075</v>
      </c>
      <c r="D4" s="42"/>
      <c r="E4" s="49" t="s">
        <v>15</v>
      </c>
      <c r="F4" s="44"/>
      <c r="G4" s="80">
        <v>97.27</v>
      </c>
      <c r="H4" s="42"/>
      <c r="I4" s="99"/>
      <c r="J4" s="78"/>
      <c r="K4" s="83"/>
      <c r="L4" s="42"/>
      <c r="M4" s="90"/>
      <c r="N4" s="78"/>
      <c r="O4" s="41"/>
      <c r="P4" s="42"/>
      <c r="Q4" s="77" t="s">
        <v>16</v>
      </c>
      <c r="R4" s="78"/>
      <c r="S4" s="51">
        <f>309.82*投資!G2</f>
        <v>9937.4765000000007</v>
      </c>
      <c r="T4" s="42"/>
    </row>
    <row r="5" spans="1:26" ht="16.5" customHeight="1">
      <c r="A5" s="50" t="s">
        <v>17</v>
      </c>
      <c r="B5" s="44"/>
      <c r="C5" s="45">
        <v>0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18</v>
      </c>
      <c r="R5" s="78"/>
      <c r="S5" s="51">
        <f>15.45*投資!G2</f>
        <v>495.55875000000003</v>
      </c>
      <c r="T5" s="42"/>
    </row>
    <row r="6" spans="1:26" ht="17.25" customHeight="1">
      <c r="A6" s="50" t="s">
        <v>19</v>
      </c>
      <c r="B6" s="44"/>
      <c r="C6" s="45">
        <v>2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 t="s">
        <v>20</v>
      </c>
      <c r="R6" s="44"/>
      <c r="S6" s="51">
        <f>(502.19+483.32+301.6+2206.02+151.975)*投資!G2</f>
        <v>116916.74287500001</v>
      </c>
      <c r="T6" s="42"/>
    </row>
    <row r="7" spans="1:26" ht="17.25" customHeight="1">
      <c r="A7" s="50" t="s">
        <v>21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 t="s">
        <v>22</v>
      </c>
      <c r="R7" s="44"/>
      <c r="S7" s="51">
        <f>(501.74+500.68)*投資!G2</f>
        <v>32152.621500000005</v>
      </c>
      <c r="T7" s="42"/>
    </row>
    <row r="8" spans="1:26" ht="17.25" customHeight="1">
      <c r="A8" s="50" t="s">
        <v>23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24</v>
      </c>
      <c r="B9" s="68"/>
      <c r="C9" s="96">
        <v>800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25</v>
      </c>
      <c r="B10" s="53"/>
      <c r="C10" s="54">
        <f>SUM(C2:D9)</f>
        <v>517305</v>
      </c>
      <c r="D10" s="55"/>
      <c r="E10" s="52" t="s">
        <v>25</v>
      </c>
      <c r="F10" s="53"/>
      <c r="G10" s="54">
        <f>SUM(G2:H9)*投資!G2</f>
        <v>20006.78125</v>
      </c>
      <c r="H10" s="55"/>
      <c r="I10" s="52" t="s">
        <v>25</v>
      </c>
      <c r="J10" s="53"/>
      <c r="K10" s="54">
        <f>SUM(K2:L9)</f>
        <v>295989.01104999997</v>
      </c>
      <c r="L10" s="55"/>
      <c r="M10" s="52" t="s">
        <v>25</v>
      </c>
      <c r="N10" s="53"/>
      <c r="O10" s="54">
        <f>SUM(O2:P9)</f>
        <v>215222.88147108004</v>
      </c>
      <c r="P10" s="55"/>
      <c r="Q10" s="52" t="s">
        <v>25</v>
      </c>
      <c r="R10" s="53"/>
      <c r="S10" s="54">
        <f>SUM(S2:T9)</f>
        <v>236864.09212500002</v>
      </c>
      <c r="T10" s="55"/>
    </row>
    <row r="11" spans="1:26" ht="31.5" customHeight="1" thickBot="1">
      <c r="A11" s="79" t="s">
        <v>26</v>
      </c>
      <c r="B11" s="55"/>
      <c r="C11" s="104" t="s">
        <v>27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1285387.7658960801</v>
      </c>
      <c r="B12" s="48"/>
      <c r="C12" s="72">
        <f>12012</f>
        <v>12012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28</v>
      </c>
      <c r="B14" s="48"/>
      <c r="C14" s="104" t="s">
        <v>29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1273375.7658960801</v>
      </c>
      <c r="B16" s="48"/>
      <c r="C16" s="81">
        <f>C12/A12</f>
        <v>9.3450399316863698E-3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30</v>
      </c>
      <c r="F1" s="40" t="s">
        <v>31</v>
      </c>
      <c r="G1" s="40" t="s">
        <v>32</v>
      </c>
    </row>
    <row r="2" spans="1:10" ht="21.75" customHeight="1">
      <c r="A2" s="4" t="s">
        <v>33</v>
      </c>
      <c r="B2" s="4" t="s">
        <v>34</v>
      </c>
      <c r="C2" s="4" t="s">
        <v>35</v>
      </c>
      <c r="D2" s="5"/>
      <c r="E2" s="6">
        <v>304</v>
      </c>
      <c r="F2" s="6">
        <v>0</v>
      </c>
      <c r="G2" s="28">
        <v>32.075000000000003</v>
      </c>
    </row>
    <row r="3" spans="1:10" ht="17.25" customHeight="1">
      <c r="A3" s="107">
        <f>('006208'!E3+'00692'!E3+'2890'!E3)-('006208'!F3+'00692'!F3+'2890'!F3)-E2+7345</f>
        <v>137866</v>
      </c>
      <c r="B3" s="107">
        <f>總資產!K10</f>
        <v>295989.01104999997</v>
      </c>
      <c r="C3" s="7">
        <f>C4/A3</f>
        <v>1.1469326088375666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158123.01104999997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36</v>
      </c>
      <c r="F8" s="106"/>
      <c r="G8" s="44"/>
    </row>
    <row r="9" spans="1:10" ht="15" customHeight="1">
      <c r="A9" s="4" t="s">
        <v>33</v>
      </c>
      <c r="B9" s="4" t="s">
        <v>34</v>
      </c>
      <c r="C9" s="4" t="s">
        <v>35</v>
      </c>
      <c r="D9" s="5"/>
      <c r="E9" s="4" t="s">
        <v>33</v>
      </c>
      <c r="F9" s="4" t="s">
        <v>34</v>
      </c>
      <c r="G9" s="4" t="s">
        <v>35</v>
      </c>
    </row>
    <row r="10" spans="1:10" ht="18" customHeight="1">
      <c r="A10" s="107">
        <f>(BND!E3+VT!E3)-(BND!F3+VT!F3)</f>
        <v>181383.03913000002</v>
      </c>
      <c r="B10" s="107">
        <f>總資產!O10</f>
        <v>215222.88147108004</v>
      </c>
      <c r="C10" s="7">
        <f>C11/A10</f>
        <v>0.18656563757775874</v>
      </c>
      <c r="D10" s="5"/>
      <c r="E10" s="107">
        <f>A3+A10+A17</f>
        <v>572830.03913000005</v>
      </c>
      <c r="F10" s="107">
        <f>B3+B10+B17</f>
        <v>748075.98464608006</v>
      </c>
      <c r="G10" s="7">
        <f>G11/E10</f>
        <v>0.30593009015770051</v>
      </c>
    </row>
    <row r="11" spans="1:10" ht="18" customHeight="1">
      <c r="A11" s="108"/>
      <c r="B11" s="108"/>
      <c r="C11" s="29">
        <f>B10-A10</f>
        <v>33839.842341080017</v>
      </c>
      <c r="D11" s="5"/>
      <c r="E11" s="108"/>
      <c r="F11" s="108"/>
      <c r="G11" s="31">
        <f>F10-E10</f>
        <v>175245.94551608001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33</v>
      </c>
      <c r="B16" s="4" t="s">
        <v>34</v>
      </c>
      <c r="C16" s="4" t="s">
        <v>35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253581</v>
      </c>
      <c r="B17" s="107">
        <f>總資產!S10</f>
        <v>236864.09212500002</v>
      </c>
      <c r="C17" s="7">
        <f>C18/A17</f>
        <v>-6.5923345499071209E-2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-16716.907874999975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48" sqref="I4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38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>
        <f>(E3-F3)/D3</f>
        <v>98.787621359223294</v>
      </c>
      <c r="B3" s="114">
        <f>E3/D3</f>
        <v>103.60436893203884</v>
      </c>
      <c r="C3" s="126">
        <v>171.35</v>
      </c>
      <c r="D3" s="121">
        <f>SUM(D7:D505)</f>
        <v>824</v>
      </c>
      <c r="E3" s="124">
        <f>SUM(E7:E505)</f>
        <v>85370</v>
      </c>
      <c r="F3" s="124">
        <f>SUM(F6:G505)</f>
        <v>3969</v>
      </c>
      <c r="G3" s="7">
        <f>G4/E3</f>
        <v>0.70037952442309936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59791.399999999994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55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60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60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61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62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64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65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66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68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69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72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73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74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75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76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77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78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84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85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86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90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91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92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93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94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95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96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1" sqref="E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97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>
        <f>(E3-F3)/D3</f>
        <v>16.98163144380802</v>
      </c>
      <c r="B3" s="114">
        <f>E3/D3</f>
        <v>18.599644479557575</v>
      </c>
      <c r="C3" s="127">
        <v>30.75</v>
      </c>
      <c r="D3" s="121">
        <f>SUM(D7:D505)</f>
        <v>5063</v>
      </c>
      <c r="E3" s="124">
        <f>SUM(E7:E505)</f>
        <v>94170</v>
      </c>
      <c r="F3" s="124">
        <f>SUM(F6:G505)</f>
        <v>8192</v>
      </c>
      <c r="G3" s="7">
        <f>G4/E3</f>
        <v>0.74024901773388552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69709.25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53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54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54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98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55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99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56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100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101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102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64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65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66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68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69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72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103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104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105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88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106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107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89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90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91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94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95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96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zoomScaleNormal="100" workbookViewId="0">
      <selection activeCell="C5" sqref="C5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8</v>
      </c>
      <c r="G1" s="44"/>
      <c r="H1" s="122" t="s">
        <v>108</v>
      </c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109</v>
      </c>
      <c r="J2" s="27" t="s">
        <v>33</v>
      </c>
    </row>
    <row r="3" spans="1:10" ht="18.75" customHeight="1">
      <c r="A3" s="111">
        <f>(E3-F3)/D3</f>
        <v>3647.9080925015533</v>
      </c>
      <c r="B3" s="114">
        <f>E3/D3</f>
        <v>3723.4616003315959</v>
      </c>
      <c r="C3" s="126">
        <f>H3</f>
        <v>4317.9365000000007</v>
      </c>
      <c r="D3" s="121">
        <f>SUM(D7:D505)</f>
        <v>49.843919999999997</v>
      </c>
      <c r="E3" s="124">
        <f>SUM(E7:E505)</f>
        <v>185591.92213000002</v>
      </c>
      <c r="F3" s="124">
        <f>SUM(F6:G505)</f>
        <v>3765.8830000000003</v>
      </c>
      <c r="G3" s="7">
        <f>G4/E3</f>
        <v>0.17994771516880359</v>
      </c>
      <c r="H3" s="116">
        <v>4317.9365000000007</v>
      </c>
      <c r="I3" s="129">
        <f>投資!G2</f>
        <v>32.075000000000003</v>
      </c>
      <c r="J3" s="117">
        <f>SUM(J7:J505)</f>
        <v>5866.8400000000011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33396.842341080017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110</v>
      </c>
      <c r="J5" s="112" t="s">
        <v>111</v>
      </c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112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113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113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114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58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59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115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61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116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64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117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65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66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67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118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69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72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103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74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75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119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78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79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80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120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82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83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121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85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122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123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124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125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90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91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126</v>
      </c>
      <c r="C48" s="36">
        <f t="shared" si="0"/>
        <v>0</v>
      </c>
      <c r="D48" s="26"/>
      <c r="E48" s="26"/>
      <c r="F48" s="109">
        <f>36.62*投資!G2</f>
        <v>1174.5865000000001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127</v>
      </c>
      <c r="C49" s="36">
        <f t="shared" si="0"/>
        <v>4578.0647500000005</v>
      </c>
      <c r="D49" s="26">
        <v>0.21018000000000001</v>
      </c>
      <c r="E49" s="26">
        <f>30.01*投資!G2</f>
        <v>962.57075000000009</v>
      </c>
      <c r="F49" s="109"/>
      <c r="G49" s="44"/>
      <c r="H49" s="20">
        <v>142.72999999999999</v>
      </c>
      <c r="I49" s="20">
        <f>投資!G2</f>
        <v>32.075000000000003</v>
      </c>
      <c r="J49" s="20">
        <v>30.01</v>
      </c>
    </row>
    <row r="50" spans="1:10" s="12" customFormat="1" ht="16.5" customHeight="1">
      <c r="A50" s="17">
        <v>45</v>
      </c>
      <c r="B50" s="25" t="s">
        <v>94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95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96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158</v>
      </c>
      <c r="C53" s="36">
        <f t="shared" si="0"/>
        <v>0</v>
      </c>
      <c r="D53" s="26"/>
      <c r="E53" s="26"/>
      <c r="F53" s="109">
        <f>11.42*投資!G2</f>
        <v>366.29650000000004</v>
      </c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128</v>
      </c>
      <c r="G1" s="44"/>
      <c r="H1" s="122"/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129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/>
      <c r="I5" s="112"/>
      <c r="J5" s="112"/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54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98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55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56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130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58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59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60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61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131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63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64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65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66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67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68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69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70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71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72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73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74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75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76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77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78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79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80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81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82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83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84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85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86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87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88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132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37</v>
      </c>
      <c r="D1" s="119"/>
      <c r="E1" s="119"/>
      <c r="F1" s="123" t="s">
        <v>133</v>
      </c>
      <c r="G1" s="44"/>
      <c r="H1" s="122" t="s">
        <v>108</v>
      </c>
      <c r="I1" s="106"/>
      <c r="J1" s="44"/>
    </row>
    <row r="2" spans="1:10" ht="21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33</v>
      </c>
      <c r="F2" s="4" t="s">
        <v>43</v>
      </c>
      <c r="G2" s="4" t="s">
        <v>35</v>
      </c>
      <c r="H2" s="27" t="s">
        <v>41</v>
      </c>
      <c r="I2" s="27" t="s">
        <v>109</v>
      </c>
      <c r="J2" s="27" t="s">
        <v>33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2379.3235000000004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134</v>
      </c>
      <c r="I3" s="120">
        <f>投資!G2</f>
        <v>32.075000000000003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44</v>
      </c>
      <c r="B5" s="24" t="s">
        <v>45</v>
      </c>
      <c r="C5" s="16" t="s">
        <v>46</v>
      </c>
      <c r="D5" s="16" t="s">
        <v>47</v>
      </c>
      <c r="E5" s="16" t="s">
        <v>48</v>
      </c>
      <c r="F5" s="125" t="s">
        <v>49</v>
      </c>
      <c r="G5" s="44"/>
      <c r="H5" s="112" t="s">
        <v>46</v>
      </c>
      <c r="I5" s="112" t="s">
        <v>110</v>
      </c>
      <c r="J5" s="112" t="s">
        <v>111</v>
      </c>
    </row>
    <row r="6" spans="1:10">
      <c r="A6" s="17">
        <v>1</v>
      </c>
      <c r="B6" s="110" t="s">
        <v>50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135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112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136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136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99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56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137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58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138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60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139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116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140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141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65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142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66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143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67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144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68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145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69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146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72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147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73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148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74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149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75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150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151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78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79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152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80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153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81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154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82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155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83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156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157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86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122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123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17:G17"/>
    <mergeCell ref="F66:G66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2026-03-30T20:34:04Z</dcterms:modified>
  <dc:language>en-US</dc:language>
</cp:coreProperties>
</file>