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56139168-9AD8-4874-8B26-B443644940E4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E3" i="8"/>
  <c r="B3" i="8" s="1"/>
  <c r="D3" i="8"/>
  <c r="G4" i="8" s="1"/>
  <c r="G3" i="8" s="1"/>
  <c r="C3" i="8"/>
  <c r="F3" i="7"/>
  <c r="E3" i="7"/>
  <c r="B3" i="7" s="1"/>
  <c r="D3" i="7"/>
  <c r="G4" i="7" s="1"/>
  <c r="G3" i="7" s="1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E3" i="6" s="1"/>
  <c r="B3" i="6" s="1"/>
  <c r="C9" i="6"/>
  <c r="E8" i="6"/>
  <c r="C8" i="6"/>
  <c r="E7" i="6"/>
  <c r="C7" i="6"/>
  <c r="J3" i="6"/>
  <c r="I3" i="6"/>
  <c r="F3" i="6"/>
  <c r="D3" i="6"/>
  <c r="O3" i="1" s="1"/>
  <c r="C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C53" i="5"/>
  <c r="C52" i="5"/>
  <c r="C51" i="5"/>
  <c r="C50" i="5"/>
  <c r="I49" i="5"/>
  <c r="E49" i="5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E3" i="5"/>
  <c r="B3" i="5" s="1"/>
  <c r="D3" i="5"/>
  <c r="C3" i="5"/>
  <c r="F3" i="3"/>
  <c r="E3" i="3"/>
  <c r="D3" i="3"/>
  <c r="G4" i="3" s="1"/>
  <c r="G3" i="3" s="1"/>
  <c r="C12" i="1"/>
  <c r="S10" i="1"/>
  <c r="B17" i="2" s="1"/>
  <c r="C18" i="2" s="1"/>
  <c r="C17" i="2" s="1"/>
  <c r="G10" i="1"/>
  <c r="C10" i="1"/>
  <c r="S7" i="1"/>
  <c r="S6" i="1"/>
  <c r="S5" i="1"/>
  <c r="S4" i="1"/>
  <c r="S3" i="1"/>
  <c r="S2" i="1"/>
  <c r="F3" i="4"/>
  <c r="E3" i="4"/>
  <c r="D3" i="4"/>
  <c r="K3" i="1" s="1"/>
  <c r="A3" i="3" l="1"/>
  <c r="B3" i="4"/>
  <c r="G4" i="5"/>
  <c r="G3" i="5" s="1"/>
  <c r="A3" i="4"/>
  <c r="A3" i="2"/>
  <c r="K2" i="1"/>
  <c r="K10" i="1" s="1"/>
  <c r="G4" i="4"/>
  <c r="G3" i="4" s="1"/>
  <c r="A3" i="5"/>
  <c r="O2" i="1"/>
  <c r="O10" i="1" s="1"/>
  <c r="B10" i="2" s="1"/>
  <c r="A3" i="7"/>
  <c r="G4" i="6"/>
  <c r="G3" i="6" s="1"/>
  <c r="B3" i="3"/>
  <c r="A10" i="2"/>
  <c r="A3" i="8"/>
  <c r="A3" i="6"/>
  <c r="A12" i="1" l="1"/>
  <c r="B3" i="2"/>
  <c r="C11" i="2"/>
  <c r="C10" i="2" s="1"/>
  <c r="E10" i="2"/>
  <c r="F10" i="2" l="1"/>
  <c r="G11" i="2" s="1"/>
  <c r="G10" i="2" s="1"/>
  <c r="C4" i="2"/>
  <c r="C3" i="2" s="1"/>
  <c r="A16" i="1"/>
  <c r="C16" i="1"/>
</calcChain>
</file>

<file path=xl/sharedStrings.xml><?xml version="1.0" encoding="utf-8"?>
<sst xmlns="http://schemas.openxmlformats.org/spreadsheetml/2006/main" count="425" uniqueCount="173">
  <si>
    <t>存股統計專用表格</t>
  </si>
  <si>
    <t>2890.TW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</si>
  <si>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</si>
  <si>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</si>
  <si>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</si>
  <si>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</si>
  <si>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</si>
  <si>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</si>
  <si>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</si>
  <si>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</si>
  <si>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</si>
  <si>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</si>
  <si>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</si>
  <si>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</si>
  <si>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</si>
  <si>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</si>
  <si>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2023.08.07</t>
  </si>
  <si>
    <t>2023.08.09</t>
  </si>
  <si>
    <t>2023.08.18</t>
  </si>
  <si>
    <t>2023.09.11</t>
  </si>
  <si>
    <t>2023.09.13</t>
  </si>
  <si>
    <t>2023.10.06</t>
  </si>
  <si>
    <t>2023.10.25</t>
  </si>
  <si>
    <t>2023.10.31</t>
  </si>
  <si>
    <t>2023.11.06</t>
  </si>
  <si>
    <t>2023.12.06</t>
  </si>
  <si>
    <t>2023.12.07</t>
  </si>
  <si>
    <t>2024.01.08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</si>
  <si>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</si>
  <si>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</si>
  <si>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</si>
  <si>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</si>
  <si>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</si>
  <si>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</si>
  <si>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</si>
  <si>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2024.09.06</t>
  </si>
  <si>
    <t>2024.09.27</t>
  </si>
  <si>
    <t>2024.10.07</t>
  </si>
  <si>
    <t>2024.10.17</t>
  </si>
  <si>
    <t>2024.10.21</t>
  </si>
  <si>
    <t>2024.11.06</t>
  </si>
  <si>
    <t>2024.12.06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</si>
  <si>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</si>
  <si>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</si>
  <si>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</si>
  <si>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</si>
  <si>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</si>
  <si>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</si>
  <si>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</si>
  <si>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</si>
  <si>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2025.09.08</t>
  </si>
  <si>
    <t>2025.09.22</t>
  </si>
  <si>
    <t>2025.09.26</t>
  </si>
  <si>
    <t>2025.10.07</t>
  </si>
  <si>
    <t>2025.11.06</t>
  </si>
  <si>
    <t>2025.12.08</t>
  </si>
  <si>
    <t>2026.01.06</t>
  </si>
  <si>
    <t>2026.02.06</t>
  </si>
  <si>
    <t>2026.03.06</t>
  </si>
  <si>
    <t>2026.04.07</t>
  </si>
  <si>
    <t>2026.05.06</t>
  </si>
  <si>
    <t>2026.06.08</t>
  </si>
  <si>
    <t>2026.07.06</t>
  </si>
  <si>
    <t>2026.08.06</t>
  </si>
  <si>
    <t>2026.08.24</t>
  </si>
  <si>
    <t>2026.08.31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</si>
  <si>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</si>
  <si>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</si>
  <si>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</si>
  <si>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</si>
  <si>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</si>
  <si>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</si>
  <si>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</si>
  <si>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</si>
  <si>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</si>
  <si>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</si>
  <si>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</si>
  <si>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</si>
  <si>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</si>
  <si>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VOO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</si>
  <si>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</si>
  <si>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</si>
  <si>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</si>
  <si>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</si>
  <si>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</si>
  <si>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</si>
  <si>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</si>
  <si>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</si>
  <si>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</si>
  <si>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</si>
  <si>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</si>
  <si>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</si>
  <si>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</si>
  <si>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</si>
  <si>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</si>
  <si>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</si>
  <si>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</si>
  <si>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</si>
  <si>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</si>
  <si>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</si>
  <si>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</si>
  <si>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</si>
  <si>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</si>
  <si>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2023.07.17</t>
  </si>
  <si>
    <t>2023.07.21</t>
  </si>
  <si>
    <t>2023.10.26</t>
  </si>
  <si>
    <t>2023.12.12</t>
  </si>
  <si>
    <t>2024.02.01</t>
  </si>
  <si>
    <t>2024.08.09</t>
  </si>
  <si>
    <t>2024.08.16</t>
  </si>
  <si>
    <t>2024.12.12</t>
  </si>
  <si>
    <t>2024.12.19</t>
  </si>
  <si>
    <t>2025.08.08</t>
  </si>
  <si>
    <t>2025.08.13</t>
  </si>
  <si>
    <t>2025.12.11</t>
  </si>
  <si>
    <t>2025.12.16</t>
  </si>
  <si>
    <t>2026.08.10</t>
  </si>
  <si>
    <t>2026.08.13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</si>
  <si>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</si>
  <si>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</si>
  <si>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</si>
  <si>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</si>
  <si>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</si>
  <si>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</si>
  <si>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</si>
  <si>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</si>
  <si>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</si>
  <si>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</si>
  <si>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</si>
  <si>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</si>
  <si>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</si>
  <si>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</si>
  <si>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</si>
  <si>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</si>
  <si>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</si>
  <si>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</si>
  <si>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</si>
  <si>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</si>
  <si>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</si>
  <si>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</si>
  <si>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</si>
  <si>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</si>
  <si>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</si>
  <si>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</si>
  <si>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</si>
  <si>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</si>
  <si>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</si>
  <si>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</si>
  <si>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</si>
  <si>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</si>
  <si>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</si>
  <si>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</si>
  <si>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</si>
  <si>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</si>
  <si>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</si>
  <si>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</si>
  <si>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</si>
  <si>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</si>
  <si>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</si>
  <si>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</si>
  <si>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</si>
  <si>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</si>
  <si>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</si>
  <si>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</si>
  <si>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</si>
  <si>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</si>
  <si>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</si>
  <si>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</si>
  <si>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</si>
  <si>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</si>
  <si>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</si>
  <si>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2026.09.07</t>
    <phoneticPr fontId="13" type="noConversion"/>
  </si>
  <si>
    <t>2026.09.08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</si>
</sst>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MingLiU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0DE-47CE-8A30-91C76A7965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0DE-47CE-8A30-91C76A7965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0DE-47CE-8A30-91C76A7965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0DE-47CE-8A30-91C76A7965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0DE-47CE-8A30-91C76A796580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7049.9220000000005</c:v>
                </c:pt>
                <c:pt idx="2">
                  <c:v>463313.97570000001</c:v>
                </c:pt>
                <c:pt idx="3">
                  <c:v>282252.37499657879</c:v>
                </c:pt>
                <c:pt idx="4">
                  <c:v>233459.74773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0DE-47CE-8A30-91C76A79658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B31-473C-B073-81BB2BFFB3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B31-473C-B073-81BB2BFFB3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B31-473C-B073-81BB2BFFB3D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B31-473C-B073-81BB2BFFB3D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B31-473C-B073-81BB2BFFB3D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B31-473C-B073-81BB2BFFB3D8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225732.764</c:v>
                </c:pt>
                <c:pt idx="1">
                  <c:v>237581.21170000001</c:v>
                </c:pt>
                <c:pt idx="2">
                  <c:v>266090.51386588439</c:v>
                </c:pt>
                <c:pt idx="3">
                  <c:v>68825.890980000011</c:v>
                </c:pt>
                <c:pt idx="4">
                  <c:v>7423.9156200000007</c:v>
                </c:pt>
                <c:pt idx="5">
                  <c:v>9794.64948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B31-473C-B073-81BB2BFFB3D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C7" sqref="C7:D7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114" t="s">
        <v>66</v>
      </c>
      <c r="B1" s="68"/>
      <c r="C1" s="68"/>
      <c r="D1" s="69"/>
      <c r="E1" s="81" t="s">
        <v>67</v>
      </c>
      <c r="F1" s="68"/>
      <c r="G1" s="68"/>
      <c r="H1" s="69"/>
      <c r="I1" s="67" t="s">
        <v>68</v>
      </c>
      <c r="J1" s="68"/>
      <c r="K1" s="68"/>
      <c r="L1" s="69"/>
      <c r="M1" s="115" t="s">
        <v>69</v>
      </c>
      <c r="N1" s="68"/>
      <c r="O1" s="68"/>
      <c r="P1" s="69"/>
      <c r="Q1" s="103" t="s">
        <v>70</v>
      </c>
      <c r="R1" s="68"/>
      <c r="S1" s="68"/>
      <c r="T1" s="69"/>
    </row>
    <row r="2" spans="1:26" ht="17.25" customHeight="1">
      <c r="A2" s="121" t="s">
        <v>71</v>
      </c>
      <c r="B2" s="122"/>
      <c r="C2" s="123">
        <v>201256</v>
      </c>
      <c r="D2" s="78"/>
      <c r="E2" s="124" t="s">
        <v>72</v>
      </c>
      <c r="F2" s="122"/>
      <c r="G2" s="107">
        <v>220</v>
      </c>
      <c r="H2" s="78"/>
      <c r="I2" s="108" t="s">
        <v>73</v>
      </c>
      <c r="J2" s="87"/>
      <c r="K2" s="77">
        <f>'006208'!D3*'006208'!C3*0.997</f>
        <v>225732.764</v>
      </c>
      <c r="L2" s="78"/>
      <c r="M2" s="113" t="s">
        <v>74</v>
      </c>
      <c r="N2" s="87"/>
      <c r="O2" s="85">
        <f>VT!H3*VT!D3</f>
        <v>266090.51386588439</v>
      </c>
      <c r="P2" s="78"/>
      <c r="Q2" s="86" t="s">
        <v>75</v>
      </c>
      <c r="R2" s="87"/>
      <c r="S2" s="116">
        <f>(682.1+1166.72+328.25)*投資!G2</f>
        <v>68825.890980000011</v>
      </c>
      <c r="T2" s="78"/>
    </row>
    <row r="3" spans="1:26" ht="17.25" customHeight="1">
      <c r="A3" s="71" t="s">
        <v>76</v>
      </c>
      <c r="B3" s="42"/>
      <c r="C3" s="66">
        <v>11601</v>
      </c>
      <c r="D3" s="64"/>
      <c r="E3" s="70" t="s">
        <v>77</v>
      </c>
      <c r="F3" s="42"/>
      <c r="G3" s="101">
        <v>0</v>
      </c>
      <c r="H3" s="64"/>
      <c r="I3" s="120" t="s">
        <v>78</v>
      </c>
      <c r="J3" s="99"/>
      <c r="K3" s="104">
        <f>'2890'!D3*'2890'!C3*0.997</f>
        <v>237581.21170000001</v>
      </c>
      <c r="L3" s="64"/>
      <c r="M3" s="111" t="s">
        <v>79</v>
      </c>
      <c r="N3" s="99"/>
      <c r="O3" s="63">
        <f>VOO!C3*VOO!D3</f>
        <v>16161.8611306944</v>
      </c>
      <c r="P3" s="64"/>
      <c r="Q3" s="98" t="s">
        <v>80</v>
      </c>
      <c r="R3" s="99"/>
      <c r="S3" s="72">
        <f>234.83*投資!G2</f>
        <v>7423.9156200000007</v>
      </c>
      <c r="T3" s="64"/>
    </row>
    <row r="4" spans="1:26" ht="15.75" customHeight="1">
      <c r="A4" s="71" t="s">
        <v>81</v>
      </c>
      <c r="B4" s="42"/>
      <c r="C4" s="66">
        <v>150039</v>
      </c>
      <c r="D4" s="64"/>
      <c r="E4" s="70" t="s">
        <v>82</v>
      </c>
      <c r="F4" s="42"/>
      <c r="G4" s="101">
        <v>3</v>
      </c>
      <c r="H4" s="64"/>
      <c r="I4" s="120"/>
      <c r="J4" s="99"/>
      <c r="K4" s="104"/>
      <c r="L4" s="64"/>
      <c r="M4" s="111"/>
      <c r="N4" s="99"/>
      <c r="O4" s="63"/>
      <c r="P4" s="64"/>
      <c r="Q4" s="98" t="s">
        <v>83</v>
      </c>
      <c r="R4" s="99"/>
      <c r="S4" s="72">
        <f>309.82*投資!G2</f>
        <v>9794.64948</v>
      </c>
      <c r="T4" s="64"/>
    </row>
    <row r="5" spans="1:26" ht="16.5" customHeight="1">
      <c r="A5" s="71" t="s">
        <v>84</v>
      </c>
      <c r="B5" s="42"/>
      <c r="C5" s="66">
        <v>550</v>
      </c>
      <c r="D5" s="64"/>
      <c r="E5" s="70"/>
      <c r="F5" s="42"/>
      <c r="G5" s="101"/>
      <c r="H5" s="64"/>
      <c r="I5" s="97"/>
      <c r="J5" s="42"/>
      <c r="K5" s="104"/>
      <c r="L5" s="64"/>
      <c r="M5" s="111"/>
      <c r="N5" s="99"/>
      <c r="O5" s="63"/>
      <c r="P5" s="64"/>
      <c r="Q5" s="98" t="s">
        <v>85</v>
      </c>
      <c r="R5" s="99"/>
      <c r="S5" s="72">
        <f>15.45*投資!G2</f>
        <v>488.43630000000002</v>
      </c>
      <c r="T5" s="64"/>
    </row>
    <row r="6" spans="1:26" ht="17.25" customHeight="1">
      <c r="A6" s="71" t="s">
        <v>86</v>
      </c>
      <c r="B6" s="42"/>
      <c r="C6" s="66">
        <v>700</v>
      </c>
      <c r="D6" s="64"/>
      <c r="E6" s="70"/>
      <c r="F6" s="42"/>
      <c r="G6" s="101"/>
      <c r="H6" s="64"/>
      <c r="I6" s="97"/>
      <c r="J6" s="42"/>
      <c r="K6" s="104"/>
      <c r="L6" s="64"/>
      <c r="M6" s="84"/>
      <c r="N6" s="42"/>
      <c r="O6" s="63"/>
      <c r="P6" s="64"/>
      <c r="Q6" s="65" t="s">
        <v>87</v>
      </c>
      <c r="R6" s="42"/>
      <c r="S6" s="72">
        <f>(502.19+483.32+301.6+2206.02+151.975)*投資!G2</f>
        <v>115236.34947</v>
      </c>
      <c r="T6" s="64"/>
    </row>
    <row r="7" spans="1:26" ht="17.25" customHeight="1">
      <c r="A7" s="71" t="s">
        <v>88</v>
      </c>
      <c r="B7" s="42"/>
      <c r="C7" s="66">
        <v>100189</v>
      </c>
      <c r="D7" s="64"/>
      <c r="E7" s="70"/>
      <c r="F7" s="42"/>
      <c r="G7" s="101"/>
      <c r="H7" s="64"/>
      <c r="I7" s="97"/>
      <c r="J7" s="42"/>
      <c r="K7" s="104"/>
      <c r="L7" s="64"/>
      <c r="M7" s="84"/>
      <c r="N7" s="42"/>
      <c r="O7" s="63"/>
      <c r="P7" s="64"/>
      <c r="Q7" s="65" t="s">
        <v>89</v>
      </c>
      <c r="R7" s="42"/>
      <c r="S7" s="72">
        <f>(501.74+500.68)*投資!G2</f>
        <v>31690.505880000004</v>
      </c>
      <c r="T7" s="64"/>
    </row>
    <row r="8" spans="1:26" ht="17.25" customHeight="1">
      <c r="A8" s="71" t="s">
        <v>90</v>
      </c>
      <c r="B8" s="42"/>
      <c r="C8" s="66">
        <v>60000</v>
      </c>
      <c r="D8" s="64"/>
      <c r="E8" s="70"/>
      <c r="F8" s="42"/>
      <c r="G8" s="101"/>
      <c r="H8" s="64"/>
      <c r="I8" s="97"/>
      <c r="J8" s="42"/>
      <c r="K8" s="104"/>
      <c r="L8" s="64"/>
      <c r="M8" s="84"/>
      <c r="N8" s="42"/>
      <c r="O8" s="63"/>
      <c r="P8" s="64"/>
      <c r="Q8" s="65"/>
      <c r="R8" s="42"/>
      <c r="S8" s="72"/>
      <c r="T8" s="64"/>
    </row>
    <row r="9" spans="1:26" ht="17.25" customHeight="1" thickBot="1">
      <c r="A9" s="88" t="s">
        <v>91</v>
      </c>
      <c r="B9" s="89"/>
      <c r="C9" s="117">
        <v>800</v>
      </c>
      <c r="D9" s="118"/>
      <c r="E9" s="119"/>
      <c r="F9" s="80"/>
      <c r="G9" s="105"/>
      <c r="H9" s="83"/>
      <c r="I9" s="106"/>
      <c r="J9" s="80"/>
      <c r="K9" s="109"/>
      <c r="L9" s="83"/>
      <c r="M9" s="110"/>
      <c r="N9" s="80"/>
      <c r="O9" s="112"/>
      <c r="P9" s="83"/>
      <c r="Q9" s="79"/>
      <c r="R9" s="80"/>
      <c r="S9" s="82"/>
      <c r="T9" s="83"/>
    </row>
    <row r="10" spans="1:26" ht="17.25" customHeight="1" thickBot="1">
      <c r="A10" s="73" t="s">
        <v>92</v>
      </c>
      <c r="B10" s="74"/>
      <c r="C10" s="75">
        <f>SUM(C2:D9)</f>
        <v>525135</v>
      </c>
      <c r="D10" s="76"/>
      <c r="E10" s="73" t="s">
        <v>92</v>
      </c>
      <c r="F10" s="74"/>
      <c r="G10" s="75">
        <f>SUM(G2:H9)*投資!G2</f>
        <v>7049.9220000000005</v>
      </c>
      <c r="H10" s="76"/>
      <c r="I10" s="73" t="s">
        <v>92</v>
      </c>
      <c r="J10" s="74"/>
      <c r="K10" s="75">
        <f>SUM(K2:L9)</f>
        <v>463313.97570000001</v>
      </c>
      <c r="L10" s="76"/>
      <c r="M10" s="73" t="s">
        <v>92</v>
      </c>
      <c r="N10" s="74"/>
      <c r="O10" s="75">
        <f>SUM(O2:P9)</f>
        <v>282252.37499657879</v>
      </c>
      <c r="P10" s="76"/>
      <c r="Q10" s="73" t="s">
        <v>92</v>
      </c>
      <c r="R10" s="74"/>
      <c r="S10" s="75">
        <f>SUM(S2:T9)</f>
        <v>233459.74773</v>
      </c>
      <c r="T10" s="76"/>
    </row>
    <row r="11" spans="1:26" ht="31.5" customHeight="1" thickBot="1">
      <c r="A11" s="100" t="s">
        <v>93</v>
      </c>
      <c r="B11" s="76"/>
      <c r="C11" s="125" t="s">
        <v>94</v>
      </c>
      <c r="D11" s="76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90">
        <f>C10+G10+K10+O10+S10</f>
        <v>1511211.0204265788</v>
      </c>
      <c r="B12" s="69"/>
      <c r="C12" s="93">
        <f>12012</f>
        <v>12012</v>
      </c>
      <c r="D12" s="94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91"/>
      <c r="B13" s="92"/>
      <c r="C13" s="95"/>
      <c r="D13" s="96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100" t="s">
        <v>95</v>
      </c>
      <c r="B14" s="69"/>
      <c r="C14" s="125" t="s">
        <v>96</v>
      </c>
      <c r="D14" s="69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91"/>
      <c r="B15" s="92"/>
      <c r="C15" s="91"/>
      <c r="D15" s="92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90">
        <f>A12-C12</f>
        <v>1499199.0204265788</v>
      </c>
      <c r="B16" s="69"/>
      <c r="C16" s="102">
        <f>C12/A12</f>
        <v>7.9485921142960561E-3</v>
      </c>
      <c r="D16" s="69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91"/>
      <c r="B17" s="92"/>
      <c r="C17" s="91"/>
      <c r="D17" s="92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65" customHeight="1">
      <c r="A1" s="126" t="s">
        <v>68</v>
      </c>
      <c r="B1" s="44"/>
      <c r="C1" s="42"/>
      <c r="D1" s="3"/>
      <c r="E1" s="40" t="s">
        <v>97</v>
      </c>
      <c r="F1" s="40" t="s">
        <v>98</v>
      </c>
      <c r="G1" s="40" t="s">
        <v>99</v>
      </c>
    </row>
    <row r="2" spans="1:10" ht="21.75" customHeight="1">
      <c r="A2" s="4" t="s">
        <v>6</v>
      </c>
      <c r="B2" s="4" t="s">
        <v>100</v>
      </c>
      <c r="C2" s="4" t="s">
        <v>8</v>
      </c>
      <c r="D2" s="5"/>
      <c r="E2" s="6">
        <v>304</v>
      </c>
      <c r="F2" s="6">
        <v>0</v>
      </c>
      <c r="G2" s="28">
        <v>31.614000000000001</v>
      </c>
    </row>
    <row r="3" spans="1:10" ht="17.25" customHeight="1">
      <c r="A3" s="127">
        <f>('006208'!E3+'00692'!E3+'2890'!E3)-('006208'!F3+'00692'!F3+'2890'!F3)-E2+7345</f>
        <v>160823</v>
      </c>
      <c r="B3" s="127">
        <f>總資產!K10</f>
        <v>463313.97570000001</v>
      </c>
      <c r="C3" s="7">
        <f>C4/A3</f>
        <v>1.8808937508938399</v>
      </c>
      <c r="D3" s="8"/>
      <c r="E3" s="9"/>
      <c r="F3" s="9"/>
      <c r="G3" s="9"/>
    </row>
    <row r="4" spans="1:10" ht="17.25" customHeight="1">
      <c r="A4" s="46"/>
      <c r="B4" s="46"/>
      <c r="C4" s="29">
        <f>B3-A3</f>
        <v>302490.97570000001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26" t="s">
        <v>69</v>
      </c>
      <c r="B8" s="44"/>
      <c r="C8" s="42"/>
      <c r="D8" s="5"/>
      <c r="E8" s="126" t="s">
        <v>101</v>
      </c>
      <c r="F8" s="44"/>
      <c r="G8" s="42"/>
    </row>
    <row r="9" spans="1:10" ht="15" customHeight="1">
      <c r="A9" s="4" t="s">
        <v>6</v>
      </c>
      <c r="B9" s="4" t="s">
        <v>100</v>
      </c>
      <c r="C9" s="4" t="s">
        <v>8</v>
      </c>
      <c r="D9" s="5"/>
      <c r="E9" s="4" t="s">
        <v>6</v>
      </c>
      <c r="F9" s="4" t="s">
        <v>100</v>
      </c>
      <c r="G9" s="4" t="s">
        <v>8</v>
      </c>
    </row>
    <row r="10" spans="1:10" ht="18" customHeight="1">
      <c r="A10" s="127">
        <f>(BND!E3+VT!E3)-(BND!F3+VT!F3)</f>
        <v>193779.57344000001</v>
      </c>
      <c r="B10" s="127">
        <f>總資產!O10</f>
        <v>282252.37499657879</v>
      </c>
      <c r="C10" s="7">
        <f>C11/A10</f>
        <v>0.45656412585701467</v>
      </c>
      <c r="D10" s="5"/>
      <c r="E10" s="127">
        <f>A3+A10+A17</f>
        <v>608183.57343999995</v>
      </c>
      <c r="F10" s="127">
        <f>B3+B10+B17</f>
        <v>979026.0984265788</v>
      </c>
      <c r="G10" s="7">
        <f>G11/E10</f>
        <v>0.60975426036093716</v>
      </c>
    </row>
    <row r="11" spans="1:10" ht="18" customHeight="1">
      <c r="A11" s="46"/>
      <c r="B11" s="46"/>
      <c r="C11" s="29">
        <f>B10-A10</f>
        <v>88472.801556578779</v>
      </c>
      <c r="D11" s="5"/>
      <c r="E11" s="46"/>
      <c r="F11" s="46"/>
      <c r="G11" s="31">
        <f>F10-E10</f>
        <v>370842.52498657885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26" t="s">
        <v>70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6</v>
      </c>
      <c r="B16" s="4" t="s">
        <v>100</v>
      </c>
      <c r="C16" s="4" t="s">
        <v>8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27">
        <v>253581</v>
      </c>
      <c r="B17" s="127">
        <f>總資產!S10</f>
        <v>233459.74773</v>
      </c>
      <c r="C17" s="7">
        <f>C18/A17</f>
        <v>-7.9348422279271705E-2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46"/>
      <c r="B18" s="46"/>
      <c r="C18" s="29">
        <f>B17-A17</f>
        <v>-20121.252269999997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E62" sqref="E62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102</v>
      </c>
      <c r="G1" s="42"/>
      <c r="H1" s="57"/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>
      <c r="A3" s="45">
        <f>(E3-F3)/D3</f>
        <v>107.75978260869566</v>
      </c>
      <c r="B3" s="49">
        <f>E3/D3</f>
        <v>116.61195652173913</v>
      </c>
      <c r="C3" s="128">
        <v>246.1</v>
      </c>
      <c r="D3" s="56">
        <f>SUM(D7:D505)</f>
        <v>920</v>
      </c>
      <c r="E3" s="59">
        <f>SUM(E7:E505)</f>
        <v>107283</v>
      </c>
      <c r="F3" s="59">
        <f>SUM(F6:G505)</f>
        <v>8144</v>
      </c>
      <c r="G3" s="7">
        <f>G4/E3</f>
        <v>1.1863296141979625</v>
      </c>
      <c r="H3" s="51"/>
      <c r="I3" s="55"/>
      <c r="J3" s="52"/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127273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103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>
      <c r="A8" s="17">
        <v>3</v>
      </c>
      <c r="B8" s="25" t="s">
        <v>104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>
      <c r="A9" s="17">
        <v>4</v>
      </c>
      <c r="B9" s="25" t="s">
        <v>16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>
      <c r="A10" s="17">
        <v>5</v>
      </c>
      <c r="B10" s="25" t="s">
        <v>17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19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21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>
      <c r="A13" s="17">
        <v>8</v>
      </c>
      <c r="B13" s="25" t="s">
        <v>105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24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>
      <c r="A15" s="17">
        <v>10</v>
      </c>
      <c r="B15" s="25" t="s">
        <v>25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106</v>
      </c>
      <c r="C16" s="33">
        <v>0</v>
      </c>
      <c r="D16" s="26">
        <v>0</v>
      </c>
      <c r="E16" s="26">
        <v>0</v>
      </c>
      <c r="F16" s="41">
        <v>152</v>
      </c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106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27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107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28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29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30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31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32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33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34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108</v>
      </c>
      <c r="C27" s="33">
        <v>0</v>
      </c>
      <c r="D27" s="26">
        <v>0</v>
      </c>
      <c r="E27" s="26">
        <v>0</v>
      </c>
      <c r="F27" s="41">
        <v>279</v>
      </c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109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35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37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40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41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110</v>
      </c>
      <c r="C33" s="33">
        <v>0</v>
      </c>
      <c r="D33" s="26">
        <v>0</v>
      </c>
      <c r="E33" s="26">
        <v>0</v>
      </c>
      <c r="F33" s="41">
        <v>374</v>
      </c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111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42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43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43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44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45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46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47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48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49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112</v>
      </c>
      <c r="C44" s="33">
        <v>0</v>
      </c>
      <c r="D44" s="26">
        <v>0</v>
      </c>
      <c r="E44" s="26">
        <v>0</v>
      </c>
      <c r="F44" s="41">
        <v>647</v>
      </c>
      <c r="G44" s="42"/>
      <c r="H44" s="20"/>
      <c r="I44" s="20"/>
      <c r="J44" s="20"/>
    </row>
    <row r="45" spans="1:10" s="12" customFormat="1" ht="16.5" customHeight="1">
      <c r="A45" s="17">
        <v>40</v>
      </c>
      <c r="B45" s="25" t="s">
        <v>113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 t="s">
        <v>50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53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 t="s">
        <v>54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55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 t="s">
        <v>114</v>
      </c>
      <c r="C50" s="33">
        <v>0</v>
      </c>
      <c r="D50" s="26">
        <v>0</v>
      </c>
      <c r="E50" s="26">
        <v>0</v>
      </c>
      <c r="F50" s="41">
        <v>2517</v>
      </c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115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 t="s">
        <v>56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 t="s">
        <v>57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 t="s">
        <v>58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 t="s">
        <v>59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 t="s">
        <v>60</v>
      </c>
      <c r="C56" s="33">
        <v>221.62</v>
      </c>
      <c r="D56" s="26">
        <v>13</v>
      </c>
      <c r="E56" s="26">
        <v>2882</v>
      </c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 t="s">
        <v>61</v>
      </c>
      <c r="C57" s="33">
        <v>233</v>
      </c>
      <c r="D57" s="26">
        <v>13</v>
      </c>
      <c r="E57" s="26">
        <v>3030</v>
      </c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 t="s">
        <v>62</v>
      </c>
      <c r="C58" s="33">
        <v>252.17</v>
      </c>
      <c r="D58" s="26">
        <v>12</v>
      </c>
      <c r="E58" s="26">
        <v>3027</v>
      </c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 t="s">
        <v>63</v>
      </c>
      <c r="C59" s="33">
        <v>236.15</v>
      </c>
      <c r="D59" s="26">
        <v>13</v>
      </c>
      <c r="E59" s="26">
        <v>3071</v>
      </c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 t="s">
        <v>116</v>
      </c>
      <c r="C60" s="33">
        <v>0</v>
      </c>
      <c r="D60" s="26">
        <v>0</v>
      </c>
      <c r="E60" s="26">
        <v>0</v>
      </c>
      <c r="F60" s="41">
        <v>4175</v>
      </c>
      <c r="G60" s="42"/>
      <c r="H60" s="20"/>
      <c r="I60" s="20"/>
      <c r="J60" s="20"/>
    </row>
    <row r="61" spans="1:10" s="12" customFormat="1" ht="16.5" customHeight="1">
      <c r="A61" s="17">
        <v>56</v>
      </c>
      <c r="B61" s="25" t="s">
        <v>117</v>
      </c>
      <c r="C61" s="33">
        <v>244.56</v>
      </c>
      <c r="D61" s="26">
        <v>16</v>
      </c>
      <c r="E61" s="26">
        <v>3914</v>
      </c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 t="s">
        <v>171</v>
      </c>
      <c r="C62" s="33">
        <v>251.67</v>
      </c>
      <c r="D62" s="26">
        <v>12</v>
      </c>
      <c r="E62" s="26">
        <v>3021</v>
      </c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D58" sqref="D58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</v>
      </c>
      <c r="G1" s="42"/>
      <c r="H1" s="57"/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>
      <c r="A3" s="45">
        <f>(E3-F3)/D3</f>
        <v>16.724188520080691</v>
      </c>
      <c r="B3" s="49">
        <f>E3/D3</f>
        <v>19.269392994681827</v>
      </c>
      <c r="C3" s="61">
        <v>43.7</v>
      </c>
      <c r="D3" s="56">
        <f>SUM(D7:D505)</f>
        <v>5453</v>
      </c>
      <c r="E3" s="59">
        <f>SUM(E7:E505)</f>
        <v>105076</v>
      </c>
      <c r="F3" s="59">
        <f>SUM(F6:G505)</f>
        <v>13879</v>
      </c>
      <c r="G3" s="7">
        <f>G4/E3</f>
        <v>1.3999305264760744</v>
      </c>
      <c r="H3" s="51"/>
      <c r="I3" s="55"/>
      <c r="J3" s="52"/>
    </row>
    <row r="4" spans="1:10" ht="18.75" customHeight="1">
      <c r="A4" s="46"/>
      <c r="B4" s="46"/>
      <c r="C4" s="62"/>
      <c r="D4" s="46"/>
      <c r="E4" s="46"/>
      <c r="F4" s="46"/>
      <c r="G4" s="32">
        <f>D3*C3-E3+F3</f>
        <v>147099.1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16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>
      <c r="A8" s="17">
        <v>3</v>
      </c>
      <c r="B8" s="25" t="s">
        <v>17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>
      <c r="A9" s="17">
        <v>4</v>
      </c>
      <c r="B9" s="25" t="s">
        <v>17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>
      <c r="A10" s="17">
        <v>5</v>
      </c>
      <c r="B10" s="25" t="s">
        <v>18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19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20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>
      <c r="A13" s="17">
        <v>8</v>
      </c>
      <c r="B13" s="25" t="s">
        <v>21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22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>
      <c r="A15" s="17">
        <v>10</v>
      </c>
      <c r="B15" s="25" t="s">
        <v>23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24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25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26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27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28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29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30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31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32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>
      <c r="A25" s="17">
        <v>20</v>
      </c>
      <c r="B25" s="20" t="s">
        <v>33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34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35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36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37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38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39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40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41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42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43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44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45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46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47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48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49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50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51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52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>
      <c r="A45" s="17">
        <v>40</v>
      </c>
      <c r="B45" s="25" t="s">
        <v>53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 t="s">
        <v>54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55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 t="s">
        <v>56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57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 t="s">
        <v>58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59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 t="s">
        <v>60</v>
      </c>
      <c r="C52" s="34">
        <v>30.97</v>
      </c>
      <c r="D52" s="26">
        <v>29</v>
      </c>
      <c r="E52" s="26">
        <v>899</v>
      </c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 t="s">
        <v>61</v>
      </c>
      <c r="C53" s="34">
        <v>31.64</v>
      </c>
      <c r="D53" s="26">
        <v>28</v>
      </c>
      <c r="E53" s="26">
        <v>887</v>
      </c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 t="s">
        <v>62</v>
      </c>
      <c r="C54" s="34">
        <v>40.82</v>
      </c>
      <c r="D54" s="26">
        <v>22</v>
      </c>
      <c r="E54" s="26">
        <v>899</v>
      </c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 t="s">
        <v>63</v>
      </c>
      <c r="C55" s="34">
        <v>39.270000000000003</v>
      </c>
      <c r="D55" s="26">
        <v>22</v>
      </c>
      <c r="E55" s="26">
        <v>865</v>
      </c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 t="s">
        <v>64</v>
      </c>
      <c r="C56" s="34">
        <v>0</v>
      </c>
      <c r="D56" s="26">
        <v>103</v>
      </c>
      <c r="E56" s="26">
        <v>0</v>
      </c>
      <c r="F56" s="41">
        <v>5687</v>
      </c>
      <c r="G56" s="42"/>
      <c r="H56" s="20"/>
      <c r="I56" s="20"/>
      <c r="J56" s="20"/>
    </row>
    <row r="57" spans="1:10" s="12" customFormat="1" ht="16.5" customHeight="1">
      <c r="A57" s="17">
        <v>52</v>
      </c>
      <c r="B57" s="25" t="s">
        <v>65</v>
      </c>
      <c r="C57" s="34">
        <v>40.619999999999997</v>
      </c>
      <c r="D57" s="26">
        <v>137</v>
      </c>
      <c r="E57" s="26">
        <v>5566</v>
      </c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 t="s">
        <v>171</v>
      </c>
      <c r="C58" s="34">
        <v>42.38</v>
      </c>
      <c r="D58" s="26">
        <v>21</v>
      </c>
      <c r="E58" s="26">
        <v>891</v>
      </c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M23" sqref="M23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74</v>
      </c>
      <c r="G1" s="42"/>
      <c r="H1" s="57" t="s">
        <v>118</v>
      </c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119</v>
      </c>
      <c r="J2" s="27" t="s">
        <v>6</v>
      </c>
    </row>
    <row r="3" spans="1:10" ht="18.75" customHeight="1">
      <c r="A3" s="45">
        <f>(E3-F3)/D3</f>
        <v>3690.6839197804698</v>
      </c>
      <c r="B3" s="49">
        <f>E3/D3</f>
        <v>3774.2469897913716</v>
      </c>
      <c r="C3" s="128">
        <f>H3</f>
        <v>5056.3431600000004</v>
      </c>
      <c r="D3" s="56">
        <f>SUM(D7:D505)</f>
        <v>52.62509</v>
      </c>
      <c r="E3" s="59">
        <f>SUM(E7:E505)</f>
        <v>198620.08752</v>
      </c>
      <c r="F3" s="59">
        <f>SUM(F6:G505)</f>
        <v>4397.5140799999999</v>
      </c>
      <c r="G3" s="7">
        <f>G4/E3</f>
        <v>0.36183621366417767</v>
      </c>
      <c r="H3" s="51">
        <v>5056.3431600000004</v>
      </c>
      <c r="I3" s="129">
        <f>投資!G2</f>
        <v>31.614000000000001</v>
      </c>
      <c r="J3" s="52">
        <f>SUM(J7:J505)</f>
        <v>6286.8800000000019</v>
      </c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71867.940425884386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120</v>
      </c>
      <c r="J5" s="47" t="s">
        <v>121</v>
      </c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103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122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123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123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124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>
      <c r="A12" s="17">
        <v>7</v>
      </c>
      <c r="B12" s="25" t="s">
        <v>21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24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25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125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>
      <c r="A16" s="17">
        <v>11</v>
      </c>
      <c r="B16" s="25" t="s">
        <v>27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126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29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127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30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31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32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128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33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34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35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36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37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40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41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129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42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43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44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130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45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46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47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131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48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49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132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133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134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135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54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55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136</v>
      </c>
      <c r="C48" s="36">
        <f t="shared" si="0"/>
        <v>0</v>
      </c>
      <c r="D48" s="26"/>
      <c r="E48" s="26"/>
      <c r="F48" s="41">
        <f>36.62*投資!G2</f>
        <v>1157.7046800000001</v>
      </c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137</v>
      </c>
      <c r="C49" s="36">
        <f t="shared" si="0"/>
        <v>4512.2662199999995</v>
      </c>
      <c r="D49" s="26">
        <v>0.21018000000000001</v>
      </c>
      <c r="E49" s="26">
        <f>30.01*投資!G2</f>
        <v>948.73614000000009</v>
      </c>
      <c r="F49" s="41"/>
      <c r="G49" s="42"/>
      <c r="H49" s="20">
        <v>142.72999999999999</v>
      </c>
      <c r="I49" s="20">
        <f>投資!G2</f>
        <v>31.614000000000001</v>
      </c>
      <c r="J49" s="20">
        <v>30.01</v>
      </c>
    </row>
    <row r="50" spans="1:10" s="12" customFormat="1" ht="16.5" customHeight="1">
      <c r="A50" s="17">
        <v>45</v>
      </c>
      <c r="B50" s="25" t="s">
        <v>56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57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58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 t="s">
        <v>138</v>
      </c>
      <c r="C53" s="36">
        <f t="shared" si="0"/>
        <v>0</v>
      </c>
      <c r="D53" s="26"/>
      <c r="E53" s="26"/>
      <c r="F53" s="41">
        <f>11.42*投資!G2</f>
        <v>361.03188</v>
      </c>
      <c r="G53" s="42"/>
      <c r="H53" s="20"/>
      <c r="I53" s="20"/>
      <c r="J53" s="20"/>
    </row>
    <row r="54" spans="1:10" s="12" customFormat="1" ht="16.5" customHeight="1">
      <c r="A54" s="17">
        <v>49</v>
      </c>
      <c r="B54" s="25" t="s">
        <v>139</v>
      </c>
      <c r="C54" s="36">
        <f t="shared" si="0"/>
        <v>4609.7600999999995</v>
      </c>
      <c r="D54" s="26">
        <v>0.97214999999999996</v>
      </c>
      <c r="E54" s="26">
        <v>4165</v>
      </c>
      <c r="F54" s="41"/>
      <c r="G54" s="42"/>
      <c r="H54" s="20">
        <v>144.01</v>
      </c>
      <c r="I54" s="20">
        <v>32.01</v>
      </c>
      <c r="J54" s="20">
        <v>140.01</v>
      </c>
    </row>
    <row r="55" spans="1:10" s="12" customFormat="1" ht="16.5" customHeight="1">
      <c r="A55" s="17">
        <v>50</v>
      </c>
      <c r="B55" s="25" t="s">
        <v>60</v>
      </c>
      <c r="C55" s="36">
        <f t="shared" si="0"/>
        <v>4875.0495000000001</v>
      </c>
      <c r="D55" s="26">
        <v>0.84397999999999995</v>
      </c>
      <c r="E55" s="26">
        <v>4119</v>
      </c>
      <c r="F55" s="41"/>
      <c r="G55" s="42"/>
      <c r="H55" s="20">
        <v>154.03</v>
      </c>
      <c r="I55" s="20">
        <v>31.65</v>
      </c>
      <c r="J55" s="20">
        <v>130.01</v>
      </c>
    </row>
    <row r="56" spans="1:10" s="12" customFormat="1" ht="16.5" customHeight="1">
      <c r="A56" s="17">
        <v>51</v>
      </c>
      <c r="B56" s="25" t="s">
        <v>61</v>
      </c>
      <c r="C56" s="36">
        <f t="shared" si="0"/>
        <v>4890.6431999999995</v>
      </c>
      <c r="D56" s="26">
        <v>0.83784000000000003</v>
      </c>
      <c r="E56" s="26">
        <v>4098</v>
      </c>
      <c r="F56" s="41"/>
      <c r="G56" s="42"/>
      <c r="H56" s="20">
        <v>155.16</v>
      </c>
      <c r="I56" s="20">
        <v>31.52</v>
      </c>
      <c r="J56" s="20">
        <v>130.01</v>
      </c>
    </row>
    <row r="57" spans="1:10" s="12" customFormat="1" ht="16.5" customHeight="1">
      <c r="A57" s="17">
        <v>52</v>
      </c>
      <c r="B57" s="25" t="s">
        <v>140</v>
      </c>
      <c r="C57" s="36">
        <f t="shared" si="0"/>
        <v>0</v>
      </c>
      <c r="D57" s="26"/>
      <c r="E57" s="26"/>
      <c r="F57" s="41">
        <f>20.68 * 投資!G2</f>
        <v>653.77751999999998</v>
      </c>
      <c r="G57" s="42"/>
      <c r="H57" s="20"/>
      <c r="I57" s="20"/>
      <c r="J57" s="20"/>
    </row>
    <row r="58" spans="1:10" s="12" customFormat="1" ht="16.5" customHeight="1">
      <c r="A58" s="17">
        <v>53</v>
      </c>
      <c r="B58" s="25" t="s">
        <v>62</v>
      </c>
      <c r="C58" s="36">
        <f t="shared" si="0"/>
        <v>5020.3539000000001</v>
      </c>
      <c r="D58" s="26">
        <v>0.12720000000000001</v>
      </c>
      <c r="E58" s="26">
        <v>660</v>
      </c>
      <c r="F58" s="41"/>
      <c r="G58" s="42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I10" sqref="I1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79</v>
      </c>
      <c r="G1" s="42"/>
      <c r="H1" s="57" t="s">
        <v>118</v>
      </c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119</v>
      </c>
      <c r="J2" s="27" t="s">
        <v>6</v>
      </c>
    </row>
    <row r="3" spans="1:10" ht="18.75" customHeight="1">
      <c r="A3" s="45">
        <f>(E3-F3)/D3</f>
        <v>22486.991817607126</v>
      </c>
      <c r="B3" s="49">
        <f>E3/D3</f>
        <v>22486.991817607126</v>
      </c>
      <c r="C3" s="128">
        <f>H3</f>
        <v>22210.73184</v>
      </c>
      <c r="D3" s="56">
        <f>SUM(D7:D505)</f>
        <v>0.72765999999999997</v>
      </c>
      <c r="E3" s="59">
        <f>SUM(E7:E505)</f>
        <v>16362.884466</v>
      </c>
      <c r="F3" s="59">
        <f>SUM(F6:G505)</f>
        <v>0</v>
      </c>
      <c r="G3" s="7">
        <f>G4/E3</f>
        <v>-1.2285323881819259E-2</v>
      </c>
      <c r="H3" s="51">
        <v>22210.73184</v>
      </c>
      <c r="I3" s="129">
        <f>投資!G2</f>
        <v>31.614000000000001</v>
      </c>
      <c r="J3" s="52">
        <f>SUM(J7:J505)</f>
        <v>510.03</v>
      </c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-201.02333530559918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120</v>
      </c>
      <c r="J5" s="47" t="s">
        <v>121</v>
      </c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62</v>
      </c>
      <c r="C7" s="36">
        <f t="shared" ref="C7:C70" si="0">H7*I7</f>
        <v>21975.382099999999</v>
      </c>
      <c r="D7" s="26">
        <v>0.24703</v>
      </c>
      <c r="E7" s="26">
        <f t="shared" ref="E7:E70" si="1">J7*I7</f>
        <v>5429.0993399999998</v>
      </c>
      <c r="F7" s="41"/>
      <c r="G7" s="42"/>
      <c r="H7" s="20">
        <v>688.15</v>
      </c>
      <c r="I7" s="20">
        <v>31.934000000000001</v>
      </c>
      <c r="J7" s="20">
        <v>170.01</v>
      </c>
    </row>
    <row r="8" spans="1:10">
      <c r="A8" s="17">
        <v>3</v>
      </c>
      <c r="B8" s="25" t="s">
        <v>63</v>
      </c>
      <c r="C8" s="36">
        <f t="shared" si="0"/>
        <v>22899.817332000002</v>
      </c>
      <c r="D8" s="26">
        <v>0.24018</v>
      </c>
      <c r="E8" s="26">
        <f t="shared" si="1"/>
        <v>5500.2655260000001</v>
      </c>
      <c r="F8" s="41"/>
      <c r="G8" s="42"/>
      <c r="H8" s="20">
        <v>707.82</v>
      </c>
      <c r="I8" s="20">
        <v>32.352600000000002</v>
      </c>
      <c r="J8" s="20">
        <v>170.01</v>
      </c>
    </row>
    <row r="9" spans="1:10">
      <c r="A9" s="17">
        <v>4</v>
      </c>
      <c r="B9" s="25" t="s">
        <v>172</v>
      </c>
      <c r="C9" s="36">
        <f t="shared" si="0"/>
        <v>22596.678800000002</v>
      </c>
      <c r="D9" s="26">
        <v>0.24045</v>
      </c>
      <c r="E9" s="26">
        <f t="shared" si="1"/>
        <v>5433.5195999999996</v>
      </c>
      <c r="F9" s="41"/>
      <c r="G9" s="42"/>
      <c r="H9" s="20">
        <v>707.03</v>
      </c>
      <c r="I9" s="20">
        <v>31.96</v>
      </c>
      <c r="J9" s="20">
        <v>170.01</v>
      </c>
    </row>
    <row r="10" spans="1:10">
      <c r="A10" s="17">
        <v>5</v>
      </c>
      <c r="B10" s="25"/>
      <c r="C10" s="36">
        <f t="shared" si="0"/>
        <v>0</v>
      </c>
      <c r="D10" s="26"/>
      <c r="E10" s="18">
        <f t="shared" si="1"/>
        <v>0</v>
      </c>
      <c r="F10" s="41"/>
      <c r="G10" s="42"/>
      <c r="H10" s="20"/>
      <c r="I10" s="20"/>
      <c r="J10" s="20"/>
    </row>
    <row r="11" spans="1:10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41"/>
      <c r="G11" s="42"/>
      <c r="H11" s="20"/>
      <c r="I11" s="20"/>
      <c r="J11" s="20"/>
    </row>
    <row r="12" spans="1:10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41"/>
      <c r="G12" s="42"/>
      <c r="H12" s="20"/>
      <c r="I12" s="20"/>
      <c r="J12" s="20"/>
    </row>
    <row r="13" spans="1:10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41"/>
      <c r="G13" s="42"/>
      <c r="H13" s="20"/>
      <c r="I13" s="20"/>
      <c r="J13" s="20"/>
    </row>
    <row r="14" spans="1:10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41"/>
      <c r="G14" s="42"/>
      <c r="H14" s="20"/>
      <c r="I14" s="20"/>
      <c r="J14" s="20"/>
    </row>
    <row r="15" spans="1:10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41"/>
      <c r="G15" s="42"/>
      <c r="H15" s="20"/>
      <c r="I15" s="20"/>
      <c r="J15" s="20"/>
    </row>
    <row r="16" spans="1:10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41"/>
      <c r="G16" s="42"/>
      <c r="H16" s="20"/>
      <c r="I16" s="20"/>
      <c r="J16" s="20"/>
    </row>
    <row r="17" spans="1:10" s="12" customFormat="1" ht="16.5" customHeight="1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41"/>
      <c r="G24" s="42"/>
      <c r="H24" s="20"/>
      <c r="I24" s="20"/>
      <c r="J24" s="20"/>
    </row>
    <row r="25" spans="1:10" s="12" customFormat="1" ht="16.5" customHeight="1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41"/>
      <c r="G27" s="42"/>
      <c r="H27" s="20"/>
      <c r="I27" s="20"/>
      <c r="J27" s="20"/>
    </row>
    <row r="28" spans="1:10" s="12" customFormat="1" ht="16.5" customHeight="1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41"/>
      <c r="G28" s="42"/>
      <c r="H28" s="20"/>
      <c r="I28" s="20"/>
      <c r="J28" s="20"/>
    </row>
    <row r="29" spans="1:10" s="12" customFormat="1" ht="16.5" customHeight="1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41"/>
      <c r="G30" s="42"/>
      <c r="H30" s="20"/>
      <c r="I30" s="20"/>
      <c r="J30" s="20"/>
    </row>
    <row r="31" spans="1:10" s="12" customFormat="1" ht="16.5" customHeight="1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41"/>
      <c r="G33" s="42"/>
      <c r="H33" s="20"/>
      <c r="I33" s="20"/>
      <c r="J33" s="20"/>
    </row>
    <row r="34" spans="1:10" s="12" customFormat="1" ht="16.5" customHeight="1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41"/>
      <c r="G40" s="42"/>
      <c r="H40" s="20"/>
      <c r="I40" s="20"/>
      <c r="J40" s="20"/>
    </row>
    <row r="41" spans="1:10" s="12" customFormat="1" ht="16.5" customHeight="1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41"/>
      <c r="G43" s="42"/>
      <c r="H43" s="20"/>
      <c r="I43" s="20"/>
      <c r="J43" s="20"/>
    </row>
    <row r="44" spans="1:10" s="12" customFormat="1" ht="16.5" customHeight="1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41"/>
      <c r="G44" s="42"/>
      <c r="H44" s="20"/>
      <c r="I44" s="20"/>
      <c r="J44" s="20"/>
    </row>
    <row r="45" spans="1:10" s="12" customFormat="1" ht="16.5" customHeight="1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41"/>
      <c r="G50" s="42"/>
      <c r="H50" s="20"/>
      <c r="I50" s="20"/>
      <c r="J50" s="20"/>
    </row>
    <row r="51" spans="1:10" s="12" customFormat="1" ht="16.5" customHeight="1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42:G42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238:G238"/>
    <mergeCell ref="F474:G474"/>
    <mergeCell ref="F17:G17"/>
    <mergeCell ref="F188:G188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141</v>
      </c>
      <c r="G1" s="42"/>
      <c r="H1" s="57"/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/>
      <c r="I2" s="27"/>
      <c r="J2" s="19"/>
    </row>
    <row r="3" spans="1:10" ht="18.75" customHeight="1">
      <c r="A3" s="45" t="e">
        <f>(E3-F3)/D3</f>
        <v>#DIV/0!</v>
      </c>
      <c r="B3" s="49" t="e">
        <f>E3/D3</f>
        <v>#DIV/0!</v>
      </c>
      <c r="C3" s="128" t="s">
        <v>142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55"/>
      <c r="J3" s="52"/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/>
      <c r="I5" s="47"/>
      <c r="J5" s="47"/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17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>
      <c r="A8" s="17">
        <v>3</v>
      </c>
      <c r="B8" s="25" t="s">
        <v>18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>
      <c r="A9" s="17">
        <v>4</v>
      </c>
      <c r="B9" s="25" t="s">
        <v>19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>
      <c r="A10" s="17">
        <v>5</v>
      </c>
      <c r="B10" s="25" t="s">
        <v>21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143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24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>
      <c r="A13" s="17">
        <v>8</v>
      </c>
      <c r="B13" s="25" t="s">
        <v>25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106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>
      <c r="A15" s="17">
        <v>10</v>
      </c>
      <c r="B15" s="25" t="s">
        <v>27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144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28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29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30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31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32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33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34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108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109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35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37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40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41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110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111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42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43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44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45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46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47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48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49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112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113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50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145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146</v>
      </c>
      <c r="G1" s="42"/>
      <c r="H1" s="57" t="s">
        <v>118</v>
      </c>
      <c r="I1" s="44"/>
      <c r="J1" s="42"/>
    </row>
    <row r="2" spans="1:10" ht="21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27" t="s">
        <v>4</v>
      </c>
      <c r="I2" s="27" t="s">
        <v>119</v>
      </c>
      <c r="J2" s="27" t="s">
        <v>6</v>
      </c>
    </row>
    <row r="3" spans="1:10" ht="18.75" customHeight="1">
      <c r="A3" s="45" t="e">
        <f>(E3-F3)/D3</f>
        <v>#DIV/0!</v>
      </c>
      <c r="B3" s="49" t="e">
        <f>E3/D3</f>
        <v>#DIV/0!</v>
      </c>
      <c r="C3" s="61">
        <f>H3*I3</f>
        <v>2345.1265200000003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147</v>
      </c>
      <c r="I3" s="55">
        <f>投資!G2</f>
        <v>31.614000000000001</v>
      </c>
      <c r="J3" s="52">
        <f>SUM(J7:J505)</f>
        <v>-41.149999999999864</v>
      </c>
    </row>
    <row r="4" spans="1:10" ht="18.75" customHeight="1">
      <c r="A4" s="46"/>
      <c r="B4" s="46"/>
      <c r="C4" s="62"/>
      <c r="D4" s="46"/>
      <c r="E4" s="46"/>
      <c r="F4" s="46"/>
      <c r="G4" s="32">
        <f>D3*C3-E3+F3</f>
        <v>443</v>
      </c>
      <c r="H4" s="48"/>
      <c r="I4" s="48"/>
      <c r="J4" s="48"/>
    </row>
    <row r="5" spans="1:10">
      <c r="A5" s="16" t="s">
        <v>9</v>
      </c>
      <c r="B5" s="24" t="s">
        <v>10</v>
      </c>
      <c r="C5" s="16" t="s">
        <v>11</v>
      </c>
      <c r="D5" s="16" t="s">
        <v>12</v>
      </c>
      <c r="E5" s="16" t="s">
        <v>13</v>
      </c>
      <c r="F5" s="60" t="s">
        <v>14</v>
      </c>
      <c r="G5" s="42"/>
      <c r="H5" s="47" t="s">
        <v>11</v>
      </c>
      <c r="I5" s="47" t="s">
        <v>120</v>
      </c>
      <c r="J5" s="47" t="s">
        <v>121</v>
      </c>
    </row>
    <row r="6" spans="1:10">
      <c r="A6" s="17">
        <v>1</v>
      </c>
      <c r="B6" s="43" t="s">
        <v>15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103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148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>
      <c r="A9" s="17">
        <v>4</v>
      </c>
      <c r="B9" s="25" t="s">
        <v>122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149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149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20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>
      <c r="A13" s="17">
        <v>8</v>
      </c>
      <c r="B13" s="25" t="s">
        <v>21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150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>
      <c r="A15" s="17">
        <v>10</v>
      </c>
      <c r="B15" s="25" t="s">
        <v>24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151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25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106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152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27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126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153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29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154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30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155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31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156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32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157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>
      <c r="A31" s="17">
        <v>26</v>
      </c>
      <c r="B31" s="12" t="s">
        <v>33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158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34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159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35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160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37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161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40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162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41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163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164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42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43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165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44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166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45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167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46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168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>
      <c r="A53" s="17">
        <v>48</v>
      </c>
      <c r="B53" s="25" t="s">
        <v>47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169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>
      <c r="A55" s="17">
        <v>50</v>
      </c>
      <c r="B55" s="25" t="s">
        <v>170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>
      <c r="A56" s="17">
        <v>51</v>
      </c>
      <c r="B56" s="25" t="s">
        <v>112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>
      <c r="A57" s="17">
        <v>52</v>
      </c>
      <c r="B57" s="25" t="s">
        <v>132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>
      <c r="A58" s="17">
        <v>53</v>
      </c>
      <c r="B58" s="25" t="s">
        <v>133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2026-09-14T07:33:09Z</dcterms:modified>
  <dc:language>en-US</dc:language>
</cp:coreProperties>
</file>