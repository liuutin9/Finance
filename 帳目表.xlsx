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A8EC15B0-2F21-409E-9344-A0D86E1D381C}" xr6:coauthVersionLast="47" xr6:coauthVersionMax="47" xr10:uidLastSave="{00000000-0000-0000-0000-000000000000}"/>
  <bookViews>
    <workbookView xWindow="-110" yWindow="-110" windowWidth="19420" windowHeight="11500" tabRatio="679" activeTab="4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00692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7" l="1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F3" i="7"/>
  <c r="E3" i="7"/>
  <c r="B3" i="7" s="1"/>
  <c r="D3" i="7"/>
  <c r="G4" i="7" s="1"/>
  <c r="G3" i="7" s="1"/>
  <c r="C3" i="7"/>
  <c r="F3" i="6"/>
  <c r="E3" i="6"/>
  <c r="B3" i="6" s="1"/>
  <c r="D3" i="6"/>
  <c r="G4" i="6" s="1"/>
  <c r="G3" i="6" s="1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F53" i="5"/>
  <c r="C53" i="5"/>
  <c r="C52" i="5"/>
  <c r="C51" i="5"/>
  <c r="C50" i="5"/>
  <c r="I49" i="5"/>
  <c r="C49" i="5" s="1"/>
  <c r="E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F3" i="5"/>
  <c r="E3" i="5"/>
  <c r="D3" i="5"/>
  <c r="O2" i="1" s="1"/>
  <c r="O10" i="1" s="1"/>
  <c r="B10" i="2" s="1"/>
  <c r="C3" i="5"/>
  <c r="F3" i="3"/>
  <c r="E3" i="3"/>
  <c r="A3" i="2" s="1"/>
  <c r="D3" i="3"/>
  <c r="K2" i="1" s="1"/>
  <c r="C12" i="1"/>
  <c r="G10" i="1"/>
  <c r="C10" i="1"/>
  <c r="S7" i="1"/>
  <c r="S6" i="1"/>
  <c r="S5" i="1"/>
  <c r="S4" i="1"/>
  <c r="S3" i="1"/>
  <c r="S2" i="1"/>
  <c r="S10" i="1" s="1"/>
  <c r="B17" i="2" s="1"/>
  <c r="C18" i="2" s="1"/>
  <c r="C17" i="2" s="1"/>
  <c r="F3" i="4"/>
  <c r="E3" i="4"/>
  <c r="B3" i="4" s="1"/>
  <c r="D3" i="4"/>
  <c r="G4" i="4" s="1"/>
  <c r="G3" i="4" s="1"/>
  <c r="B3" i="5" l="1"/>
  <c r="G4" i="5"/>
  <c r="G3" i="5" s="1"/>
  <c r="A3" i="4"/>
  <c r="A3" i="3"/>
  <c r="A3" i="6"/>
  <c r="A10" i="2"/>
  <c r="E10" i="2" s="1"/>
  <c r="K3" i="1"/>
  <c r="K10" i="1" s="1"/>
  <c r="B3" i="3"/>
  <c r="G4" i="3"/>
  <c r="G3" i="3" s="1"/>
  <c r="A3" i="5"/>
  <c r="A3" i="7"/>
  <c r="B3" i="2" l="1"/>
  <c r="A12" i="1"/>
  <c r="C11" i="2"/>
  <c r="C10" i="2" s="1"/>
  <c r="A16" i="1" l="1"/>
  <c r="C16" i="1"/>
  <c r="F10" i="2"/>
  <c r="G11" i="2" s="1"/>
  <c r="G10" i="2" s="1"/>
  <c r="C4" i="2"/>
  <c r="C3" i="2" s="1"/>
</calcChain>
</file>

<file path=xl/sharedStrings.xml><?xml version="1.0" encoding="utf-8"?>
<sst xmlns="http://schemas.openxmlformats.org/spreadsheetml/2006/main" count="380" uniqueCount="161">
  <si>
    <t>存股統計專用表格</t>
  </si>
  <si>
    <t>2890.TW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</si>
  <si>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</si>
  <si>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</si>
  <si>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</si>
  <si>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</si>
  <si>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</si>
  <si>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</si>
  <si>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</si>
  <si>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</si>
  <si>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</si>
  <si>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</si>
  <si>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</si>
  <si>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</si>
  <si>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</si>
  <si>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</si>
  <si>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2023.08.07</t>
  </si>
  <si>
    <t>2023.08.09</t>
  </si>
  <si>
    <t>2023.08.18</t>
  </si>
  <si>
    <t>2023.09.11</t>
  </si>
  <si>
    <t>2023.09.13</t>
  </si>
  <si>
    <t>2023.10.06</t>
  </si>
  <si>
    <t>2023.10.25</t>
  </si>
  <si>
    <t>2023.10.31</t>
  </si>
  <si>
    <t>2023.11.06</t>
  </si>
  <si>
    <t>2023.12.06</t>
  </si>
  <si>
    <t>2023.12.07</t>
  </si>
  <si>
    <t>2024.01.08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</si>
  <si>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</si>
  <si>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</si>
  <si>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</si>
  <si>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</si>
  <si>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</si>
  <si>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</si>
  <si>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</si>
  <si>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2024.09.06</t>
  </si>
  <si>
    <t>2024.09.27</t>
  </si>
  <si>
    <t>2024.10.07</t>
  </si>
  <si>
    <t>2024.10.17</t>
  </si>
  <si>
    <t>2024.10.21</t>
  </si>
  <si>
    <t>2024.11.06</t>
  </si>
  <si>
    <t>2024.12.06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</si>
  <si>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</si>
  <si>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</si>
  <si>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</si>
  <si>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</si>
  <si>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</si>
  <si>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</si>
  <si>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</si>
  <si>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</si>
  <si>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2025.09.08</t>
  </si>
  <si>
    <t>2025.09.22</t>
  </si>
  <si>
    <t>2025.09.26</t>
  </si>
  <si>
    <t>2025.10.07</t>
  </si>
  <si>
    <t>2025.11.06</t>
  </si>
  <si>
    <t>2025.12.08</t>
  </si>
  <si>
    <t>2026.01.06</t>
  </si>
  <si>
    <t>2026.02.06</t>
  </si>
  <si>
    <t>2026.03.06</t>
  </si>
  <si>
    <t>2026.04.07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</si>
  <si>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</si>
  <si>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</si>
  <si>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</si>
  <si>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</si>
  <si>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</si>
  <si>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</si>
  <si>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</si>
  <si>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</si>
  <si>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</si>
  <si>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</si>
  <si>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</si>
  <si>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</si>
  <si>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</si>
  <si>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</si>
  <si>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</si>
  <si>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</si>
  <si>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</si>
  <si>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</si>
  <si>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</si>
  <si>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</si>
  <si>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</si>
  <si>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</si>
  <si>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</si>
  <si>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</si>
  <si>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</si>
  <si>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</si>
  <si>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</si>
  <si>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</si>
  <si>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</si>
  <si>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</si>
  <si>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</si>
  <si>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</si>
  <si>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</si>
  <si>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</si>
  <si>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</si>
  <si>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006208.TW</t>
  </si>
  <si>
    <t>2023.07.17</t>
  </si>
  <si>
    <t>2023.07.21</t>
  </si>
  <si>
    <t>2023.10.26</t>
  </si>
  <si>
    <t>2023.12.12</t>
  </si>
  <si>
    <t>2024.02.01</t>
  </si>
  <si>
    <t>2024.08.09</t>
  </si>
  <si>
    <t>2024.08.16</t>
  </si>
  <si>
    <t>2024.12.12</t>
  </si>
  <si>
    <t>2024.12.19</t>
  </si>
  <si>
    <t>2025.08.08</t>
  </si>
  <si>
    <t>2025.08.13</t>
  </si>
  <si>
    <t>2025.12.11</t>
  </si>
  <si>
    <t>2025.12.16</t>
  </si>
  <si>
    <t>USD</t>
  </si>
  <si>
    <t>目前匯率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</si>
  <si>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</si>
  <si>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</si>
  <si>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</si>
  <si>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</si>
  <si>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</si>
  <si>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</si>
  <si>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</si>
  <si>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</si>
  <si>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</si>
  <si>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</si>
  <si>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</si>
  <si>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</si>
  <si>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</si>
  <si>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</si>
  <si>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</si>
  <si>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</si>
  <si>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</si>
  <si>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</si>
  <si>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2026.03.27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</si>
  <si>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</si>
  <si>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</si>
  <si>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</si>
  <si>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</si>
  <si>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</si>
  <si>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</si>
  <si>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</si>
  <si>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</si>
  <si>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</si>
  <si>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</si>
  <si>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</si>
  <si>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</si>
  <si>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</si>
  <si>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</si>
  <si>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</si>
  <si>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</si>
  <si>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</si>
  <si>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</si>
  <si>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</si>
  <si>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</si>
  <si>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</si>
  <si>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</si>
  <si>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</si>
  <si>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</si>
  <si>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</si>
  <si>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</si>
  <si>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</si>
  <si>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</si>
  <si>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</si>
  <si>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</si>
  <si>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2026.04.09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</si>
</sst>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281-4B7B-8767-EB6F742D464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281-4B7B-8767-EB6F742D464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281-4B7B-8767-EB6F742D464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281-4B7B-8767-EB6F742D46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281-4B7B-8767-EB6F742D464F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517305</c:v>
                </c:pt>
                <c:pt idx="1">
                  <c:v>19850.84375</c:v>
                </c:pt>
                <c:pt idx="2">
                  <c:v>322244.40784999996</c:v>
                </c:pt>
                <c:pt idx="3">
                  <c:v>234416.24595236246</c:v>
                </c:pt>
                <c:pt idx="4">
                  <c:v>235017.91837499998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281-4B7B-8767-EB6F742D464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B4B-4B10-86B9-888E4436FD9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B4B-4B10-86B9-888E4436FD9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B4B-4B10-86B9-888E4436FD9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B4B-4B10-86B9-888E4436FD9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B4B-4B10-86B9-888E4436FD9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B4B-4B10-86B9-888E4436FD9D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154237.84414999999</c:v>
                </c:pt>
                <c:pt idx="1">
                  <c:v>168006.5637</c:v>
                </c:pt>
                <c:pt idx="2">
                  <c:v>234416.24595236246</c:v>
                </c:pt>
                <c:pt idx="3">
                  <c:v>69285.25275</c:v>
                </c:pt>
                <c:pt idx="4">
                  <c:v>7473.4647500000001</c:v>
                </c:pt>
                <c:pt idx="5">
                  <c:v>9860.0214999999989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B4B-4B10-86B9-888E4436FD9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S4" sqref="S4:T4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114" t="s">
        <v>60</v>
      </c>
      <c r="B1" s="68"/>
      <c r="C1" s="68"/>
      <c r="D1" s="69"/>
      <c r="E1" s="81" t="s">
        <v>61</v>
      </c>
      <c r="F1" s="68"/>
      <c r="G1" s="68"/>
      <c r="H1" s="69"/>
      <c r="I1" s="67" t="s">
        <v>62</v>
      </c>
      <c r="J1" s="68"/>
      <c r="K1" s="68"/>
      <c r="L1" s="69"/>
      <c r="M1" s="115" t="s">
        <v>63</v>
      </c>
      <c r="N1" s="68"/>
      <c r="O1" s="68"/>
      <c r="P1" s="69"/>
      <c r="Q1" s="103" t="s">
        <v>64</v>
      </c>
      <c r="R1" s="68"/>
      <c r="S1" s="68"/>
      <c r="T1" s="69"/>
    </row>
    <row r="2" spans="1:26" ht="17.25" customHeight="1">
      <c r="A2" s="121" t="s">
        <v>65</v>
      </c>
      <c r="B2" s="122"/>
      <c r="C2" s="123">
        <v>224827</v>
      </c>
      <c r="D2" s="78"/>
      <c r="E2" s="124" t="s">
        <v>66</v>
      </c>
      <c r="F2" s="122"/>
      <c r="G2" s="107">
        <v>4.72</v>
      </c>
      <c r="H2" s="78"/>
      <c r="I2" s="108" t="s">
        <v>67</v>
      </c>
      <c r="J2" s="87"/>
      <c r="K2" s="77">
        <f>'006208'!D3*'006208'!C3*0.997</f>
        <v>154237.84414999999</v>
      </c>
      <c r="L2" s="78"/>
      <c r="M2" s="113" t="s">
        <v>68</v>
      </c>
      <c r="N2" s="87"/>
      <c r="O2" s="85">
        <f>VT!H3*VT!D3</f>
        <v>234416.24595236246</v>
      </c>
      <c r="P2" s="78"/>
      <c r="Q2" s="86" t="s">
        <v>69</v>
      </c>
      <c r="R2" s="87"/>
      <c r="S2" s="116">
        <f>(682.1+1166.72+328.25)*投資!G2</f>
        <v>69285.25275</v>
      </c>
      <c r="T2" s="78"/>
    </row>
    <row r="3" spans="1:26" ht="17.25" customHeight="1">
      <c r="A3" s="71" t="s">
        <v>70</v>
      </c>
      <c r="B3" s="42"/>
      <c r="C3" s="66">
        <v>11601</v>
      </c>
      <c r="D3" s="64"/>
      <c r="E3" s="70" t="s">
        <v>71</v>
      </c>
      <c r="F3" s="42"/>
      <c r="G3" s="101">
        <v>521.76</v>
      </c>
      <c r="H3" s="64"/>
      <c r="I3" s="120" t="s">
        <v>72</v>
      </c>
      <c r="J3" s="99"/>
      <c r="K3" s="104">
        <f>'2890'!D3*'2890'!C3*0.997</f>
        <v>168006.5637</v>
      </c>
      <c r="L3" s="64"/>
      <c r="M3" s="111"/>
      <c r="N3" s="99"/>
      <c r="O3" s="63"/>
      <c r="P3" s="64"/>
      <c r="Q3" s="98" t="s">
        <v>73</v>
      </c>
      <c r="R3" s="99"/>
      <c r="S3" s="72">
        <f>234.83*投資!G2</f>
        <v>7473.4647500000001</v>
      </c>
      <c r="T3" s="64"/>
    </row>
    <row r="4" spans="1:26" ht="15.75" customHeight="1">
      <c r="A4" s="71" t="s">
        <v>74</v>
      </c>
      <c r="B4" s="42"/>
      <c r="C4" s="66">
        <v>120075</v>
      </c>
      <c r="D4" s="64"/>
      <c r="E4" s="70" t="s">
        <v>75</v>
      </c>
      <c r="F4" s="42"/>
      <c r="G4" s="101">
        <v>97.27</v>
      </c>
      <c r="H4" s="64"/>
      <c r="I4" s="120"/>
      <c r="J4" s="99"/>
      <c r="K4" s="104"/>
      <c r="L4" s="64"/>
      <c r="M4" s="111"/>
      <c r="N4" s="99"/>
      <c r="O4" s="63"/>
      <c r="P4" s="64"/>
      <c r="Q4" s="98" t="s">
        <v>76</v>
      </c>
      <c r="R4" s="99"/>
      <c r="S4" s="72">
        <f>309.82*投資!G2</f>
        <v>9860.0214999999989</v>
      </c>
      <c r="T4" s="64"/>
    </row>
    <row r="5" spans="1:26" ht="16.5" customHeight="1">
      <c r="A5" s="71" t="s">
        <v>77</v>
      </c>
      <c r="B5" s="42"/>
      <c r="C5" s="66">
        <v>0</v>
      </c>
      <c r="D5" s="64"/>
      <c r="E5" s="70"/>
      <c r="F5" s="42"/>
      <c r="G5" s="101"/>
      <c r="H5" s="64"/>
      <c r="I5" s="97"/>
      <c r="J5" s="42"/>
      <c r="K5" s="104"/>
      <c r="L5" s="64"/>
      <c r="M5" s="111"/>
      <c r="N5" s="99"/>
      <c r="O5" s="63"/>
      <c r="P5" s="64"/>
      <c r="Q5" s="98" t="s">
        <v>78</v>
      </c>
      <c r="R5" s="99"/>
      <c r="S5" s="72">
        <f>15.45*投資!G2</f>
        <v>491.69624999999996</v>
      </c>
      <c r="T5" s="64"/>
    </row>
    <row r="6" spans="1:26" ht="17.25" customHeight="1">
      <c r="A6" s="71" t="s">
        <v>79</v>
      </c>
      <c r="B6" s="42"/>
      <c r="C6" s="66">
        <v>2</v>
      </c>
      <c r="D6" s="64"/>
      <c r="E6" s="70"/>
      <c r="F6" s="42"/>
      <c r="G6" s="101"/>
      <c r="H6" s="64"/>
      <c r="I6" s="97"/>
      <c r="J6" s="42"/>
      <c r="K6" s="104"/>
      <c r="L6" s="64"/>
      <c r="M6" s="84"/>
      <c r="N6" s="42"/>
      <c r="O6" s="63"/>
      <c r="P6" s="64"/>
      <c r="Q6" s="65" t="s">
        <v>80</v>
      </c>
      <c r="R6" s="42"/>
      <c r="S6" s="72">
        <f>(502.19+483.32+301.6+2206.02+151.975)*投資!G2</f>
        <v>116005.466625</v>
      </c>
      <c r="T6" s="64"/>
    </row>
    <row r="7" spans="1:26" ht="17.25" customHeight="1">
      <c r="A7" s="71" t="s">
        <v>81</v>
      </c>
      <c r="B7" s="42"/>
      <c r="C7" s="66">
        <v>100000</v>
      </c>
      <c r="D7" s="64"/>
      <c r="E7" s="70"/>
      <c r="F7" s="42"/>
      <c r="G7" s="101"/>
      <c r="H7" s="64"/>
      <c r="I7" s="97"/>
      <c r="J7" s="42"/>
      <c r="K7" s="104"/>
      <c r="L7" s="64"/>
      <c r="M7" s="84"/>
      <c r="N7" s="42"/>
      <c r="O7" s="63"/>
      <c r="P7" s="64"/>
      <c r="Q7" s="65" t="s">
        <v>82</v>
      </c>
      <c r="R7" s="42"/>
      <c r="S7" s="72">
        <f>(501.74+500.68)*投資!G2</f>
        <v>31902.016500000002</v>
      </c>
      <c r="T7" s="64"/>
    </row>
    <row r="8" spans="1:26" ht="17.25" customHeight="1">
      <c r="A8" s="71" t="s">
        <v>83</v>
      </c>
      <c r="B8" s="42"/>
      <c r="C8" s="66">
        <v>60000</v>
      </c>
      <c r="D8" s="64"/>
      <c r="E8" s="70"/>
      <c r="F8" s="42"/>
      <c r="G8" s="101"/>
      <c r="H8" s="64"/>
      <c r="I8" s="97"/>
      <c r="J8" s="42"/>
      <c r="K8" s="104"/>
      <c r="L8" s="64"/>
      <c r="M8" s="84"/>
      <c r="N8" s="42"/>
      <c r="O8" s="63"/>
      <c r="P8" s="64"/>
      <c r="Q8" s="65"/>
      <c r="R8" s="42"/>
      <c r="S8" s="72"/>
      <c r="T8" s="64"/>
    </row>
    <row r="9" spans="1:26" ht="17.25" customHeight="1" thickBot="1">
      <c r="A9" s="88" t="s">
        <v>84</v>
      </c>
      <c r="B9" s="89"/>
      <c r="C9" s="117">
        <v>800</v>
      </c>
      <c r="D9" s="118"/>
      <c r="E9" s="119"/>
      <c r="F9" s="80"/>
      <c r="G9" s="105"/>
      <c r="H9" s="83"/>
      <c r="I9" s="106"/>
      <c r="J9" s="80"/>
      <c r="K9" s="109"/>
      <c r="L9" s="83"/>
      <c r="M9" s="110"/>
      <c r="N9" s="80"/>
      <c r="O9" s="112"/>
      <c r="P9" s="83"/>
      <c r="Q9" s="79"/>
      <c r="R9" s="80"/>
      <c r="S9" s="82"/>
      <c r="T9" s="83"/>
    </row>
    <row r="10" spans="1:26" ht="17.25" customHeight="1" thickBot="1">
      <c r="A10" s="73" t="s">
        <v>85</v>
      </c>
      <c r="B10" s="74"/>
      <c r="C10" s="75">
        <f>SUM(C2:D9)</f>
        <v>517305</v>
      </c>
      <c r="D10" s="76"/>
      <c r="E10" s="73" t="s">
        <v>85</v>
      </c>
      <c r="F10" s="74"/>
      <c r="G10" s="75">
        <f>SUM(G2:H9)*投資!G2</f>
        <v>19850.84375</v>
      </c>
      <c r="H10" s="76"/>
      <c r="I10" s="73" t="s">
        <v>85</v>
      </c>
      <c r="J10" s="74"/>
      <c r="K10" s="75">
        <f>SUM(K2:L9)</f>
        <v>322244.40784999996</v>
      </c>
      <c r="L10" s="76"/>
      <c r="M10" s="73" t="s">
        <v>85</v>
      </c>
      <c r="N10" s="74"/>
      <c r="O10" s="75">
        <f>SUM(O2:P9)</f>
        <v>234416.24595236246</v>
      </c>
      <c r="P10" s="76"/>
      <c r="Q10" s="73" t="s">
        <v>85</v>
      </c>
      <c r="R10" s="74"/>
      <c r="S10" s="75">
        <f>SUM(S2:T9)</f>
        <v>235017.91837499998</v>
      </c>
      <c r="T10" s="76"/>
    </row>
    <row r="11" spans="1:26" ht="31.5" customHeight="1" thickBot="1">
      <c r="A11" s="100" t="s">
        <v>86</v>
      </c>
      <c r="B11" s="76"/>
      <c r="C11" s="125" t="s">
        <v>87</v>
      </c>
      <c r="D11" s="76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90">
        <f>C10+G10+K10+O10+S10</f>
        <v>1328834.4159273624</v>
      </c>
      <c r="B12" s="69"/>
      <c r="C12" s="93">
        <f>12012</f>
        <v>12012</v>
      </c>
      <c r="D12" s="94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91"/>
      <c r="B13" s="92"/>
      <c r="C13" s="95"/>
      <c r="D13" s="96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100" t="s">
        <v>88</v>
      </c>
      <c r="B14" s="69"/>
      <c r="C14" s="125" t="s">
        <v>89</v>
      </c>
      <c r="D14" s="69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91"/>
      <c r="B15" s="92"/>
      <c r="C15" s="91"/>
      <c r="D15" s="92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90">
        <f>A12-C12</f>
        <v>1316822.4159273624</v>
      </c>
      <c r="B16" s="69"/>
      <c r="C16" s="102">
        <f>C12/A12</f>
        <v>9.0395009762123807E-3</v>
      </c>
      <c r="D16" s="69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91"/>
      <c r="B17" s="92"/>
      <c r="C17" s="91"/>
      <c r="D17" s="92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26" t="s">
        <v>62</v>
      </c>
      <c r="B1" s="44"/>
      <c r="C1" s="42"/>
      <c r="D1" s="3"/>
      <c r="E1" s="40" t="s">
        <v>90</v>
      </c>
      <c r="F1" s="40" t="s">
        <v>91</v>
      </c>
      <c r="G1" s="40" t="s">
        <v>92</v>
      </c>
    </row>
    <row r="2" spans="1:10" ht="21.75" customHeight="1">
      <c r="A2" s="4" t="s">
        <v>6</v>
      </c>
      <c r="B2" s="4" t="s">
        <v>93</v>
      </c>
      <c r="C2" s="4" t="s">
        <v>8</v>
      </c>
      <c r="D2" s="5"/>
      <c r="E2" s="6">
        <v>304</v>
      </c>
      <c r="F2" s="6">
        <v>0</v>
      </c>
      <c r="G2" s="28">
        <v>31.824999999999999</v>
      </c>
    </row>
    <row r="3" spans="1:10" ht="17.25" customHeight="1">
      <c r="A3" s="127">
        <f>('006208'!E3+'00692'!E3+'2890'!E3)-('006208'!F3+'00692'!F3+'2890'!F3)-E2+7345</f>
        <v>141733</v>
      </c>
      <c r="B3" s="127">
        <f>總資產!K10</f>
        <v>322244.40784999996</v>
      </c>
      <c r="C3" s="7">
        <f>C4/A3</f>
        <v>1.2736018277324261</v>
      </c>
      <c r="D3" s="8"/>
      <c r="E3" s="9"/>
      <c r="F3" s="9"/>
      <c r="G3" s="9"/>
    </row>
    <row r="4" spans="1:10" ht="17.25" customHeight="1">
      <c r="A4" s="46"/>
      <c r="B4" s="46"/>
      <c r="C4" s="29">
        <f>B3-A3</f>
        <v>180511.40784999996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26" t="s">
        <v>63</v>
      </c>
      <c r="B8" s="44"/>
      <c r="C8" s="42"/>
      <c r="D8" s="5"/>
      <c r="E8" s="126" t="s">
        <v>94</v>
      </c>
      <c r="F8" s="44"/>
      <c r="G8" s="42"/>
    </row>
    <row r="9" spans="1:10" ht="15" customHeight="1">
      <c r="A9" s="4" t="s">
        <v>6</v>
      </c>
      <c r="B9" s="4" t="s">
        <v>93</v>
      </c>
      <c r="C9" s="4" t="s">
        <v>8</v>
      </c>
      <c r="D9" s="5"/>
      <c r="E9" s="4" t="s">
        <v>6</v>
      </c>
      <c r="F9" s="4" t="s">
        <v>93</v>
      </c>
      <c r="G9" s="4" t="s">
        <v>8</v>
      </c>
    </row>
    <row r="10" spans="1:10" ht="18" customHeight="1">
      <c r="A10" s="127">
        <f>(BND!E3+VT!E3)-(BND!F3+VT!F3)</f>
        <v>185552.54663000003</v>
      </c>
      <c r="B10" s="127">
        <f>總資產!O10</f>
        <v>234416.24595236246</v>
      </c>
      <c r="C10" s="7">
        <f>C11/A10</f>
        <v>0.26334157202271552</v>
      </c>
      <c r="D10" s="5"/>
      <c r="E10" s="127">
        <f>A3+A10+A17</f>
        <v>580866.54663</v>
      </c>
      <c r="F10" s="127">
        <f>B3+B10+B17</f>
        <v>791678.5721773624</v>
      </c>
      <c r="G10" s="7">
        <f>G11/E10</f>
        <v>0.36292678029131759</v>
      </c>
    </row>
    <row r="11" spans="1:10" ht="18" customHeight="1">
      <c r="A11" s="46"/>
      <c r="B11" s="46"/>
      <c r="C11" s="29">
        <f>B10-A10</f>
        <v>48863.69932236243</v>
      </c>
      <c r="D11" s="5"/>
      <c r="E11" s="46"/>
      <c r="F11" s="46"/>
      <c r="G11" s="31">
        <f>F10-E10</f>
        <v>210812.0255473624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26" t="s">
        <v>64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6</v>
      </c>
      <c r="B16" s="4" t="s">
        <v>93</v>
      </c>
      <c r="C16" s="4" t="s">
        <v>8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27">
        <v>253581</v>
      </c>
      <c r="B17" s="127">
        <f>總資產!S10</f>
        <v>235017.91837499998</v>
      </c>
      <c r="C17" s="7">
        <f>C18/A17</f>
        <v>-7.3203755900481587E-2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46"/>
      <c r="B18" s="46"/>
      <c r="C18" s="29">
        <f>B17-A17</f>
        <v>-18563.081625000021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9" sqref="I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95</v>
      </c>
      <c r="G1" s="42"/>
      <c r="H1" s="57"/>
      <c r="I1" s="44"/>
      <c r="J1" s="42"/>
    </row>
    <row r="2" spans="1:10" ht="21.75" customHeight="1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/>
      <c r="I2" s="27"/>
      <c r="J2" s="19"/>
    </row>
    <row r="3" spans="1:10" ht="18.75" customHeight="1">
      <c r="A3" s="45">
        <f>(E3-F3)/D3</f>
        <v>100.31985731272295</v>
      </c>
      <c r="B3" s="49">
        <f>E3/D3</f>
        <v>105.03923900118906</v>
      </c>
      <c r="C3" s="128">
        <v>183.95</v>
      </c>
      <c r="D3" s="56">
        <f>SUM(D7:D505)</f>
        <v>841</v>
      </c>
      <c r="E3" s="59">
        <f>SUM(E7:E505)</f>
        <v>88338</v>
      </c>
      <c r="F3" s="59">
        <f>SUM(F6:G505)</f>
        <v>3969</v>
      </c>
      <c r="G3" s="7">
        <f>G4/E3</f>
        <v>0.79618001313138154</v>
      </c>
      <c r="H3" s="51"/>
      <c r="I3" s="55"/>
      <c r="J3" s="52"/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70332.949999999983</v>
      </c>
      <c r="H4" s="48"/>
      <c r="I4" s="48"/>
      <c r="J4" s="48"/>
    </row>
    <row r="5" spans="1:10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/>
      <c r="I5" s="47"/>
      <c r="J5" s="47"/>
    </row>
    <row r="6" spans="1:10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96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>
      <c r="A8" s="17">
        <v>3</v>
      </c>
      <c r="B8" s="25" t="s">
        <v>97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>
      <c r="A9" s="17">
        <v>4</v>
      </c>
      <c r="B9" s="25" t="s">
        <v>16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>
      <c r="A10" s="17">
        <v>5</v>
      </c>
      <c r="B10" s="25" t="s">
        <v>17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>
      <c r="A11" s="17">
        <v>6</v>
      </c>
      <c r="B11" s="25" t="s">
        <v>19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>
      <c r="A12" s="17">
        <v>7</v>
      </c>
      <c r="B12" s="25" t="s">
        <v>21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>
      <c r="A13" s="17">
        <v>8</v>
      </c>
      <c r="B13" s="25" t="s">
        <v>98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>
      <c r="A14" s="17">
        <v>9</v>
      </c>
      <c r="B14" s="25" t="s">
        <v>24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>
      <c r="A15" s="17">
        <v>10</v>
      </c>
      <c r="B15" s="25" t="s">
        <v>25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>
      <c r="A16" s="17">
        <v>11</v>
      </c>
      <c r="B16" s="25" t="s">
        <v>99</v>
      </c>
      <c r="C16" s="33"/>
      <c r="D16" s="26"/>
      <c r="E16" s="26"/>
      <c r="F16" s="41">
        <v>152</v>
      </c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99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 t="s">
        <v>27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100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28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 t="s">
        <v>29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 t="s">
        <v>30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31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32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>
      <c r="A25" s="17">
        <v>20</v>
      </c>
      <c r="B25" s="25" t="s">
        <v>33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 t="s">
        <v>34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101</v>
      </c>
      <c r="C27" s="33"/>
      <c r="D27" s="26"/>
      <c r="E27" s="26"/>
      <c r="F27" s="41">
        <v>279</v>
      </c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102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35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 t="s">
        <v>37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>
      <c r="A31" s="17">
        <v>26</v>
      </c>
      <c r="B31" s="25" t="s">
        <v>40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41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103</v>
      </c>
      <c r="C33" s="33"/>
      <c r="D33" s="26"/>
      <c r="E33" s="26"/>
      <c r="F33" s="41">
        <v>374</v>
      </c>
      <c r="G33" s="42"/>
      <c r="H33" s="20"/>
      <c r="I33" s="20"/>
      <c r="J33" s="20"/>
    </row>
    <row r="34" spans="1:10" s="12" customFormat="1" ht="16.5" customHeight="1">
      <c r="A34" s="17">
        <v>29</v>
      </c>
      <c r="B34" s="25" t="s">
        <v>104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42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43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43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 t="s">
        <v>44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45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46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47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 t="s">
        <v>48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49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>
      <c r="A44" s="17">
        <v>39</v>
      </c>
      <c r="B44" s="25" t="s">
        <v>105</v>
      </c>
      <c r="C44" s="33"/>
      <c r="D44" s="26"/>
      <c r="E44" s="26"/>
      <c r="F44" s="41">
        <v>647</v>
      </c>
      <c r="G44" s="42"/>
      <c r="H44" s="20"/>
      <c r="I44" s="20"/>
      <c r="J44" s="20"/>
    </row>
    <row r="45" spans="1:10" s="12" customFormat="1" ht="16.5" customHeight="1">
      <c r="A45" s="17">
        <v>40</v>
      </c>
      <c r="B45" s="25" t="s">
        <v>106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 t="s">
        <v>50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 t="s">
        <v>53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 t="s">
        <v>54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55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 t="s">
        <v>107</v>
      </c>
      <c r="C50" s="33"/>
      <c r="D50" s="26"/>
      <c r="E50" s="26"/>
      <c r="F50" s="41">
        <v>2517</v>
      </c>
      <c r="G50" s="42"/>
      <c r="H50" s="20"/>
      <c r="I50" s="20"/>
      <c r="J50" s="20"/>
    </row>
    <row r="51" spans="1:10" s="12" customFormat="1" ht="16.5" customHeight="1">
      <c r="A51" s="17">
        <v>46</v>
      </c>
      <c r="B51" s="25" t="s">
        <v>108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 t="s">
        <v>56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 t="s">
        <v>57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 t="s">
        <v>58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 t="s">
        <v>59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30" zoomScaleNormal="100" workbookViewId="0">
      <selection activeCell="H52" sqref="H52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</v>
      </c>
      <c r="G1" s="42"/>
      <c r="H1" s="57"/>
      <c r="I1" s="44"/>
      <c r="J1" s="42"/>
    </row>
    <row r="2" spans="1:10" ht="21.75" customHeight="1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/>
      <c r="I2" s="27"/>
      <c r="J2" s="19"/>
    </row>
    <row r="3" spans="1:10" ht="18.75" customHeight="1">
      <c r="A3" s="45">
        <f>(E3-F3)/D3</f>
        <v>17.064820271066587</v>
      </c>
      <c r="B3" s="49">
        <f>E3/D3</f>
        <v>18.673934394028677</v>
      </c>
      <c r="C3" s="61">
        <v>33.1</v>
      </c>
      <c r="D3" s="56">
        <f>SUM(D7:D505)</f>
        <v>5091</v>
      </c>
      <c r="E3" s="59">
        <f>SUM(E7:E505)</f>
        <v>95069</v>
      </c>
      <c r="F3" s="59">
        <f>SUM(F6:G505)</f>
        <v>8192</v>
      </c>
      <c r="G3" s="7">
        <f>G4/E3</f>
        <v>0.85869315970505644</v>
      </c>
      <c r="H3" s="51"/>
      <c r="I3" s="55"/>
      <c r="J3" s="52"/>
    </row>
    <row r="4" spans="1:10" ht="18.75" customHeight="1">
      <c r="A4" s="46"/>
      <c r="B4" s="46"/>
      <c r="C4" s="62"/>
      <c r="D4" s="46"/>
      <c r="E4" s="46"/>
      <c r="F4" s="46"/>
      <c r="G4" s="32">
        <f>D3*C3-E3+F3</f>
        <v>81635.100000000006</v>
      </c>
      <c r="H4" s="48"/>
      <c r="I4" s="48"/>
      <c r="J4" s="48"/>
    </row>
    <row r="5" spans="1:10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/>
      <c r="I5" s="47"/>
      <c r="J5" s="47"/>
    </row>
    <row r="6" spans="1:10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16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>
      <c r="A8" s="17">
        <v>3</v>
      </c>
      <c r="B8" s="25" t="s">
        <v>17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>
      <c r="A9" s="17">
        <v>4</v>
      </c>
      <c r="B9" s="25" t="s">
        <v>17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>
      <c r="A10" s="17">
        <v>5</v>
      </c>
      <c r="B10" s="25" t="s">
        <v>18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>
      <c r="A11" s="17">
        <v>6</v>
      </c>
      <c r="B11" s="25" t="s">
        <v>19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>
      <c r="A12" s="17">
        <v>7</v>
      </c>
      <c r="B12" s="25" t="s">
        <v>20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>
      <c r="A13" s="17">
        <v>8</v>
      </c>
      <c r="B13" s="25" t="s">
        <v>21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>
      <c r="A14" s="17">
        <v>9</v>
      </c>
      <c r="B14" s="25" t="s">
        <v>22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>
      <c r="A15" s="17">
        <v>10</v>
      </c>
      <c r="B15" s="25" t="s">
        <v>23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>
      <c r="A16" s="17">
        <v>11</v>
      </c>
      <c r="B16" s="25" t="s">
        <v>24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25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 t="s">
        <v>26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27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28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 t="s">
        <v>29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 t="s">
        <v>30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31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32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>
      <c r="A25" s="17">
        <v>20</v>
      </c>
      <c r="B25" s="20" t="s">
        <v>33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 t="s">
        <v>34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35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36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37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 t="s">
        <v>38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>
      <c r="A31" s="17">
        <v>26</v>
      </c>
      <c r="B31" s="25" t="s">
        <v>39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40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41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>
      <c r="A34" s="17">
        <v>29</v>
      </c>
      <c r="B34" s="25" t="s">
        <v>42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43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44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45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 t="s">
        <v>46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47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48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49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 t="s">
        <v>50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51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>
      <c r="A44" s="17">
        <v>39</v>
      </c>
      <c r="B44" s="25" t="s">
        <v>52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>
      <c r="A45" s="17">
        <v>40</v>
      </c>
      <c r="B45" s="25" t="s">
        <v>53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 t="s">
        <v>54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 t="s">
        <v>55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 t="s">
        <v>56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57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 t="s">
        <v>58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>
      <c r="A51" s="17">
        <v>46</v>
      </c>
      <c r="B51" s="25" t="s">
        <v>59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tabSelected="1" topLeftCell="A42" zoomScaleNormal="100" workbookViewId="0">
      <selection activeCell="F57" sqref="F57:G57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68</v>
      </c>
      <c r="G1" s="42"/>
      <c r="H1" s="57" t="s">
        <v>109</v>
      </c>
      <c r="I1" s="44"/>
      <c r="J1" s="42"/>
    </row>
    <row r="2" spans="1:10" ht="21.75" customHeight="1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 t="s">
        <v>4</v>
      </c>
      <c r="I2" s="27" t="s">
        <v>110</v>
      </c>
      <c r="J2" s="27" t="s">
        <v>6</v>
      </c>
    </row>
    <row r="3" spans="1:10" ht="18.75" customHeight="1">
      <c r="A3" s="45">
        <f>(E3-F3)/D3</f>
        <v>3660.1718045098733</v>
      </c>
      <c r="B3" s="49">
        <f>E3/D3</f>
        <v>3734.0435738143474</v>
      </c>
      <c r="C3" s="128">
        <f>H3</f>
        <v>4613.0337499999996</v>
      </c>
      <c r="D3" s="56">
        <f>SUM(D7:D505)</f>
        <v>50.816069999999996</v>
      </c>
      <c r="E3" s="59">
        <f>SUM(E7:E505)</f>
        <v>189749.41963000002</v>
      </c>
      <c r="F3" s="59">
        <f>SUM(F6:G505)</f>
        <v>3753.8729999999996</v>
      </c>
      <c r="G3" s="7">
        <f>G4/E3</f>
        <v>0.255182331607548</v>
      </c>
      <c r="H3" s="51">
        <v>4613.0337499999996</v>
      </c>
      <c r="I3" s="129">
        <f>投資!G2</f>
        <v>31.824999999999999</v>
      </c>
      <c r="J3" s="52">
        <f>SUM(J7:J505)</f>
        <v>6006.8500000000013</v>
      </c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48420.699322362438</v>
      </c>
      <c r="H4" s="48"/>
      <c r="I4" s="48"/>
      <c r="J4" s="48"/>
    </row>
    <row r="5" spans="1:10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 t="s">
        <v>11</v>
      </c>
      <c r="I5" s="47" t="s">
        <v>111</v>
      </c>
      <c r="J5" s="47" t="s">
        <v>112</v>
      </c>
    </row>
    <row r="6" spans="1:10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96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113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114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114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115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>
      <c r="A12" s="17">
        <v>7</v>
      </c>
      <c r="B12" s="25" t="s">
        <v>21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24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25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116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>
      <c r="A16" s="17">
        <v>11</v>
      </c>
      <c r="B16" s="25" t="s">
        <v>27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117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29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118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30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31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32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119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33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34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35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36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37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40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41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120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42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43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44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121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45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46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47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122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48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49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123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124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125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126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54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55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127</v>
      </c>
      <c r="C48" s="36">
        <f t="shared" si="0"/>
        <v>0</v>
      </c>
      <c r="D48" s="26"/>
      <c r="E48" s="26"/>
      <c r="F48" s="41">
        <f>36.62*投資!G2</f>
        <v>1165.4314999999999</v>
      </c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128</v>
      </c>
      <c r="C49" s="36">
        <f t="shared" si="0"/>
        <v>4542.3822499999997</v>
      </c>
      <c r="D49" s="26">
        <v>0.21018000000000001</v>
      </c>
      <c r="E49" s="26">
        <f>30.01*投資!G2</f>
        <v>955.06825000000003</v>
      </c>
      <c r="F49" s="41"/>
      <c r="G49" s="42"/>
      <c r="H49" s="20">
        <v>142.72999999999999</v>
      </c>
      <c r="I49" s="20">
        <f>投資!G2</f>
        <v>31.824999999999999</v>
      </c>
      <c r="J49" s="20">
        <v>30.01</v>
      </c>
    </row>
    <row r="50" spans="1:10" s="12" customFormat="1" ht="16.5" customHeight="1">
      <c r="A50" s="17">
        <v>45</v>
      </c>
      <c r="B50" s="25" t="s">
        <v>56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57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 t="s">
        <v>58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>
      <c r="A53" s="17">
        <v>48</v>
      </c>
      <c r="B53" s="25" t="s">
        <v>129</v>
      </c>
      <c r="C53" s="36">
        <f t="shared" si="0"/>
        <v>0</v>
      </c>
      <c r="D53" s="26"/>
      <c r="E53" s="26"/>
      <c r="F53" s="41">
        <f>11.42*投資!G2</f>
        <v>363.44149999999996</v>
      </c>
      <c r="G53" s="42"/>
      <c r="H53" s="20"/>
      <c r="I53" s="20"/>
      <c r="J53" s="20"/>
    </row>
    <row r="54" spans="1:10" s="12" customFormat="1" ht="16.5" customHeight="1">
      <c r="A54" s="17">
        <v>49</v>
      </c>
      <c r="B54" s="25" t="s">
        <v>160</v>
      </c>
      <c r="C54" s="36">
        <f t="shared" si="0"/>
        <v>4609.7600999999995</v>
      </c>
      <c r="D54" s="26">
        <v>0.97214999999999996</v>
      </c>
      <c r="E54" s="26">
        <v>4165</v>
      </c>
      <c r="F54" s="41"/>
      <c r="G54" s="42"/>
      <c r="H54" s="20">
        <v>144.01</v>
      </c>
      <c r="I54" s="20">
        <v>32.01</v>
      </c>
      <c r="J54" s="20">
        <v>140.01</v>
      </c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130</v>
      </c>
      <c r="G1" s="42"/>
      <c r="H1" s="57"/>
      <c r="I1" s="44"/>
      <c r="J1" s="42"/>
    </row>
    <row r="2" spans="1:10" ht="21.75" customHeight="1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/>
      <c r="I2" s="27"/>
      <c r="J2" s="19"/>
    </row>
    <row r="3" spans="1:10" ht="18.75" customHeight="1">
      <c r="A3" s="45" t="e">
        <f>(E3-F3)/D3</f>
        <v>#DIV/0!</v>
      </c>
      <c r="B3" s="49" t="e">
        <f>E3/D3</f>
        <v>#DIV/0!</v>
      </c>
      <c r="C3" s="128" t="s">
        <v>131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55"/>
      <c r="J3" s="52"/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/>
      <c r="I5" s="47"/>
      <c r="J5" s="47"/>
    </row>
    <row r="6" spans="1:10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17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>
      <c r="A8" s="17">
        <v>3</v>
      </c>
      <c r="B8" s="25" t="s">
        <v>18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>
      <c r="A9" s="17">
        <v>4</v>
      </c>
      <c r="B9" s="25" t="s">
        <v>19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>
      <c r="A10" s="17">
        <v>5</v>
      </c>
      <c r="B10" s="25" t="s">
        <v>21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>
      <c r="A11" s="17">
        <v>6</v>
      </c>
      <c r="B11" s="25" t="s">
        <v>132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>
      <c r="A12" s="17">
        <v>7</v>
      </c>
      <c r="B12" s="25" t="s">
        <v>24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>
      <c r="A13" s="17">
        <v>8</v>
      </c>
      <c r="B13" s="25" t="s">
        <v>25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>
      <c r="A14" s="17">
        <v>9</v>
      </c>
      <c r="B14" s="25" t="s">
        <v>99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>
      <c r="A15" s="17">
        <v>10</v>
      </c>
      <c r="B15" s="25" t="s">
        <v>27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>
      <c r="A16" s="17">
        <v>11</v>
      </c>
      <c r="B16" s="25" t="s">
        <v>133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28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 t="s">
        <v>29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30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31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 t="s">
        <v>32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 t="s">
        <v>33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34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101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>
      <c r="A25" s="17">
        <v>20</v>
      </c>
      <c r="B25" s="25" t="s">
        <v>102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 t="s">
        <v>35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37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40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41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 t="s">
        <v>103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>
      <c r="A31" s="17">
        <v>26</v>
      </c>
      <c r="B31" s="25" t="s">
        <v>104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42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43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>
      <c r="A34" s="17">
        <v>29</v>
      </c>
      <c r="B34" s="25" t="s">
        <v>44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45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46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47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 t="s">
        <v>48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49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105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106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 t="s">
        <v>50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134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135</v>
      </c>
      <c r="G1" s="42"/>
      <c r="H1" s="57" t="s">
        <v>109</v>
      </c>
      <c r="I1" s="44"/>
      <c r="J1" s="42"/>
    </row>
    <row r="2" spans="1:10" ht="21.75" customHeight="1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 t="s">
        <v>4</v>
      </c>
      <c r="I2" s="27" t="s">
        <v>110</v>
      </c>
      <c r="J2" s="27" t="s">
        <v>6</v>
      </c>
    </row>
    <row r="3" spans="1:10" ht="18.75" customHeight="1">
      <c r="A3" s="45" t="e">
        <f>(E3-F3)/D3</f>
        <v>#DIV/0!</v>
      </c>
      <c r="B3" s="49" t="e">
        <f>E3/D3</f>
        <v>#DIV/0!</v>
      </c>
      <c r="C3" s="61">
        <f>H3*I3</f>
        <v>2360.7785000000003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136</v>
      </c>
      <c r="I3" s="55">
        <f>投資!G2</f>
        <v>31.824999999999999</v>
      </c>
      <c r="J3" s="52">
        <f>SUM(J7:J505)</f>
        <v>-41.149999999999864</v>
      </c>
    </row>
    <row r="4" spans="1:10" ht="18.75" customHeight="1">
      <c r="A4" s="46"/>
      <c r="B4" s="46"/>
      <c r="C4" s="62"/>
      <c r="D4" s="46"/>
      <c r="E4" s="46"/>
      <c r="F4" s="46"/>
      <c r="G4" s="32">
        <f>D3*C3-E3+F3</f>
        <v>443</v>
      </c>
      <c r="H4" s="48"/>
      <c r="I4" s="48"/>
      <c r="J4" s="48"/>
    </row>
    <row r="5" spans="1:10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 t="s">
        <v>11</v>
      </c>
      <c r="I5" s="47" t="s">
        <v>111</v>
      </c>
      <c r="J5" s="47" t="s">
        <v>112</v>
      </c>
    </row>
    <row r="6" spans="1:10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96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137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>
      <c r="A9" s="17">
        <v>4</v>
      </c>
      <c r="B9" s="25" t="s">
        <v>113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138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138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20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>
      <c r="A13" s="17">
        <v>8</v>
      </c>
      <c r="B13" s="25" t="s">
        <v>21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139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>
      <c r="A15" s="17">
        <v>10</v>
      </c>
      <c r="B15" s="25" t="s">
        <v>24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140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25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99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141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27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117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142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29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143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>
      <c r="A25" s="17">
        <v>20</v>
      </c>
      <c r="B25" s="25" t="s">
        <v>30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144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31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145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32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146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>
      <c r="A31" s="17">
        <v>26</v>
      </c>
      <c r="B31" s="12" t="s">
        <v>33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147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34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148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35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149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37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150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40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151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41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152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153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>
      <c r="A44" s="17">
        <v>39</v>
      </c>
      <c r="B44" s="25" t="s">
        <v>42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43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154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>
      <c r="A47" s="17">
        <v>42</v>
      </c>
      <c r="B47" s="25" t="s">
        <v>44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155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45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156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>
      <c r="A51" s="17">
        <v>46</v>
      </c>
      <c r="B51" s="25" t="s">
        <v>46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157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>
      <c r="A53" s="17">
        <v>48</v>
      </c>
      <c r="B53" s="25" t="s">
        <v>47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158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>
      <c r="A55" s="17">
        <v>50</v>
      </c>
      <c r="B55" s="25" t="s">
        <v>159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>
      <c r="A56" s="17">
        <v>51</v>
      </c>
      <c r="B56" s="25" t="s">
        <v>105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>
      <c r="A57" s="17">
        <v>52</v>
      </c>
      <c r="B57" s="25" t="s">
        <v>123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>
      <c r="A58" s="17">
        <v>53</v>
      </c>
      <c r="B58" s="25" t="s">
        <v>124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</vt:lpstr>
      <vt:lpstr>2890</vt:lpstr>
      <vt:lpstr>VT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2026-04-10T05:38:03Z</dcterms:modified>
  <dc:language>en-US</dc:language>
</cp:coreProperties>
</file>