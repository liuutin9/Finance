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3943D8E5-D76D-43A1-A08D-DB9A9F3F798A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" sheetId="3" r:id="rId3"/>
    <sheet name="2890" sheetId="4" r:id="rId4"/>
    <sheet name="VT" sheetId="5" r:id="rId5"/>
    <sheet name="00692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" l="1"/>
  <c r="S6" i="1"/>
  <c r="S2" i="1"/>
  <c r="S5" i="1"/>
  <c r="S3" i="1"/>
  <c r="S4" i="1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F3" i="7"/>
  <c r="E3" i="7"/>
  <c r="B3" i="7" s="1"/>
  <c r="D3" i="7"/>
  <c r="G4" i="7" s="1"/>
  <c r="G3" i="7" s="1"/>
  <c r="C3" i="7"/>
  <c r="F3" i="6"/>
  <c r="E3" i="6"/>
  <c r="G4" i="6" s="1"/>
  <c r="G3" i="6" s="1"/>
  <c r="D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C49" i="5" s="1"/>
  <c r="E49" i="5"/>
  <c r="E3" i="5" s="1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C3" i="5" s="1"/>
  <c r="D3" i="5"/>
  <c r="F3" i="4"/>
  <c r="E3" i="4"/>
  <c r="D3" i="4"/>
  <c r="G4" i="4" s="1"/>
  <c r="G3" i="4" s="1"/>
  <c r="F3" i="3"/>
  <c r="E3" i="3"/>
  <c r="D3" i="3"/>
  <c r="K2" i="1" s="1"/>
  <c r="B3" i="3"/>
  <c r="C12" i="1"/>
  <c r="G10" i="1"/>
  <c r="C10" i="1"/>
  <c r="S10" i="1" l="1"/>
  <c r="B17" i="2" s="1"/>
  <c r="C18" i="2" s="1"/>
  <c r="C17" i="2" s="1"/>
  <c r="B3" i="4"/>
  <c r="A3" i="3"/>
  <c r="G4" i="3"/>
  <c r="G3" i="3" s="1"/>
  <c r="G4" i="5"/>
  <c r="G3" i="5" s="1"/>
  <c r="B3" i="5"/>
  <c r="A10" i="2"/>
  <c r="A3" i="5"/>
  <c r="O2" i="1"/>
  <c r="O10" i="1" s="1"/>
  <c r="B10" i="2" s="1"/>
  <c r="C11" i="2" s="1"/>
  <c r="C10" i="2" s="1"/>
  <c r="K3" i="1"/>
  <c r="K10" i="1" s="1"/>
  <c r="A3" i="6"/>
  <c r="A3" i="2"/>
  <c r="E10" i="2" s="1"/>
  <c r="A3" i="4"/>
  <c r="B3" i="6"/>
  <c r="A3" i="7"/>
  <c r="B3" i="2" l="1"/>
  <c r="A12" i="1"/>
  <c r="A16" i="1" l="1"/>
  <c r="C16" i="1"/>
  <c r="C4" i="2"/>
  <c r="C3" i="2" s="1"/>
  <c r="F10" i="2"/>
  <c r="G11" i="2" s="1"/>
  <c r="G10" i="2" s="1"/>
</calcChain>
</file>

<file path=xl/sharedStrings.xml><?xml version="1.0" encoding="utf-8"?>
<sst xmlns="http://schemas.openxmlformats.org/spreadsheetml/2006/main" count="375" uniqueCount="157">
  <si>
    <t>台股</t>
  </si>
  <si>
    <t>折讓款</t>
  </si>
  <si>
    <t>交易稅</t>
  </si>
  <si>
    <t>匯率</t>
  </si>
  <si>
    <t>總成本</t>
  </si>
  <si>
    <t>總現值</t>
  </si>
  <si>
    <t>報酬率(含息)</t>
  </si>
  <si>
    <t>美股</t>
  </si>
  <si>
    <t>Total</t>
  </si>
  <si>
    <t>加密貨幣</t>
  </si>
  <si>
    <t>新台幣</t>
  </si>
  <si>
    <t>美元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</si>
  <si>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</si>
  <si>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</si>
  <si>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</si>
  <si>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</si>
  <si>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</si>
  <si>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</si>
  <si>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</si>
  <si>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</si>
  <si>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</si>
  <si>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</si>
  <si>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</si>
  <si>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</si>
  <si>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SUI</t>
  </si>
  <si>
    <t>中國信託活存</t>
  </si>
  <si>
    <t>USDT</t>
  </si>
  <si>
    <t>華南Sny活存</t>
  </si>
  <si>
    <t>USDC</t>
  </si>
  <si>
    <t>定存</t>
  </si>
  <si>
    <t>錢包</t>
  </si>
  <si>
    <t>總計</t>
  </si>
  <si>
    <t>總資產</t>
  </si>
  <si>
    <t>負債</t>
  </si>
  <si>
    <t>淨資產</t>
  </si>
  <si>
    <t>負債率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</si>
  <si>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</si>
  <si>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</si>
  <si>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</si>
  <si>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</si>
  <si>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</si>
  <si>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</si>
  <si>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</si>
  <si>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</si>
  <si>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</si>
  <si>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</si>
  <si>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</si>
  <si>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</si>
  <si>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</si>
  <si>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</si>
  <si>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</si>
  <si>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</si>
  <si>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</si>
  <si>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</si>
  <si>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</si>
  <si>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</si>
  <si>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</si>
  <si>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</si>
  <si>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</si>
  <si>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</si>
  <si>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</si>
  <si>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</si>
  <si>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</si>
  <si>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</si>
  <si>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</si>
  <si>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</si>
  <si>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</si>
  <si>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</si>
  <si>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</si>
  <si>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</si>
  <si>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</si>
  <si>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</si>
  <si>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</si>
  <si>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</si>
  <si>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</si>
  <si>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</si>
  <si>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</si>
  <si>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</si>
  <si>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</si>
  <si>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</si>
  <si>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</si>
  <si>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</si>
  <si>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</si>
  <si>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</si>
  <si>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</si>
  <si>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</si>
  <si>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</si>
  <si>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</si>
  <si>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</si>
  <si>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</si>
  <si>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</si>
  <si>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</si>
  <si>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</si>
  <si>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</si>
  <si>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</si>
  <si>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</si>
  <si>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</si>
  <si>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</si>
  <si>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</si>
  <si>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</si>
  <si>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</si>
  <si>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</si>
  <si>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</si>
  <si>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</si>
  <si>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</si>
  <si>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</si>
  <si>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</si>
  <si>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</si>
  <si>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</si>
  <si>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</si>
  <si>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</si>
  <si>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</si>
  <si>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</si>
  <si>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</si>
  <si>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</si>
  <si>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</si>
  <si>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</si>
  <si>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</si>
  <si>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</si>
  <si>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</si>
  <si>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</si>
  <si>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</si>
  <si>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</si>
  <si>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</si>
  <si>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</si>
  <si>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</si>
  <si>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</si>
  <si>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</si>
  <si>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</si>
  <si>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</si>
  <si>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</si>
  <si>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</si>
  <si>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</si>
  <si>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</si>
  <si>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</si>
  <si>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</si>
  <si>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</si>
  <si>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</si>
  <si>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</si>
  <si>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</si>
  <si>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</si>
  <si>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</si>
  <si>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</si>
  <si>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</si>
  <si>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</si>
  <si>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</si>
  <si>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</si>
  <si>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</si>
  <si>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</si>
  <si>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</si>
  <si>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</si>
  <si>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</si>
  <si>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</si>
  <si>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</si>
  <si>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</si>
  <si>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</si>
  <si>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2026.03.06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</si>
</sst>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0" fontId="9" fillId="7" borderId="2" xfId="0" applyFont="1" applyFill="1" applyBorder="1" applyAlignment="1">
      <alignment horizontal="center" vertical="center"/>
    </xf>
    <xf numFmtId="0" fontId="0" fillId="0" borderId="18" xfId="0" applyBorder="1"/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0" fillId="0" borderId="17" xfId="0" applyBorder="1"/>
    <xf numFmtId="0" fontId="0" fillId="0" borderId="20" xfId="0" applyBorder="1"/>
    <xf numFmtId="0" fontId="0" fillId="0" borderId="21" xfId="0" applyBorder="1"/>
    <xf numFmtId="0" fontId="12" fillId="14" borderId="5" xfId="0" applyFont="1" applyFill="1" applyBorder="1" applyAlignment="1">
      <alignment horizontal="center" vertical="center"/>
    </xf>
    <xf numFmtId="0" fontId="0" fillId="0" borderId="14" xfId="0" applyBorder="1"/>
    <xf numFmtId="49" fontId="12" fillId="12" borderId="5" xfId="0" applyNumberFormat="1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0" fontId="9" fillId="5" borderId="1" xfId="0" applyFont="1" applyFill="1" applyBorder="1" applyAlignment="1">
      <alignment horizontal="center" vertical="center"/>
    </xf>
    <xf numFmtId="0" fontId="0" fillId="0" borderId="16" xfId="0" applyBorder="1"/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10" fillId="10" borderId="5" xfId="0" applyFont="1" applyFill="1" applyBorder="1" applyAlignment="1" applyProtection="1">
      <alignment horizontal="center" vertical="center"/>
      <protection locked="0"/>
    </xf>
    <xf numFmtId="40" fontId="11" fillId="18" borderId="10" xfId="0" applyNumberFormat="1" applyFont="1" applyFill="1" applyBorder="1" applyAlignment="1">
      <alignment horizontal="right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12" fillId="29" borderId="5" xfId="0" applyFont="1" applyFill="1" applyBorder="1" applyAlignment="1">
      <alignment horizontal="center" vertical="center"/>
    </xf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0" fontId="9" fillId="6" borderId="2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9" fillId="2" borderId="1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0" fillId="0" borderId="26" xfId="0" applyBorder="1" applyProtection="1"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5" fillId="19" borderId="11" xfId="0" applyFont="1" applyFill="1" applyBorder="1" applyAlignment="1" applyProtection="1">
      <alignment horizont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B8A-4DF4-B690-F90405FFD2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B8A-4DF4-B690-F90405FFD2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B8A-4DF4-B690-F90405FFD2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B8A-4DF4-B690-F90405FFD2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B8A-4DF4-B690-F90405FFD248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534120</c:v>
                </c:pt>
                <c:pt idx="1">
                  <c:v>133867.63710000002</c:v>
                </c:pt>
                <c:pt idx="2">
                  <c:v>307133.92569999996</c:v>
                </c:pt>
                <c:pt idx="3">
                  <c:v>227472.25907750399</c:v>
                </c:pt>
                <c:pt idx="4">
                  <c:v>139233.41999999998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B8A-4DF4-B690-F90405FFD24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FB-407F-9FF2-351BD633E2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FB-407F-9FF2-351BD633E2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FB-407F-9FF2-351BD633E2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FB-407F-9FF2-351BD633E2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FB-407F-9FF2-351BD633E2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FB-407F-9FF2-351BD633E24D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146108.7548</c:v>
                </c:pt>
                <c:pt idx="1">
                  <c:v>161025.17089999997</c:v>
                </c:pt>
                <c:pt idx="2">
                  <c:v>227472.25907750399</c:v>
                </c:pt>
                <c:pt idx="3">
                  <c:v>68056.555500000002</c:v>
                </c:pt>
                <c:pt idx="4">
                  <c:v>6768.9647999999997</c:v>
                </c:pt>
                <c:pt idx="5">
                  <c:v>8969.4526499999993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4FB-407F-9FF2-351BD633E24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S8" sqref="S8:T8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104" t="s">
        <v>10</v>
      </c>
      <c r="B1" s="60"/>
      <c r="C1" s="60"/>
      <c r="D1" s="52"/>
      <c r="E1" s="98" t="s">
        <v>11</v>
      </c>
      <c r="F1" s="60"/>
      <c r="G1" s="60"/>
      <c r="H1" s="52"/>
      <c r="I1" s="95" t="s">
        <v>0</v>
      </c>
      <c r="J1" s="60"/>
      <c r="K1" s="60"/>
      <c r="L1" s="52"/>
      <c r="M1" s="59" t="s">
        <v>7</v>
      </c>
      <c r="N1" s="60"/>
      <c r="O1" s="60"/>
      <c r="P1" s="52"/>
      <c r="Q1" s="77" t="s">
        <v>9</v>
      </c>
      <c r="R1" s="60"/>
      <c r="S1" s="60"/>
      <c r="T1" s="52"/>
    </row>
    <row r="2" spans="1:26" ht="17.25" customHeight="1">
      <c r="A2" s="74" t="s">
        <v>12</v>
      </c>
      <c r="B2" s="46"/>
      <c r="C2" s="41">
        <v>222392</v>
      </c>
      <c r="D2" s="42"/>
      <c r="E2" s="45" t="s">
        <v>13</v>
      </c>
      <c r="F2" s="46"/>
      <c r="G2" s="81">
        <v>4.5999999999999996</v>
      </c>
      <c r="H2" s="42"/>
      <c r="I2" s="82" t="s">
        <v>14</v>
      </c>
      <c r="J2" s="83"/>
      <c r="K2" s="96">
        <f>'006208'!D3*'006208'!C3*0.997</f>
        <v>146108.7548</v>
      </c>
      <c r="L2" s="42"/>
      <c r="M2" s="87" t="s">
        <v>15</v>
      </c>
      <c r="N2" s="83"/>
      <c r="O2" s="100">
        <f>VT!H3*VT!D3</f>
        <v>227472.25907750399</v>
      </c>
      <c r="P2" s="42"/>
      <c r="Q2" s="101" t="s">
        <v>16</v>
      </c>
      <c r="R2" s="83"/>
      <c r="S2" s="67">
        <f>(728.43+1054.5+350.17)*投資!G2</f>
        <v>68056.555500000002</v>
      </c>
      <c r="T2" s="42"/>
    </row>
    <row r="3" spans="1:26" ht="17.25" customHeight="1">
      <c r="A3" s="62" t="s">
        <v>17</v>
      </c>
      <c r="B3" s="44"/>
      <c r="C3" s="64">
        <v>25651</v>
      </c>
      <c r="D3" s="50"/>
      <c r="E3" s="65" t="s">
        <v>18</v>
      </c>
      <c r="F3" s="44"/>
      <c r="G3" s="49">
        <v>4191.22</v>
      </c>
      <c r="H3" s="50"/>
      <c r="I3" s="57" t="s">
        <v>19</v>
      </c>
      <c r="J3" s="56"/>
      <c r="K3" s="58">
        <f>'2890'!D3*'2890'!C3*0.997</f>
        <v>161025.17089999997</v>
      </c>
      <c r="L3" s="50"/>
      <c r="M3" s="55"/>
      <c r="N3" s="56"/>
      <c r="O3" s="88"/>
      <c r="P3" s="50"/>
      <c r="Q3" s="89" t="s">
        <v>20</v>
      </c>
      <c r="R3" s="56"/>
      <c r="S3" s="63">
        <f>212.16*投資!G2</f>
        <v>6768.9647999999997</v>
      </c>
      <c r="T3" s="50"/>
    </row>
    <row r="4" spans="1:26" ht="15.75" customHeight="1">
      <c r="A4" s="62" t="s">
        <v>21</v>
      </c>
      <c r="B4" s="44"/>
      <c r="C4" s="64">
        <v>120075</v>
      </c>
      <c r="D4" s="50"/>
      <c r="E4" s="65"/>
      <c r="F4" s="44"/>
      <c r="G4" s="49"/>
      <c r="H4" s="50"/>
      <c r="I4" s="57"/>
      <c r="J4" s="56"/>
      <c r="K4" s="58"/>
      <c r="L4" s="50"/>
      <c r="M4" s="55"/>
      <c r="N4" s="56"/>
      <c r="O4" s="88"/>
      <c r="P4" s="50"/>
      <c r="Q4" s="89" t="s">
        <v>22</v>
      </c>
      <c r="R4" s="56"/>
      <c r="S4" s="63">
        <f>281.13*投資!G2</f>
        <v>8969.4526499999993</v>
      </c>
      <c r="T4" s="50"/>
    </row>
    <row r="5" spans="1:26" ht="16.5" customHeight="1">
      <c r="A5" s="62" t="s">
        <v>23</v>
      </c>
      <c r="B5" s="44"/>
      <c r="C5" s="64">
        <v>0</v>
      </c>
      <c r="D5" s="50"/>
      <c r="E5" s="65"/>
      <c r="F5" s="44"/>
      <c r="G5" s="49"/>
      <c r="H5" s="50"/>
      <c r="I5" s="51"/>
      <c r="J5" s="44"/>
      <c r="K5" s="58"/>
      <c r="L5" s="50"/>
      <c r="M5" s="55"/>
      <c r="N5" s="56"/>
      <c r="O5" s="88"/>
      <c r="P5" s="50"/>
      <c r="Q5" s="89" t="s">
        <v>24</v>
      </c>
      <c r="R5" s="56"/>
      <c r="S5" s="63">
        <f>13.29*投資!G2</f>
        <v>424.01745</v>
      </c>
      <c r="T5" s="50"/>
    </row>
    <row r="6" spans="1:26" ht="17.25" customHeight="1">
      <c r="A6" s="62" t="s">
        <v>25</v>
      </c>
      <c r="B6" s="44"/>
      <c r="C6" s="64">
        <v>2</v>
      </c>
      <c r="D6" s="50"/>
      <c r="E6" s="65"/>
      <c r="F6" s="44"/>
      <c r="G6" s="49"/>
      <c r="H6" s="50"/>
      <c r="I6" s="51"/>
      <c r="J6" s="44"/>
      <c r="K6" s="58"/>
      <c r="L6" s="50"/>
      <c r="M6" s="43"/>
      <c r="N6" s="44"/>
      <c r="O6" s="88"/>
      <c r="P6" s="50"/>
      <c r="Q6" s="61" t="s">
        <v>26</v>
      </c>
      <c r="R6" s="44"/>
      <c r="S6" s="63">
        <f>(501.24+308.89+301.1)*投資!G2</f>
        <v>35453.793150000005</v>
      </c>
      <c r="T6" s="50"/>
    </row>
    <row r="7" spans="1:26" ht="17.25" customHeight="1">
      <c r="A7" s="62" t="s">
        <v>27</v>
      </c>
      <c r="B7" s="44"/>
      <c r="C7" s="64">
        <v>100000</v>
      </c>
      <c r="D7" s="50"/>
      <c r="E7" s="65"/>
      <c r="F7" s="44"/>
      <c r="G7" s="49"/>
      <c r="H7" s="50"/>
      <c r="I7" s="51"/>
      <c r="J7" s="44"/>
      <c r="K7" s="58"/>
      <c r="L7" s="50"/>
      <c r="M7" s="43"/>
      <c r="N7" s="44"/>
      <c r="O7" s="88"/>
      <c r="P7" s="50"/>
      <c r="Q7" s="61" t="s">
        <v>28</v>
      </c>
      <c r="R7" s="44"/>
      <c r="S7" s="63">
        <f>(500.73+112.36)*投資!G2</f>
        <v>19560.636450000002</v>
      </c>
      <c r="T7" s="50"/>
    </row>
    <row r="8" spans="1:26" ht="17.25" customHeight="1">
      <c r="A8" s="62" t="s">
        <v>29</v>
      </c>
      <c r="B8" s="44"/>
      <c r="C8" s="64">
        <v>60000</v>
      </c>
      <c r="D8" s="50"/>
      <c r="E8" s="65"/>
      <c r="F8" s="44"/>
      <c r="G8" s="49"/>
      <c r="H8" s="50"/>
      <c r="I8" s="51"/>
      <c r="J8" s="44"/>
      <c r="K8" s="58"/>
      <c r="L8" s="50"/>
      <c r="M8" s="43"/>
      <c r="N8" s="44"/>
      <c r="O8" s="88"/>
      <c r="P8" s="50"/>
      <c r="Q8" s="61"/>
      <c r="R8" s="44"/>
      <c r="S8" s="63"/>
      <c r="T8" s="50"/>
    </row>
    <row r="9" spans="1:26" ht="17.25" customHeight="1" thickBot="1">
      <c r="A9" s="102" t="s">
        <v>30</v>
      </c>
      <c r="B9" s="103"/>
      <c r="C9" s="70">
        <v>6000</v>
      </c>
      <c r="D9" s="71"/>
      <c r="E9" s="72"/>
      <c r="F9" s="73"/>
      <c r="G9" s="78"/>
      <c r="H9" s="79"/>
      <c r="I9" s="80"/>
      <c r="J9" s="73"/>
      <c r="K9" s="84"/>
      <c r="L9" s="79"/>
      <c r="M9" s="85"/>
      <c r="N9" s="73"/>
      <c r="O9" s="86"/>
      <c r="P9" s="79"/>
      <c r="Q9" s="97"/>
      <c r="R9" s="73"/>
      <c r="S9" s="99"/>
      <c r="T9" s="79"/>
    </row>
    <row r="10" spans="1:26" ht="17.25" customHeight="1" thickBot="1">
      <c r="A10" s="68" t="s">
        <v>31</v>
      </c>
      <c r="B10" s="69"/>
      <c r="C10" s="66">
        <f>SUM(C2:D9)</f>
        <v>534120</v>
      </c>
      <c r="D10" s="48"/>
      <c r="E10" s="68" t="s">
        <v>31</v>
      </c>
      <c r="F10" s="69"/>
      <c r="G10" s="66">
        <f>SUM(G2:H9)*投資!G2</f>
        <v>133867.63710000002</v>
      </c>
      <c r="H10" s="48"/>
      <c r="I10" s="68" t="s">
        <v>31</v>
      </c>
      <c r="J10" s="69"/>
      <c r="K10" s="66">
        <f>SUM(K2:L9)</f>
        <v>307133.92569999996</v>
      </c>
      <c r="L10" s="48"/>
      <c r="M10" s="68" t="s">
        <v>31</v>
      </c>
      <c r="N10" s="69"/>
      <c r="O10" s="66">
        <f>SUM(O2:P9)</f>
        <v>227472.25907750399</v>
      </c>
      <c r="P10" s="48"/>
      <c r="Q10" s="68" t="s">
        <v>31</v>
      </c>
      <c r="R10" s="69"/>
      <c r="S10" s="66">
        <f>SUM(S2:T9)</f>
        <v>139233.41999999998</v>
      </c>
      <c r="T10" s="48"/>
    </row>
    <row r="11" spans="1:26" ht="31.5" customHeight="1" thickBot="1">
      <c r="A11" s="94" t="s">
        <v>32</v>
      </c>
      <c r="B11" s="48"/>
      <c r="C11" s="47" t="s">
        <v>33</v>
      </c>
      <c r="D11" s="48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75">
        <f>C10+G10+K10+O10+S10</f>
        <v>1341827.2418775039</v>
      </c>
      <c r="B12" s="52"/>
      <c r="C12" s="90">
        <f>23010+9528</f>
        <v>32538</v>
      </c>
      <c r="D12" s="91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53"/>
      <c r="B13" s="54"/>
      <c r="C13" s="92"/>
      <c r="D13" s="93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94" t="s">
        <v>34</v>
      </c>
      <c r="B14" s="52"/>
      <c r="C14" s="47" t="s">
        <v>35</v>
      </c>
      <c r="D14" s="52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53"/>
      <c r="B15" s="54"/>
      <c r="C15" s="53"/>
      <c r="D15" s="54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75">
        <f>A12-C12</f>
        <v>1309289.2418775039</v>
      </c>
      <c r="B16" s="52"/>
      <c r="C16" s="76">
        <f>C12/A12</f>
        <v>2.424902326060422E-2</v>
      </c>
      <c r="D16" s="52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53"/>
      <c r="B17" s="54"/>
      <c r="C17" s="53"/>
      <c r="D17" s="54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D18" sqref="D18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0</v>
      </c>
      <c r="B1" s="106"/>
      <c r="C1" s="44"/>
      <c r="D1" s="3"/>
      <c r="E1" s="40" t="s">
        <v>1</v>
      </c>
      <c r="F1" s="40" t="s">
        <v>2</v>
      </c>
      <c r="G1" s="40" t="s">
        <v>3</v>
      </c>
    </row>
    <row r="2" spans="1:10" ht="21.75" customHeight="1">
      <c r="A2" s="4" t="s">
        <v>4</v>
      </c>
      <c r="B2" s="4" t="s">
        <v>5</v>
      </c>
      <c r="C2" s="4" t="s">
        <v>6</v>
      </c>
      <c r="D2" s="5"/>
      <c r="E2" s="6">
        <v>304</v>
      </c>
      <c r="F2" s="6">
        <v>0</v>
      </c>
      <c r="G2" s="28">
        <v>31.905000000000001</v>
      </c>
    </row>
    <row r="3" spans="1:10" ht="17.25" customHeight="1">
      <c r="A3" s="107">
        <f>('006208'!E3+'00692'!E3+'2890'!E3)-('006208'!F3+'00692'!F3+'2890'!F3)-E2+7345</f>
        <v>137866</v>
      </c>
      <c r="B3" s="107">
        <f>總資產!K10</f>
        <v>307133.92569999996</v>
      </c>
      <c r="C3" s="7">
        <f>C4/A3</f>
        <v>1.227771355519127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169267.92569999996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7</v>
      </c>
      <c r="B8" s="106"/>
      <c r="C8" s="44"/>
      <c r="D8" s="5"/>
      <c r="E8" s="105" t="s">
        <v>8</v>
      </c>
      <c r="F8" s="106"/>
      <c r="G8" s="44"/>
    </row>
    <row r="9" spans="1:10" ht="15" customHeight="1">
      <c r="A9" s="4" t="s">
        <v>4</v>
      </c>
      <c r="B9" s="4" t="s">
        <v>5</v>
      </c>
      <c r="C9" s="4" t="s">
        <v>6</v>
      </c>
      <c r="D9" s="5"/>
      <c r="E9" s="4" t="s">
        <v>4</v>
      </c>
      <c r="F9" s="4" t="s">
        <v>5</v>
      </c>
      <c r="G9" s="4" t="s">
        <v>6</v>
      </c>
    </row>
    <row r="10" spans="1:10" ht="18" customHeight="1">
      <c r="A10" s="107">
        <f>(BND!E3+VT!E3)-(BND!F3+VT!F3)</f>
        <v>181750.45933000001</v>
      </c>
      <c r="B10" s="107">
        <f>總資產!O10</f>
        <v>227472.25907750399</v>
      </c>
      <c r="C10" s="7">
        <f>C11/A10</f>
        <v>0.25156359943216422</v>
      </c>
      <c r="D10" s="5"/>
      <c r="E10" s="107">
        <f>A3+A10+A17</f>
        <v>478697.45932999998</v>
      </c>
      <c r="F10" s="107">
        <f>B3+B10+B17</f>
        <v>673839.60477750399</v>
      </c>
      <c r="G10" s="7">
        <f>G11/E10</f>
        <v>0.40765235253312415</v>
      </c>
    </row>
    <row r="11" spans="1:10" ht="18" customHeight="1">
      <c r="A11" s="108"/>
      <c r="B11" s="108"/>
      <c r="C11" s="29">
        <f>B10-A10</f>
        <v>45721.799747503974</v>
      </c>
      <c r="D11" s="5"/>
      <c r="E11" s="108"/>
      <c r="F11" s="108"/>
      <c r="G11" s="31">
        <f>F10-E10</f>
        <v>195142.14544750401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9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4</v>
      </c>
      <c r="B16" s="4" t="s">
        <v>5</v>
      </c>
      <c r="C16" s="4" t="s">
        <v>6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159081</v>
      </c>
      <c r="B17" s="107">
        <f>總資產!S10</f>
        <v>139233.41999999998</v>
      </c>
      <c r="C17" s="7">
        <f>C18/A17</f>
        <v>-0.12476398815697674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-19847.580000000016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48" sqref="I48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7" t="s">
        <v>36</v>
      </c>
      <c r="D1" s="118"/>
      <c r="E1" s="118"/>
      <c r="F1" s="114" t="s">
        <v>37</v>
      </c>
      <c r="G1" s="44"/>
      <c r="H1" s="115"/>
      <c r="I1" s="106"/>
      <c r="J1" s="44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25">
        <f>(E3-F3)/D3</f>
        <v>98.787621359223294</v>
      </c>
      <c r="B3" s="123">
        <f>E3/D3</f>
        <v>103.60436893203884</v>
      </c>
      <c r="C3" s="110">
        <v>177.85</v>
      </c>
      <c r="D3" s="116">
        <f>SUM(D7:D505)</f>
        <v>824</v>
      </c>
      <c r="E3" s="112">
        <f>SUM(E7:E505)</f>
        <v>85370</v>
      </c>
      <c r="F3" s="112">
        <f>SUM(F6:G505)</f>
        <v>3969</v>
      </c>
      <c r="G3" s="7">
        <f>G4/E3</f>
        <v>0.76311819140213177</v>
      </c>
      <c r="H3" s="119"/>
      <c r="I3" s="122"/>
      <c r="J3" s="120"/>
    </row>
    <row r="4" spans="1:10" ht="18.75" customHeight="1">
      <c r="A4" s="108"/>
      <c r="B4" s="108"/>
      <c r="C4" s="111"/>
      <c r="D4" s="108"/>
      <c r="E4" s="108"/>
      <c r="F4" s="108"/>
      <c r="G4" s="32">
        <f>D3*C3-E3+F3</f>
        <v>65147.399999999994</v>
      </c>
      <c r="H4" s="111"/>
      <c r="I4" s="111"/>
      <c r="J4" s="111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13" t="s">
        <v>48</v>
      </c>
      <c r="G5" s="44"/>
      <c r="H5" s="121"/>
      <c r="I5" s="121"/>
      <c r="J5" s="121"/>
    </row>
    <row r="6" spans="1:10">
      <c r="A6" s="17">
        <v>1</v>
      </c>
      <c r="B6" s="126" t="s">
        <v>49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50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51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52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53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54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55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56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57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58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59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60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61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67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69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70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72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73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74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75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78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79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80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81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82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83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84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85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86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87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88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89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90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91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92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93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94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 t="s">
        <v>156</v>
      </c>
      <c r="C54" s="33">
        <v>178.41</v>
      </c>
      <c r="D54" s="26">
        <v>17</v>
      </c>
      <c r="E54" s="26">
        <v>3034</v>
      </c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51" sqref="E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7" t="s">
        <v>36</v>
      </c>
      <c r="D1" s="118"/>
      <c r="E1" s="118"/>
      <c r="F1" s="114" t="s">
        <v>95</v>
      </c>
      <c r="G1" s="44"/>
      <c r="H1" s="115"/>
      <c r="I1" s="106"/>
      <c r="J1" s="44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25">
        <f>(E3-F3)/D3</f>
        <v>16.98163144380802</v>
      </c>
      <c r="B3" s="123">
        <f>E3/D3</f>
        <v>18.599644479557575</v>
      </c>
      <c r="C3" s="127">
        <v>31.9</v>
      </c>
      <c r="D3" s="116">
        <f>SUM(D7:D505)</f>
        <v>5063</v>
      </c>
      <c r="E3" s="112">
        <f>SUM(E7:E505)</f>
        <v>94170</v>
      </c>
      <c r="F3" s="112">
        <f>SUM(F6:G505)</f>
        <v>8192</v>
      </c>
      <c r="G3" s="7">
        <f>G4/E3</f>
        <v>0.80207815652543257</v>
      </c>
      <c r="H3" s="119"/>
      <c r="I3" s="122"/>
      <c r="J3" s="120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75531.699999999983</v>
      </c>
      <c r="H4" s="111"/>
      <c r="I4" s="111"/>
      <c r="J4" s="111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13" t="s">
        <v>48</v>
      </c>
      <c r="G5" s="44"/>
      <c r="H5" s="121"/>
      <c r="I5" s="121"/>
      <c r="J5" s="121"/>
    </row>
    <row r="6" spans="1:10">
      <c r="A6" s="17">
        <v>1</v>
      </c>
      <c r="B6" s="126" t="s">
        <v>49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52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53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54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57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62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63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64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65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67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68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72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77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78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80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81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82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84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87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88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89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90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93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94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156</v>
      </c>
      <c r="C50" s="34">
        <v>31.64</v>
      </c>
      <c r="D50" s="26">
        <v>28</v>
      </c>
      <c r="E50" s="26">
        <v>887</v>
      </c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F52" sqref="F52:G52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7" t="s">
        <v>36</v>
      </c>
      <c r="D1" s="118"/>
      <c r="E1" s="118"/>
      <c r="F1" s="114" t="s">
        <v>15</v>
      </c>
      <c r="G1" s="44"/>
      <c r="H1" s="115" t="s">
        <v>106</v>
      </c>
      <c r="I1" s="106"/>
      <c r="J1" s="44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 t="s">
        <v>40</v>
      </c>
      <c r="I2" s="27" t="s">
        <v>107</v>
      </c>
      <c r="J2" s="27" t="s">
        <v>4</v>
      </c>
    </row>
    <row r="3" spans="1:10" ht="18.75" customHeight="1">
      <c r="A3" s="125">
        <f>(E3-F3)/D3</f>
        <v>3655.2795071093933</v>
      </c>
      <c r="B3" s="123">
        <f>E3/D3</f>
        <v>3723.3592468248894</v>
      </c>
      <c r="C3" s="110">
        <f>H3*I3</f>
        <v>145604.56773600003</v>
      </c>
      <c r="D3" s="116">
        <f>SUM(D7:D505)</f>
        <v>49.843919999999997</v>
      </c>
      <c r="E3" s="112">
        <f>SUM(E7:E505)</f>
        <v>185586.82043000002</v>
      </c>
      <c r="F3" s="112">
        <f>SUM(F6:G505)</f>
        <v>3393.3611000000001</v>
      </c>
      <c r="G3" s="7">
        <f>G4/E3</f>
        <v>38.12398396688112</v>
      </c>
      <c r="H3" s="119">
        <v>4563.6912000000002</v>
      </c>
      <c r="I3" s="129">
        <f>投資!G2</f>
        <v>31.905000000000001</v>
      </c>
      <c r="J3" s="120">
        <f>SUM(J7:J505)</f>
        <v>5866.8400000000011</v>
      </c>
    </row>
    <row r="4" spans="1:10" ht="18.75" customHeight="1">
      <c r="A4" s="108"/>
      <c r="B4" s="108"/>
      <c r="C4" s="111"/>
      <c r="D4" s="108"/>
      <c r="E4" s="108"/>
      <c r="F4" s="108"/>
      <c r="G4" s="32">
        <f>D3*C3-E3+F3</f>
        <v>7075308.9665377662</v>
      </c>
      <c r="H4" s="111"/>
      <c r="I4" s="111"/>
      <c r="J4" s="111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13" t="s">
        <v>48</v>
      </c>
      <c r="G5" s="44"/>
      <c r="H5" s="121" t="s">
        <v>45</v>
      </c>
      <c r="I5" s="121" t="s">
        <v>108</v>
      </c>
      <c r="J5" s="121" t="s">
        <v>109</v>
      </c>
    </row>
    <row r="6" spans="1:10">
      <c r="A6" s="17">
        <v>1</v>
      </c>
      <c r="B6" s="126" t="s">
        <v>49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50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110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111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111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112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55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57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58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113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60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114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63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115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65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66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116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67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68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71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73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74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117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77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78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79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118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81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82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119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83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84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120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121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122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123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89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90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124</v>
      </c>
      <c r="C48" s="36">
        <f t="shared" si="0"/>
        <v>0</v>
      </c>
      <c r="D48" s="26"/>
      <c r="E48" s="26"/>
      <c r="F48" s="109">
        <f>36.62*投資!G2</f>
        <v>1168.3610999999999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125</v>
      </c>
      <c r="C49" s="36">
        <f t="shared" si="0"/>
        <v>4553.8006500000001</v>
      </c>
      <c r="D49" s="26">
        <v>0.21018000000000001</v>
      </c>
      <c r="E49" s="26">
        <f>30.01*投資!G2</f>
        <v>957.46905000000004</v>
      </c>
      <c r="F49" s="109"/>
      <c r="G49" s="44"/>
      <c r="H49" s="20">
        <v>142.72999999999999</v>
      </c>
      <c r="I49" s="20">
        <f>投資!G2</f>
        <v>31.905000000000001</v>
      </c>
      <c r="J49" s="20">
        <v>30.01</v>
      </c>
    </row>
    <row r="50" spans="1:10" s="12" customFormat="1" ht="16.5" customHeight="1">
      <c r="A50" s="17">
        <v>45</v>
      </c>
      <c r="B50" s="25" t="s">
        <v>93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94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 t="s">
        <v>156</v>
      </c>
      <c r="C52" s="36">
        <f t="shared" si="0"/>
        <v>4470.0361199999998</v>
      </c>
      <c r="D52" s="26">
        <v>0.91749000000000003</v>
      </c>
      <c r="E52" s="26">
        <v>4105</v>
      </c>
      <c r="F52" s="109"/>
      <c r="G52" s="44"/>
      <c r="H52" s="20">
        <v>141.69</v>
      </c>
      <c r="I52" s="20">
        <v>31.547999999999998</v>
      </c>
      <c r="J52" s="20">
        <v>130.01</v>
      </c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7" t="s">
        <v>36</v>
      </c>
      <c r="D1" s="118"/>
      <c r="E1" s="118"/>
      <c r="F1" s="114" t="s">
        <v>126</v>
      </c>
      <c r="G1" s="44"/>
      <c r="H1" s="115"/>
      <c r="I1" s="106"/>
      <c r="J1" s="44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/>
      <c r="I2" s="27"/>
      <c r="J2" s="19"/>
    </row>
    <row r="3" spans="1:10" ht="18.75" customHeight="1">
      <c r="A3" s="125" t="e">
        <f>(E3-F3)/D3</f>
        <v>#DIV/0!</v>
      </c>
      <c r="B3" s="123" t="e">
        <f>E3/D3</f>
        <v>#DIV/0!</v>
      </c>
      <c r="C3" s="110" t="s">
        <v>127</v>
      </c>
      <c r="D3" s="116">
        <f>SUM(D7:D505)</f>
        <v>0</v>
      </c>
      <c r="E3" s="112">
        <f>SUM(E7:E505)</f>
        <v>61650</v>
      </c>
      <c r="F3" s="112">
        <f>SUM(F6:G505)</f>
        <v>98204</v>
      </c>
      <c r="G3" s="7">
        <f>G4/E3</f>
        <v>0.59292781832927821</v>
      </c>
      <c r="H3" s="119"/>
      <c r="I3" s="122"/>
      <c r="J3" s="120"/>
    </row>
    <row r="4" spans="1:10" ht="18.75" customHeight="1">
      <c r="A4" s="108"/>
      <c r="B4" s="108"/>
      <c r="C4" s="111"/>
      <c r="D4" s="108"/>
      <c r="E4" s="108"/>
      <c r="F4" s="108"/>
      <c r="G4" s="32">
        <f>D3*C3-E3+F3</f>
        <v>36554</v>
      </c>
      <c r="H4" s="111"/>
      <c r="I4" s="111"/>
      <c r="J4" s="111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13" t="s">
        <v>48</v>
      </c>
      <c r="G5" s="44"/>
      <c r="H5" s="121"/>
      <c r="I5" s="121"/>
      <c r="J5" s="121"/>
    </row>
    <row r="6" spans="1:10">
      <c r="A6" s="17">
        <v>1</v>
      </c>
      <c r="B6" s="126" t="s">
        <v>49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53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54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55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128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57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58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59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60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129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62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63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64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65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66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67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68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69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70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71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72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73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74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75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76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77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78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79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80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81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82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83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84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85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86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87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130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237:G237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408:G408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32:G32"/>
    <mergeCell ref="F26:G26"/>
    <mergeCell ref="F159:G159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7" t="s">
        <v>36</v>
      </c>
      <c r="D1" s="118"/>
      <c r="E1" s="118"/>
      <c r="F1" s="114" t="s">
        <v>131</v>
      </c>
      <c r="G1" s="44"/>
      <c r="H1" s="115" t="s">
        <v>106</v>
      </c>
      <c r="I1" s="106"/>
      <c r="J1" s="44"/>
    </row>
    <row r="2" spans="1:10" ht="21.75" customHeight="1">
      <c r="A2" s="4" t="s">
        <v>38</v>
      </c>
      <c r="B2" s="4" t="s">
        <v>39</v>
      </c>
      <c r="C2" s="4" t="s">
        <v>40</v>
      </c>
      <c r="D2" s="4" t="s">
        <v>41</v>
      </c>
      <c r="E2" s="4" t="s">
        <v>4</v>
      </c>
      <c r="F2" s="4" t="s">
        <v>42</v>
      </c>
      <c r="G2" s="4" t="s">
        <v>6</v>
      </c>
      <c r="H2" s="27" t="s">
        <v>40</v>
      </c>
      <c r="I2" s="27" t="s">
        <v>107</v>
      </c>
      <c r="J2" s="27" t="s">
        <v>4</v>
      </c>
    </row>
    <row r="3" spans="1:10" ht="18.75" customHeight="1">
      <c r="A3" s="125" t="e">
        <f>(E3-F3)/D3</f>
        <v>#DIV/0!</v>
      </c>
      <c r="B3" s="123" t="e">
        <f>E3/D3</f>
        <v>#DIV/0!</v>
      </c>
      <c r="C3" s="127">
        <f>H3*I3</f>
        <v>2366.7129000000004</v>
      </c>
      <c r="D3" s="116">
        <f>SUM(D7:D505)</f>
        <v>0</v>
      </c>
      <c r="E3" s="112">
        <f>SUM(E7:E505)</f>
        <v>1008</v>
      </c>
      <c r="F3" s="112">
        <f>SUM(F6:G505)</f>
        <v>1451</v>
      </c>
      <c r="G3" s="7">
        <f>G4/E3</f>
        <v>0.43948412698412698</v>
      </c>
      <c r="H3" s="119" t="s">
        <v>132</v>
      </c>
      <c r="I3" s="122">
        <f>投資!G2</f>
        <v>31.905000000000001</v>
      </c>
      <c r="J3" s="120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1"/>
      <c r="I4" s="111"/>
      <c r="J4" s="111"/>
    </row>
    <row r="5" spans="1:10">
      <c r="A5" s="16" t="s">
        <v>43</v>
      </c>
      <c r="B5" s="24" t="s">
        <v>44</v>
      </c>
      <c r="C5" s="16" t="s">
        <v>45</v>
      </c>
      <c r="D5" s="16" t="s">
        <v>46</v>
      </c>
      <c r="E5" s="16" t="s">
        <v>47</v>
      </c>
      <c r="F5" s="113" t="s">
        <v>48</v>
      </c>
      <c r="G5" s="44"/>
      <c r="H5" s="121" t="s">
        <v>45</v>
      </c>
      <c r="I5" s="121" t="s">
        <v>108</v>
      </c>
      <c r="J5" s="121" t="s">
        <v>109</v>
      </c>
    </row>
    <row r="6" spans="1:10">
      <c r="A6" s="17">
        <v>1</v>
      </c>
      <c r="B6" s="126" t="s">
        <v>49</v>
      </c>
      <c r="C6" s="106"/>
      <c r="D6" s="106"/>
      <c r="E6" s="44"/>
      <c r="F6" s="124"/>
      <c r="G6" s="44"/>
      <c r="H6" s="111"/>
      <c r="I6" s="111"/>
      <c r="J6" s="111"/>
    </row>
    <row r="7" spans="1:10">
      <c r="A7" s="17">
        <v>2</v>
      </c>
      <c r="B7" s="25" t="s">
        <v>50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133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110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134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134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135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136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59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137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60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114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138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63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139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64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140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65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141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66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142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67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143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68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144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71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145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72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146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73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147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74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148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149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77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78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150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79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151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80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152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81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153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82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154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155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85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120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121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238:G238"/>
    <mergeCell ref="F42:G42"/>
    <mergeCell ref="F487:G487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408:G408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180:G180"/>
    <mergeCell ref="F237:G237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282:G282"/>
    <mergeCell ref="F453:G453"/>
    <mergeCell ref="F113:G113"/>
    <mergeCell ref="F232:G232"/>
    <mergeCell ref="F456:G456"/>
    <mergeCell ref="F471:G471"/>
    <mergeCell ref="F483:G483"/>
    <mergeCell ref="F312:G312"/>
    <mergeCell ref="F412:G412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331:G331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32:G32"/>
    <mergeCell ref="F26:G26"/>
    <mergeCell ref="F159:G159"/>
    <mergeCell ref="F219:G219"/>
    <mergeCell ref="F97:G97"/>
    <mergeCell ref="F268:G268"/>
    <mergeCell ref="F395:G395"/>
    <mergeCell ref="F330:G330"/>
    <mergeCell ref="F324:G324"/>
    <mergeCell ref="F90:G90"/>
    <mergeCell ref="F184:G184"/>
    <mergeCell ref="F27:G27"/>
    <mergeCell ref="F123:G123"/>
    <mergeCell ref="F179:G179"/>
    <mergeCell ref="F250:G250"/>
    <mergeCell ref="F44:G44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</vt:lpstr>
      <vt:lpstr>2890</vt:lpstr>
      <vt:lpstr>VT</vt:lpstr>
      <vt:lpstr>00692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2026-03-16T02:24:13Z</dcterms:modified>
  <dc:language>en-US</dc:language>
</cp:coreProperties>
</file>