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8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0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1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1" fillId="12" borderId="5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1" fillId="29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9" fillId="10" borderId="5" applyAlignment="1" applyProtection="1" pivotButton="0" quotePrefix="0" xfId="0">
      <alignment horizontal="center" vertical="center"/>
      <protection locked="0" hidden="0"/>
    </xf>
    <xf numFmtId="40" fontId="10" fillId="18" borderId="10" applyAlignment="1" pivotButton="0" quotePrefix="0" xfId="0">
      <alignment horizontal="right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8" borderId="3" applyAlignment="1" applyProtection="1" pivotButton="0" quotePrefix="0" xfId="0">
      <alignment horizontal="center" vertical="center"/>
      <protection locked="0" hidden="0"/>
    </xf>
    <xf numFmtId="40" fontId="10" fillId="9" borderId="2" applyAlignment="1" pivotButton="0" quotePrefix="0" xfId="0">
      <alignment horizontal="right" vertical="center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11" fillId="29" borderId="5" applyAlignment="1" pivotButton="0" quotePrefix="0" xfId="0">
      <alignment horizontal="center" vertical="center"/>
    </xf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8" fillId="6" borderId="2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40" fontId="10" fillId="13" borderId="4" applyAlignment="1" applyProtection="1" pivotButton="0" quotePrefix="0" xfId="0">
      <alignment horizontal="right" vertical="center"/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8" fillId="2" borderId="1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7194.648999999999</v>
                </pt>
                <pt idx="2">
                  <v>409311.0719</v>
                </pt>
                <pt idx="3">
                  <v>270373.0885833901</v>
                </pt>
                <pt idx="4">
                  <v>238252.414785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208486.7577</v>
                </pt>
                <pt idx="1">
                  <v>200824.3142</v>
                </pt>
                <pt idx="2">
                  <v>264897.5083380934</v>
                </pt>
                <pt idx="3">
                  <v>70238.80941</v>
                </pt>
                <pt idx="4">
                  <v>7576.32029</v>
                </pt>
                <pt idx="5">
                  <v>9995.722659999999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201256</v>
      </c>
      <c r="D2" s="42" t="n"/>
      <c r="E2" s="45" t="inlineStr">
        <is>
          <t>美元活存</t>
        </is>
      </c>
      <c r="F2" s="46" t="n"/>
      <c r="G2" s="81" t="n">
        <v>220</v>
      </c>
      <c r="H2" s="42" t="n"/>
      <c r="I2" s="82" t="inlineStr">
        <is>
          <t>006208</t>
        </is>
      </c>
      <c r="J2" s="83" t="n"/>
      <c r="K2" s="96">
        <f>'006208'!D3*'006208'!C3*0.997</f>
        <v/>
      </c>
      <c r="L2" s="42" t="n"/>
      <c r="M2" s="87" t="inlineStr">
        <is>
          <t>VT</t>
        </is>
      </c>
      <c r="N2" s="83" t="n"/>
      <c r="O2" s="100">
        <f>VT!H3*VT!D3</f>
        <v/>
      </c>
      <c r="P2" s="42" t="n"/>
      <c r="Q2" s="101" t="inlineStr">
        <is>
          <t>BTC</t>
        </is>
      </c>
      <c r="R2" s="83" t="n"/>
      <c r="S2" s="67">
        <f>(682.1+1166.72+328.25)*投資!G2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11601</v>
      </c>
      <c r="D3" s="50" t="n"/>
      <c r="E3" s="65" t="inlineStr">
        <is>
          <t>Chase</t>
        </is>
      </c>
      <c r="F3" s="44" t="n"/>
      <c r="G3" s="49" t="n">
        <v>0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inlineStr">
        <is>
          <t>VOO</t>
        </is>
      </c>
      <c r="N3" s="56" t="n"/>
      <c r="O3" s="88">
        <f>VOO!C3*VOO!D3</f>
        <v/>
      </c>
      <c r="P3" s="50" t="n"/>
      <c r="Q3" s="89" t="inlineStr">
        <is>
          <t>ETH</t>
        </is>
      </c>
      <c r="R3" s="56" t="n"/>
      <c r="S3" s="63">
        <f>234.83*投資!G2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150039</v>
      </c>
      <c r="D4" s="50" t="n"/>
      <c r="E4" s="65" t="inlineStr">
        <is>
          <t>Ether.fi</t>
        </is>
      </c>
      <c r="F4" s="44" t="n"/>
      <c r="G4" s="49" t="n">
        <v>3</v>
      </c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309.82*投資!G2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550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SUI</t>
        </is>
      </c>
      <c r="R5" s="56" t="n"/>
      <c r="S5" s="63">
        <f>15.45*投資!G2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700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inlineStr">
        <is>
          <t>USDT</t>
        </is>
      </c>
      <c r="R6" s="44" t="n"/>
      <c r="S6" s="63">
        <f>(502.19+483.32+301.6+2206.02+151.975)*投資!G2</f>
        <v/>
      </c>
      <c r="T6" s="50" t="n"/>
    </row>
    <row r="7" ht="17.25" customHeight="1">
      <c r="A7" s="62" t="inlineStr">
        <is>
          <t>華南Sny活存</t>
        </is>
      </c>
      <c r="B7" s="44" t="n"/>
      <c r="C7" s="64" t="n">
        <v>100189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inlineStr">
        <is>
          <t>USDC</t>
        </is>
      </c>
      <c r="R7" s="44" t="n"/>
      <c r="S7" s="63">
        <f>(501.74+500.68)*投資!G2</f>
        <v/>
      </c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800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>
        <f>12012</f>
        <v/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32.341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60" sqref="C60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n">
        <v>233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9" sqref="F59:G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n">
        <v>38.55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4990.53971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VOO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21946.92601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487:G487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2026-07-24T09:02:40Z</dcterms:modified>
  <cp:lastModifiedBy>劉祐廷</cp:lastModifiedBy>
  <cp:revision>39</cp:revision>
  <cp:lastPrinted>2024-02-22T01:18:13Z</cp:lastPrinted>
</cp:coreProperties>
</file>