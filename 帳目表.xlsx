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115615.74375</v>
                </pt>
                <pt idx="2">
                  <v>307133.9257</v>
                </pt>
                <pt idx="3">
                  <v>227472.259077504</v>
                </pt>
                <pt idx="4">
                  <v>139233.42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146108.7548</v>
                </pt>
                <pt idx="1">
                  <v>161025.1709</v>
                </pt>
                <pt idx="2">
                  <v>227472.259077504</v>
                </pt>
                <pt idx="3">
                  <v>68056.5555</v>
                </pt>
                <pt idx="4">
                  <v>6768.9648</v>
                </pt>
                <pt idx="5">
                  <v>8969.452649999999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14" sqref="C14:D15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5" t="n"/>
      <c r="E2" s="103" t="inlineStr">
        <is>
          <t>美元活存</t>
        </is>
      </c>
      <c r="F2" s="101" t="n"/>
      <c r="G2" s="87" t="n">
        <v>4.72</v>
      </c>
      <c r="H2" s="55" t="n"/>
      <c r="I2" s="88" t="inlineStr">
        <is>
          <t>006208</t>
        </is>
      </c>
      <c r="J2" s="64" t="n"/>
      <c r="K2" s="54">
        <f>'006208'!D3*'006208'!C3*0.997</f>
        <v/>
      </c>
      <c r="L2" s="55" t="n"/>
      <c r="M2" s="93" t="inlineStr">
        <is>
          <t>VT</t>
        </is>
      </c>
      <c r="N2" s="64" t="n"/>
      <c r="O2" s="62">
        <f>VT!H3*VT!D3</f>
        <v/>
      </c>
      <c r="P2" s="55" t="n"/>
      <c r="Q2" s="63" t="inlineStr">
        <is>
          <t>BTC</t>
        </is>
      </c>
      <c r="R2" s="64" t="n"/>
      <c r="S2" s="95">
        <f>(728.43+1054.5+350.17)*投資!G2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11601</v>
      </c>
      <c r="D3" s="45" t="n"/>
      <c r="E3" s="46" t="inlineStr">
        <is>
          <t>Chase</t>
        </is>
      </c>
      <c r="F3" s="47" t="n"/>
      <c r="G3" s="80" t="n">
        <v>3521.76</v>
      </c>
      <c r="H3" s="45" t="n"/>
      <c r="I3" s="99" t="inlineStr">
        <is>
          <t>2890</t>
        </is>
      </c>
      <c r="J3" s="78" t="n"/>
      <c r="K3" s="81">
        <f>'2890'!D3*'2890'!C3*0.997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212.16*投資!G2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inlineStr">
        <is>
          <t>Ether.fi</t>
        </is>
      </c>
      <c r="F4" s="47" t="n"/>
      <c r="G4" s="80" t="n">
        <v>97.27</v>
      </c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281.13*投資!G2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SUI</t>
        </is>
      </c>
      <c r="R5" s="78" t="n"/>
      <c r="S5" s="49">
        <f>13.29*投資!G2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inlineStr">
        <is>
          <t>USDT</t>
        </is>
      </c>
      <c r="R6" s="47" t="n"/>
      <c r="S6" s="49">
        <f>(501.24+308.89+301.1)*投資!G2</f>
        <v/>
      </c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inlineStr">
        <is>
          <t>USDC</t>
        </is>
      </c>
      <c r="R7" s="47" t="n"/>
      <c r="S7" s="49">
        <f>(500.73+112.36)*投資!G2</f>
        <v/>
      </c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800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31.865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159081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180.5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32.05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>
        <v>4525.4673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7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2026-03-18T06:31:11Z</dcterms:modified>
  <cp:lastModifiedBy>劉祐廷</cp:lastModifiedBy>
  <cp:revision>39</cp:revision>
  <cp:lastPrinted>2024-02-22T01:18:13Z</cp:lastPrinted>
</cp:coreProperties>
</file>