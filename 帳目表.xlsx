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B5EF6E6C-7891-492B-8CE2-734411E68BCD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5" i="1"/>
  <c r="S3" i="1"/>
  <c r="S4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B3" i="6" s="1"/>
  <c r="D3" i="6"/>
  <c r="G4" i="6" s="1"/>
  <c r="G3" i="6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B3" i="5" s="1"/>
  <c r="D3" i="5"/>
  <c r="O2" i="1" s="1"/>
  <c r="O10" i="1" s="1"/>
  <c r="B10" i="2" s="1"/>
  <c r="C3" i="5"/>
  <c r="F3" i="4"/>
  <c r="E3" i="4"/>
  <c r="B3" i="4" s="1"/>
  <c r="D3" i="4"/>
  <c r="G4" i="4" s="1"/>
  <c r="G3" i="4" s="1"/>
  <c r="F3" i="3"/>
  <c r="E3" i="3"/>
  <c r="A3" i="2" s="1"/>
  <c r="D3" i="3"/>
  <c r="K2" i="1" s="1"/>
  <c r="G10" i="1"/>
  <c r="C10" i="1"/>
  <c r="S10" i="1" l="1"/>
  <c r="B17" i="2" s="1"/>
  <c r="C18" i="2" s="1"/>
  <c r="C17" i="2" s="1"/>
  <c r="G4" i="5"/>
  <c r="G3" i="5" s="1"/>
  <c r="A3" i="3"/>
  <c r="B3" i="3"/>
  <c r="A3" i="6"/>
  <c r="A3" i="4"/>
  <c r="G4" i="3"/>
  <c r="G3" i="3" s="1"/>
  <c r="A10" i="2"/>
  <c r="C11" i="2" s="1"/>
  <c r="C10" i="2" s="1"/>
  <c r="K3" i="1"/>
  <c r="K10" i="1" s="1"/>
  <c r="A3" i="7"/>
  <c r="A3" i="5"/>
  <c r="B3" i="2" l="1"/>
  <c r="A12" i="1"/>
  <c r="E10" i="2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<sst xmlns="http://schemas.openxmlformats.org/spreadsheetml/2006/main" count="370" uniqueCount="156">
  <si>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</si>
  <si>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</si>
  <si>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</si>
  <si>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</si>
  <si>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</si>
  <si>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</si>
  <si>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</si>
  <si>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</si>
  <si>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</si>
  <si>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</si>
  <si>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</si>
  <si>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</si>
  <si>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</si>
  <si>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</si>
  <si>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</si>
  <si>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</si>
  <si>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</si>
  <si>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</si>
  <si>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</si>
  <si>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</si>
  <si>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</si>
  <si>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</si>
  <si>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</si>
  <si>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</si>
  <si>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</si>
  <si>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</si>
  <si>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</si>
  <si>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</si>
  <si>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</si>
  <si>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</si>
  <si>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</si>
  <si>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</si>
  <si>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</si>
  <si>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</si>
  <si>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</si>
  <si>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</si>
  <si>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</si>
  <si>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</si>
  <si>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</si>
  <si>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</si>
  <si>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</si>
  <si>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168.85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</si>
  <si>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</si>
  <si>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</si>
  <si>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</si>
  <si>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</si>
  <si>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</si>
  <si>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</si>
  <si>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</si>
  <si>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</si>
  <si>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</si>
  <si>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</si>
  <si>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</si>
  <si>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</si>
  <si>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</si>
  <si>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</si>
  <si>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</si>
  <si>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</si>
  <si>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</si>
  <si>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</si>
  <si>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</si>
  <si>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</si>
  <si>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</si>
  <si>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</si>
  <si>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</si>
  <si>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</si>
  <si>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</si>
  <si>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</si>
  <si>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</si>
  <si>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</si>
  <si>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</si>
  <si>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</si>
  <si>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</si>
  <si>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</si>
  <si>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</si>
  <si>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</si>
  <si>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</si>
  <si>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</si>
  <si>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</si>
  <si>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</si>
  <si>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</si>
  <si>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</si>
  <si>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</si>
  <si>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</si>
  <si>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</si>
  <si>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</si>
  <si>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</si>
  <si>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</si>
  <si>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</si>
  <si>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</si>
  <si>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</si>
  <si>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</si>
  <si>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</si>
  <si>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</si>
  <si>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29.30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</si>
  <si>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</si>
  <si>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</si>
  <si>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</si>
  <si>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</si>
  <si>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</si>
  <si>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</si>
  <si>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</si>
  <si>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</si>
  <si>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</si>
  <si>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</si>
  <si>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</si>
  <si>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</si>
  <si>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145.61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</si>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</sst>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DAC-4EF7-B55E-1A65574F637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DAC-4EF7-B55E-1A65574F637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DAC-4EF7-B55E-1A65574F637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DAC-4EF7-B55E-1A65574F637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DAC-4EF7-B55E-1A65574F6370}"/>
              </c:ext>
            </c:extLst>
          </c:dPt>
          <c:dLbls>
            <c:dLbl>
              <c:idx val="0"/>
              <c:layout>
                <c:manualLayout>
                  <c:x val="0.16388888888888878"/>
                  <c:y val="-8.33333333333333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AC-4EF7-B55E-1A65574F6370}"/>
                </c:ext>
              </c:extLst>
            </c:dLbl>
            <c:dLbl>
              <c:idx val="1"/>
              <c:layout>
                <c:manualLayout>
                  <c:x val="0.27222222222222214"/>
                  <c:y val="-4.629629629629714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AC-4EF7-B55E-1A65574F6370}"/>
                </c:ext>
              </c:extLst>
            </c:dLbl>
            <c:dLbl>
              <c:idx val="2"/>
              <c:layout>
                <c:manualLayout>
                  <c:x val="-0.20555555555555555"/>
                  <c:y val="5.555555555555546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AC-4EF7-B55E-1A65574F6370}"/>
                </c:ext>
              </c:extLst>
            </c:dLbl>
            <c:dLbl>
              <c:idx val="3"/>
              <c:layout>
                <c:manualLayout>
                  <c:x val="-0.19444444444444448"/>
                  <c:y val="5.555555555555555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AC-4EF7-B55E-1A65574F6370}"/>
                </c:ext>
              </c:extLst>
            </c:dLbl>
            <c:dLbl>
              <c:idx val="4"/>
              <c:layout>
                <c:manualLayout>
                  <c:x val="-0.25555555555555554"/>
                  <c:y val="-4.629629629629629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AC-4EF7-B55E-1A65574F6370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126441.45599999999</c:v>
                </c:pt>
                <c:pt idx="2">
                  <c:v>278692.85564999998</c:v>
                </c:pt>
                <c:pt idx="3">
                  <c:v>220813.64062848748</c:v>
                </c:pt>
                <c:pt idx="4">
                  <c:v>87157.910500000013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DAC-4EF7-B55E-1A65574F637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5E7-4E91-9761-931984CDB2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5E7-4E91-9761-931984CDB2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5E7-4E91-9761-931984CDB2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5E7-4E91-9761-931984CDB2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5E7-4E91-9761-931984CDB2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5E7-4E91-9761-931984CDB28F}"/>
              </c:ext>
            </c:extLst>
          </c:dPt>
          <c:dLbls>
            <c:dLbl>
              <c:idx val="0"/>
              <c:layout>
                <c:manualLayout>
                  <c:x val="0.24166666666666656"/>
                  <c:y val="0.1065194187343625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E7-4E91-9761-931984CDB28F}"/>
                </c:ext>
              </c:extLst>
            </c:dLbl>
            <c:dLbl>
              <c:idx val="1"/>
              <c:layout>
                <c:manualLayout>
                  <c:x val="0.22500000000000001"/>
                  <c:y val="0.1065194187343625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5E7-4E91-9761-931984CDB28F}"/>
                </c:ext>
              </c:extLst>
            </c:dLbl>
            <c:dLbl>
              <c:idx val="2"/>
              <c:layout>
                <c:manualLayout>
                  <c:x val="-0.125"/>
                  <c:y val="8.7994302432734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5E7-4E91-9761-931984CDB28F}"/>
                </c:ext>
              </c:extLst>
            </c:dLbl>
            <c:dLbl>
              <c:idx val="3"/>
              <c:layout>
                <c:manualLayout>
                  <c:x val="-0.16666666666666666"/>
                  <c:y val="0.129675814111397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5E7-4E91-9761-931984CDB28F}"/>
                </c:ext>
              </c:extLst>
            </c:dLbl>
            <c:dLbl>
              <c:idx val="4"/>
              <c:layout>
                <c:manualLayout>
                  <c:x val="-0.2083333333333334"/>
                  <c:y val="-4.6312790754070698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5E7-4E91-9761-931984CDB28F}"/>
                </c:ext>
              </c:extLst>
            </c:dLbl>
            <c:dLbl>
              <c:idx val="5"/>
              <c:layout>
                <c:manualLayout>
                  <c:x val="0.3"/>
                  <c:y val="-2.778767445244241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5E7-4E91-9761-931984CDB28F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132486.29514999999</c:v>
                </c:pt>
                <c:pt idx="1">
                  <c:v>146206.56049999999</c:v>
                </c:pt>
                <c:pt idx="2">
                  <c:v>220813.64062848748</c:v>
                </c:pt>
                <c:pt idx="3">
                  <c:v>67770.685500000007</c:v>
                </c:pt>
                <c:pt idx="4">
                  <c:v>10463.3235</c:v>
                </c:pt>
                <c:pt idx="5">
                  <c:v>8285.9115000000002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7-4E91-9761-931984CDB28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3" sqref="S3:T3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212282</v>
      </c>
      <c r="D2" s="57"/>
      <c r="E2" s="103" t="s">
        <v>6</v>
      </c>
      <c r="F2" s="101"/>
      <c r="G2" s="86">
        <v>4.4800000000000004</v>
      </c>
      <c r="H2" s="57"/>
      <c r="I2" s="87" t="s">
        <v>7</v>
      </c>
      <c r="J2" s="66"/>
      <c r="K2" s="56">
        <f>'006208.TW'!D3*'006208.TW'!C3*0.997</f>
        <v>132486.29514999999</v>
      </c>
      <c r="L2" s="57"/>
      <c r="M2" s="92" t="s">
        <v>8</v>
      </c>
      <c r="N2" s="66"/>
      <c r="O2" s="64">
        <f>VT!H3*VT!D3*投資!G2</f>
        <v>220813.64062848748</v>
      </c>
      <c r="P2" s="57"/>
      <c r="Q2" s="65" t="s">
        <v>9</v>
      </c>
      <c r="R2" s="66"/>
      <c r="S2" s="95">
        <f>(1968.96+177.38)*投資!G2</f>
        <v>67770.685500000007</v>
      </c>
      <c r="T2" s="57"/>
    </row>
    <row r="3" spans="1:26" ht="17.25" customHeight="1">
      <c r="A3" s="50" t="s">
        <v>10</v>
      </c>
      <c r="B3" s="44"/>
      <c r="C3" s="45">
        <v>12651</v>
      </c>
      <c r="D3" s="42"/>
      <c r="E3" s="49" t="s">
        <v>11</v>
      </c>
      <c r="F3" s="44"/>
      <c r="G3" s="80">
        <v>4000</v>
      </c>
      <c r="H3" s="42"/>
      <c r="I3" s="99" t="s">
        <v>12</v>
      </c>
      <c r="J3" s="78"/>
      <c r="K3" s="83">
        <f>'2890.TW'!D3*'2890.TW'!C3*0.997</f>
        <v>146206.56049999999</v>
      </c>
      <c r="L3" s="42"/>
      <c r="M3" s="90"/>
      <c r="N3" s="78"/>
      <c r="O3" s="41"/>
      <c r="P3" s="42"/>
      <c r="Q3" s="77" t="s">
        <v>13</v>
      </c>
      <c r="R3" s="78"/>
      <c r="S3" s="51">
        <f>331.38*投資!G2</f>
        <v>10463.3235</v>
      </c>
      <c r="T3" s="42"/>
    </row>
    <row r="4" spans="1:26" ht="15.75" customHeight="1">
      <c r="A4" s="50" t="s">
        <v>14</v>
      </c>
      <c r="B4" s="44"/>
      <c r="C4" s="45">
        <v>120000</v>
      </c>
      <c r="D4" s="42"/>
      <c r="E4" s="49"/>
      <c r="F4" s="44"/>
      <c r="G4" s="80"/>
      <c r="H4" s="42"/>
      <c r="I4" s="99"/>
      <c r="J4" s="78"/>
      <c r="K4" s="83"/>
      <c r="L4" s="42"/>
      <c r="M4" s="90"/>
      <c r="N4" s="78"/>
      <c r="O4" s="41"/>
      <c r="P4" s="42"/>
      <c r="Q4" s="77" t="s">
        <v>15</v>
      </c>
      <c r="R4" s="78"/>
      <c r="S4" s="51">
        <f>262.42*投資!G2</f>
        <v>8285.9115000000002</v>
      </c>
      <c r="T4" s="42"/>
    </row>
    <row r="5" spans="1:26" ht="16.5" customHeight="1">
      <c r="A5" s="50" t="s">
        <v>16</v>
      </c>
      <c r="B5" s="44"/>
      <c r="C5" s="45">
        <v>48513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17</v>
      </c>
      <c r="R5" s="78"/>
      <c r="S5" s="51">
        <f>501.62+136.37</f>
        <v>637.99</v>
      </c>
      <c r="T5" s="42"/>
    </row>
    <row r="6" spans="1:26" ht="17.25" customHeight="1">
      <c r="A6" s="50" t="s">
        <v>18</v>
      </c>
      <c r="B6" s="44"/>
      <c r="C6" s="45">
        <v>0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/>
      <c r="R6" s="44"/>
      <c r="S6" s="51"/>
      <c r="T6" s="42"/>
    </row>
    <row r="7" spans="1:26" ht="17.25" customHeight="1">
      <c r="A7" s="50" t="s">
        <v>19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/>
      <c r="R7" s="44"/>
      <c r="S7" s="51"/>
      <c r="T7" s="42"/>
    </row>
    <row r="8" spans="1:26" ht="17.25" customHeight="1">
      <c r="A8" s="50" t="s">
        <v>20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21</v>
      </c>
      <c r="B9" s="68"/>
      <c r="C9" s="96">
        <v>6000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22</v>
      </c>
      <c r="B10" s="53"/>
      <c r="C10" s="54">
        <f>SUM(C2:D9)</f>
        <v>559446</v>
      </c>
      <c r="D10" s="55"/>
      <c r="E10" s="52" t="s">
        <v>22</v>
      </c>
      <c r="F10" s="53"/>
      <c r="G10" s="54">
        <f>SUM(G2:H9)*投資!G2</f>
        <v>126441.45599999999</v>
      </c>
      <c r="H10" s="55"/>
      <c r="I10" s="52" t="s">
        <v>22</v>
      </c>
      <c r="J10" s="53"/>
      <c r="K10" s="54">
        <f>SUM(K2:L9)</f>
        <v>278692.85564999998</v>
      </c>
      <c r="L10" s="55"/>
      <c r="M10" s="52" t="s">
        <v>22</v>
      </c>
      <c r="N10" s="53"/>
      <c r="O10" s="54">
        <f>SUM(O2:P9)</f>
        <v>220813.64062848748</v>
      </c>
      <c r="P10" s="55"/>
      <c r="Q10" s="52" t="s">
        <v>22</v>
      </c>
      <c r="R10" s="53"/>
      <c r="S10" s="54">
        <f>SUM(S2:T9)</f>
        <v>87157.910500000013</v>
      </c>
      <c r="T10" s="55"/>
    </row>
    <row r="11" spans="1:26" ht="31.5" customHeight="1" thickBot="1">
      <c r="A11" s="79" t="s">
        <v>23</v>
      </c>
      <c r="B11" s="55"/>
      <c r="C11" s="104" t="s">
        <v>24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1272551.8627784876</v>
      </c>
      <c r="B12" s="48"/>
      <c r="C12" s="72">
        <v>19182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25</v>
      </c>
      <c r="B14" s="48"/>
      <c r="C14" s="104" t="s">
        <v>26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1253369.8627784876</v>
      </c>
      <c r="B16" s="48"/>
      <c r="C16" s="81">
        <f>C12/A12</f>
        <v>1.5073648910558391E-2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H5" sqref="H5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31.574999999999999</v>
      </c>
    </row>
    <row r="3" spans="1:10" ht="17.25" customHeight="1">
      <c r="A3" s="107">
        <f>('006208.TW'!E3+'00692.TW'!E3+'2890.TW'!E3)-('006208.TW'!F3+'00692.TW'!F3+'2890.TW'!F3)-E2+7345</f>
        <v>130062</v>
      </c>
      <c r="B3" s="107">
        <f>總資產!K10</f>
        <v>278692.85564999998</v>
      </c>
      <c r="C3" s="7">
        <f>C4/A3</f>
        <v>1.1427692611985052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148630.85564999998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33</v>
      </c>
      <c r="F8" s="106"/>
      <c r="G8" s="44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173526.64063000001</v>
      </c>
      <c r="B10" s="107">
        <f>總資產!O10</f>
        <v>220813.64062848748</v>
      </c>
      <c r="C10" s="7">
        <f>C11/A10</f>
        <v>0.2725057076354897</v>
      </c>
      <c r="D10" s="5"/>
      <c r="E10" s="107">
        <f>A3+A10+A17</f>
        <v>423648.64063000004</v>
      </c>
      <c r="F10" s="107">
        <f>B3+B10+B17</f>
        <v>586664.40677848749</v>
      </c>
      <c r="G10" s="7">
        <f>G11/E10</f>
        <v>0.38479001350286346</v>
      </c>
    </row>
    <row r="11" spans="1:10" ht="18" customHeight="1">
      <c r="A11" s="108"/>
      <c r="B11" s="108"/>
      <c r="C11" s="29">
        <f>B10-A10</f>
        <v>47286.999998487474</v>
      </c>
      <c r="D11" s="5"/>
      <c r="E11" s="108"/>
      <c r="F11" s="108"/>
      <c r="G11" s="31">
        <f>F10-E10</f>
        <v>163015.76614848746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120060</v>
      </c>
      <c r="B17" s="107">
        <f>總資產!S10</f>
        <v>87157.910500000013</v>
      </c>
      <c r="C17" s="7">
        <f>C18/A17</f>
        <v>-0.27404705563884713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-32902.089499999987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35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95.763659466327823</v>
      </c>
      <c r="B3" s="114">
        <f>E3/D3</f>
        <v>100.80686149936467</v>
      </c>
      <c r="C3" s="126" t="s">
        <v>41</v>
      </c>
      <c r="D3" s="121">
        <f>SUM(D7:D505)</f>
        <v>787</v>
      </c>
      <c r="E3" s="124">
        <f>SUM(E7:E505)</f>
        <v>79335</v>
      </c>
      <c r="F3" s="124">
        <f>SUM(F6:G505)</f>
        <v>3969</v>
      </c>
      <c r="G3" s="7">
        <f>G4/E3</f>
        <v>0.72501355013550117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57518.949999999983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14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3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93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16.824975024975025</v>
      </c>
      <c r="B3" s="114">
        <f>E3/D3</f>
        <v>18.461738261738262</v>
      </c>
      <c r="C3" s="127" t="s">
        <v>94</v>
      </c>
      <c r="D3" s="121">
        <f>SUM(D7:D505)</f>
        <v>5005</v>
      </c>
      <c r="E3" s="124">
        <f>SUM(E7:E505)</f>
        <v>92401</v>
      </c>
      <c r="F3" s="124">
        <f>SUM(F6:G505)</f>
        <v>8192</v>
      </c>
      <c r="G3" s="7">
        <f>G4/E3</f>
        <v>0.67572320645880457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62437.5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95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96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97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98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99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100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101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102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103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104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34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8</v>
      </c>
      <c r="G1" s="44"/>
      <c r="H1" s="122" t="s">
        <v>105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106</v>
      </c>
      <c r="J2" s="27" t="s">
        <v>30</v>
      </c>
    </row>
    <row r="3" spans="1:10" ht="18.75" customHeight="1">
      <c r="A3" s="111">
        <f>(E3-F3)/D3</f>
        <v>3622.2809283818806</v>
      </c>
      <c r="B3" s="114">
        <f>E3/D3</f>
        <v>3692.683633906719</v>
      </c>
      <c r="C3" s="126">
        <f>H3*I3</f>
        <v>4597.6357500000004</v>
      </c>
      <c r="D3" s="121">
        <f>SUM(D7:D505)</f>
        <v>48.027649999999994</v>
      </c>
      <c r="E3" s="124">
        <f>SUM(E7:E505)</f>
        <v>177350.91713000002</v>
      </c>
      <c r="F3" s="124">
        <f>SUM(F6:G505)</f>
        <v>3381.2764999999999</v>
      </c>
      <c r="G3" s="7">
        <f>G4/E3</f>
        <v>0.26413170428744015</v>
      </c>
      <c r="H3" s="116" t="s">
        <v>107</v>
      </c>
      <c r="I3" s="129">
        <f>投資!G2</f>
        <v>31.574999999999999</v>
      </c>
      <c r="J3" s="117">
        <f>SUM(J7:J505)</f>
        <v>5606.8200000000006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46843.999998487467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108</v>
      </c>
      <c r="J5" s="112" t="s">
        <v>109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110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111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111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112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113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114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115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116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100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117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118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119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120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121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122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123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09">
        <f>36.62*投資!G2</f>
        <v>1156.2764999999999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125</v>
      </c>
      <c r="C49" s="36">
        <f t="shared" si="0"/>
        <v>4506.6997499999998</v>
      </c>
      <c r="D49" s="26">
        <v>0.21018000000000001</v>
      </c>
      <c r="E49" s="26">
        <f>30.01*投資!G2</f>
        <v>947.56574999999998</v>
      </c>
      <c r="F49" s="109"/>
      <c r="G49" s="44"/>
      <c r="H49" s="20">
        <v>142.72999999999999</v>
      </c>
      <c r="I49" s="20">
        <f>投資!G2</f>
        <v>31.574999999999999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126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127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95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128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129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130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131</v>
      </c>
      <c r="G1" s="44"/>
      <c r="H1" s="122" t="s">
        <v>105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106</v>
      </c>
      <c r="J2" s="27" t="s">
        <v>30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2342.2335000000003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132</v>
      </c>
      <c r="I3" s="120">
        <f>投資!G2</f>
        <v>31.574999999999999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108</v>
      </c>
      <c r="J5" s="112" t="s">
        <v>109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133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110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96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135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136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137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114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138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139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140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141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142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143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144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145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146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147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148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149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150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151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152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153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154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155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120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121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2026-02-04T17:54:04Z</dcterms:modified>
  <dc:language>en-US</dc:language>
</cp:coreProperties>
</file>