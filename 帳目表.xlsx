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7F7EC3C6-21AC-45A6-AD76-C1388119D253}" xr6:coauthVersionLast="47" xr6:coauthVersionMax="47" xr10:uidLastSave="{00000000-0000-0000-0000-000000000000}"/>
  <bookViews>
    <workbookView xWindow="-120" yWindow="-120" windowWidth="29040" windowHeight="15720" tabRatio="679" activeTab="3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C3" i="8"/>
  <c r="G4" i="8" s="1"/>
  <c r="G3" i="8" s="1"/>
  <c r="F3" i="7"/>
  <c r="E3" i="7"/>
  <c r="B3" i="7" s="1"/>
  <c r="D3" i="7"/>
  <c r="G4" i="7" s="1"/>
  <c r="G3" i="7" s="1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F3" i="6"/>
  <c r="E3" i="6"/>
  <c r="A10" i="2" s="1"/>
  <c r="D3" i="6"/>
  <c r="C3" i="6"/>
  <c r="F3" i="5"/>
  <c r="E3" i="5"/>
  <c r="B3" i="5" s="1"/>
  <c r="D3" i="5"/>
  <c r="G3" i="5" s="1"/>
  <c r="F3" i="4"/>
  <c r="E3" i="4"/>
  <c r="D3" i="4"/>
  <c r="K4" i="1" s="1"/>
  <c r="F3" i="3"/>
  <c r="E3" i="3"/>
  <c r="D3" i="3"/>
  <c r="B3" i="3" s="1"/>
  <c r="G10" i="1"/>
  <c r="C10" i="1"/>
  <c r="K5" i="1"/>
  <c r="O3" i="1"/>
  <c r="K3" i="1"/>
  <c r="O2" i="1"/>
  <c r="O10" i="1" s="1"/>
  <c r="B10" i="2" s="1"/>
  <c r="C11" i="2" l="1"/>
  <c r="C10" i="2" s="1"/>
  <c r="G4" i="6"/>
  <c r="G3" i="6" s="1"/>
  <c r="B3" i="6"/>
  <c r="B3" i="4"/>
  <c r="G4" i="4"/>
  <c r="G3" i="4" s="1"/>
  <c r="A3" i="3"/>
  <c r="K2" i="1"/>
  <c r="K10" i="1" s="1"/>
  <c r="B3" i="2" s="1"/>
  <c r="F10" i="2" s="1"/>
  <c r="G4" i="3"/>
  <c r="G3" i="3" s="1"/>
  <c r="A3" i="5"/>
  <c r="A3" i="7"/>
  <c r="G4" i="5"/>
  <c r="A3" i="4"/>
  <c r="A3" i="6"/>
  <c r="A3" i="8"/>
  <c r="A3" i="2"/>
  <c r="E10" i="2" s="1"/>
  <c r="A12" i="1" l="1"/>
  <c r="C4" i="2"/>
  <c r="C3" i="2" s="1"/>
  <c r="G11" i="2"/>
  <c r="G10" i="2" s="1"/>
  <c r="A16" i="1"/>
  <c r="C16" i="1"/>
</calcChain>
</file>

<file path=xl/sharedStrings.xml><?xml version="1.0" encoding="utf-8"?>
<sst xmlns="http://schemas.openxmlformats.org/spreadsheetml/2006/main" count="379" uniqueCount="156">
  <si>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</si>
  <si>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</si>
  <si>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</si>
  <si>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</si>
  <si>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</si>
  <si>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</si>
  <si>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</si>
  <si>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</si>
  <si>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</si>
  <si>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</si>
  <si>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</si>
  <si>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</si>
  <si>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</si>
  <si>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</si>
  <si>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</si>
  <si>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</si>
  <si>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</si>
  <si>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</si>
  <si>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</si>
  <si>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</si>
  <si>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</si>
  <si>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</si>
  <si>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</si>
  <si>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</si>
  <si>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</si>
  <si>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</si>
  <si>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</si>
  <si>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</si>
  <si>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</si>
  <si>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</si>
  <si>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</si>
  <si>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</si>
  <si>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</si>
  <si>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</si>
  <si>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</si>
  <si>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</si>
  <si>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</si>
  <si>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</si>
  <si>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</si>
  <si>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</si>
  <si>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</si>
  <si>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</si>
  <si>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</si>
  <si>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145.45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</si>
  <si>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</si>
  <si>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</si>
  <si>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</si>
  <si>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</si>
  <si>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</si>
  <si>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</si>
  <si>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</si>
  <si>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</si>
  <si>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</si>
  <si>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</si>
  <si>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</si>
  <si>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</si>
  <si>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</si>
  <si>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</si>
  <si>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</si>
  <si>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</si>
  <si>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</si>
  <si>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</si>
  <si>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</si>
  <si>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</si>
  <si>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</si>
  <si>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</si>
  <si>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</si>
  <si>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</si>
  <si>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</si>
  <si>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</si>
  <si>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</si>
  <si>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</si>
  <si>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</si>
  <si>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</si>
  <si>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</si>
  <si>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</si>
  <si>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</si>
  <si>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</si>
  <si>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</si>
  <si>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</si>
  <si>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</si>
  <si>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</si>
  <si>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</si>
  <si>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</si>
  <si>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</si>
  <si>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</si>
  <si>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</si>
  <si>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</si>
  <si>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</si>
  <si>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</si>
  <si>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</si>
  <si>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2025.12.11</t>
  </si>
  <si>
    <t>2890.TW</t>
  </si>
  <si>
    <t>27.45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</si>
  <si>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</si>
  <si>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</si>
  <si>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</si>
  <si>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</si>
  <si>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</si>
  <si>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</si>
  <si>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</si>
  <si>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</si>
  <si>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</si>
  <si>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</si>
  <si>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</si>
  <si>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44.95</t>
  </si>
  <si>
    <t>2024.08.26</t>
  </si>
  <si>
    <t>USD</t>
  </si>
  <si>
    <t>目前匯率</t>
  </si>
  <si>
    <t>141.13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</si>
  <si>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</si>
  <si>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</si>
  <si>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</si>
  <si>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</si>
  <si>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</si>
  <si>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</si>
  <si>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</si>
  <si>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</si>
  <si>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</si>
  <si>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</si>
  <si>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</si>
  <si>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</si>
  <si>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</si>
  <si>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</si>
  <si>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</si>
  <si>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</si>
  <si>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</si>
  <si>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56.05</t>
  </si>
  <si>
    <t>2023.10.24</t>
  </si>
  <si>
    <t>2024.01.17</t>
  </si>
  <si>
    <t>2025.09.25</t>
  </si>
  <si>
    <t>74.09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</si>
  <si>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</si>
  <si>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</si>
  <si>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</si>
  <si>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</si>
  <si>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</si>
  <si>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</si>
  <si>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</si>
  <si>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</si>
  <si>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</si>
  <si>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</si>
  <si>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</si>
  <si>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</si>
  <si>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</si>
  <si>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</si>
  <si>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</si>
  <si>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</si>
  <si>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</si>
  <si>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</si>
  <si>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</si>
  <si>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</si>
  <si>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</si>
  <si>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</si>
  <si>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</si>
  <si>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2025.12.08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</si>
</sst>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108905.25115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 x14ac:dyDescent="0.25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6620.6722130999988</v>
      </c>
      <c r="P3" s="40"/>
    </row>
    <row r="4" spans="1:26" ht="15.75" customHeight="1" x14ac:dyDescent="0.25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136126.6911</v>
      </c>
      <c r="L4" s="40"/>
      <c r="M4" s="81"/>
      <c r="N4" s="82"/>
      <c r="O4" s="39"/>
      <c r="P4" s="40"/>
    </row>
    <row r="5" spans="1:26" ht="16.5" customHeight="1" x14ac:dyDescent="0.25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17926.060000000001</v>
      </c>
      <c r="L5" s="40"/>
      <c r="M5" s="81"/>
      <c r="N5" s="82"/>
      <c r="O5" s="39"/>
      <c r="P5" s="40"/>
    </row>
    <row r="6" spans="1:26" ht="17.25" customHeight="1" x14ac:dyDescent="0.25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33840.312499999993</v>
      </c>
      <c r="H10" s="66"/>
      <c r="I10" s="48" t="s">
        <v>22</v>
      </c>
      <c r="J10" s="49"/>
      <c r="K10" s="70">
        <f>SUM(K2:L9)</f>
        <v>262958.00225000002</v>
      </c>
      <c r="L10" s="66"/>
      <c r="M10" s="48" t="s">
        <v>22</v>
      </c>
      <c r="N10" s="49"/>
      <c r="O10" s="70">
        <f>SUM(O2:P9)*投資!G2</f>
        <v>206896.00665937495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868041.32140937494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863924.32140937494</v>
      </c>
      <c r="B16" s="44"/>
      <c r="C16" s="69">
        <f>C12/A12</f>
        <v>4.7428617721971223E-3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G5" sqref="G5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 x14ac:dyDescent="0.3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31.25</v>
      </c>
    </row>
    <row r="3" spans="1:10" ht="17.25" customHeight="1" x14ac:dyDescent="0.3">
      <c r="A3" s="98">
        <f>('006208.TW'!E3+'00692.TW'!E3+'2890.TW'!E3)-('006208.TW'!F3+'00692.TW'!F3+'2890.TW'!F3)-E2+7345</f>
        <v>123722</v>
      </c>
      <c r="B3" s="98">
        <f>總資產!K10</f>
        <v>262958.00225000002</v>
      </c>
      <c r="C3" s="8">
        <f>C4/A3</f>
        <v>1.1253940467338066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139236.00225000002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 x14ac:dyDescent="0.3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 x14ac:dyDescent="0.3">
      <c r="A10" s="98">
        <f>(BND!E3+VT!E3)-(BND!F3+VT!F3)</f>
        <v>169645.35138000001</v>
      </c>
      <c r="B10" s="98">
        <f>總資產!O10</f>
        <v>206896.00665937495</v>
      </c>
      <c r="C10" s="8">
        <f>C11/A10</f>
        <v>0.21957958161750452</v>
      </c>
      <c r="D10" s="6"/>
      <c r="E10" s="98">
        <f>A3+A10</f>
        <v>293367.35138000001</v>
      </c>
      <c r="F10" s="98">
        <f>B3+B10</f>
        <v>469854.00890937494</v>
      </c>
      <c r="G10" s="8">
        <f>G11/E10</f>
        <v>0.60158929307975717</v>
      </c>
    </row>
    <row r="11" spans="1:10" ht="18" customHeight="1" x14ac:dyDescent="0.3">
      <c r="A11" s="99"/>
      <c r="B11" s="99"/>
      <c r="C11" s="31">
        <f>B10-A10</f>
        <v>37250.655279374943</v>
      </c>
      <c r="D11" s="6"/>
      <c r="E11" s="99"/>
      <c r="F11" s="99"/>
      <c r="G11" s="33">
        <f>F10-E10</f>
        <v>176486.65752937493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M54" sqref="M5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93.109187749667115</v>
      </c>
      <c r="B3" s="105">
        <f>E3/D3</f>
        <v>98.394141145139812</v>
      </c>
      <c r="C3" s="117" t="s">
        <v>43</v>
      </c>
      <c r="D3" s="112">
        <f>SUM(D7:D505)</f>
        <v>751</v>
      </c>
      <c r="E3" s="115">
        <f>SUM(E7:E505)</f>
        <v>73894</v>
      </c>
      <c r="F3" s="115">
        <f>SUM(F6:G505)</f>
        <v>3969</v>
      </c>
      <c r="G3" s="8">
        <f>G4/E3</f>
        <v>0.53195049665737404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39307.949999999997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90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155</v>
      </c>
      <c r="C49" s="35">
        <v>145.24</v>
      </c>
      <c r="D49" s="27">
        <v>21</v>
      </c>
      <c r="E49" s="27">
        <v>3051</v>
      </c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 t="s">
        <v>91</v>
      </c>
      <c r="C50" s="35"/>
      <c r="D50" s="27"/>
      <c r="E50" s="27"/>
      <c r="F50" s="100">
        <v>2517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5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topLeftCell="A13" zoomScaleNormal="100" workbookViewId="0">
      <selection activeCell="F42" sqref="F42:G42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92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16.74909529553679</v>
      </c>
      <c r="B3" s="105">
        <f>E3/D3</f>
        <v>18.396059509449135</v>
      </c>
      <c r="C3" s="118" t="s">
        <v>93</v>
      </c>
      <c r="D3" s="112">
        <f>SUM(D7:D505)</f>
        <v>4974</v>
      </c>
      <c r="E3" s="115">
        <f>SUM(E7:E505)</f>
        <v>91502</v>
      </c>
      <c r="F3" s="115">
        <f>SUM(F6:G505)</f>
        <v>8192</v>
      </c>
      <c r="G3" s="8">
        <f>G4/E3</f>
        <v>0.58169548206596566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53226.299999999988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94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95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96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97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98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99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100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101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102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103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90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155</v>
      </c>
      <c r="C47" s="36">
        <v>27.41</v>
      </c>
      <c r="D47" s="27">
        <v>32</v>
      </c>
      <c r="E47" s="27">
        <v>878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104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30.97</v>
      </c>
      <c r="B3" s="105">
        <f>E3/D3</f>
        <v>33.244999999999997</v>
      </c>
      <c r="C3" s="118" t="s">
        <v>105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0.42051436306211459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(C3*D3+F3-E3)</f>
        <v>5592</v>
      </c>
      <c r="H4" s="104"/>
      <c r="I4" s="104"/>
      <c r="J4" s="104"/>
    </row>
    <row r="5" spans="1:10" ht="17.25" customHeight="1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 x14ac:dyDescent="0.3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 x14ac:dyDescent="0.3">
      <c r="A8" s="18">
        <v>3</v>
      </c>
      <c r="B8" s="26" t="s">
        <v>106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 x14ac:dyDescent="0.3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 x14ac:dyDescent="0.3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 x14ac:dyDescent="0.3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 x14ac:dyDescent="0.3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 x14ac:dyDescent="0.3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 x14ac:dyDescent="0.3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 x14ac:dyDescent="0.3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 x14ac:dyDescent="0.3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188:G188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opLeftCell="A22" zoomScaleNormal="100" workbookViewId="0">
      <selection activeCell="F45" sqref="F45:G45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107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108</v>
      </c>
      <c r="J2" s="28" t="s">
        <v>31</v>
      </c>
    </row>
    <row r="3" spans="1:10" ht="18.75" customHeight="1" x14ac:dyDescent="0.3">
      <c r="A3" s="102">
        <f>(E3-F3)/D3</f>
        <v>3625.6996657775535</v>
      </c>
      <c r="B3" s="105">
        <f>E3/D3</f>
        <v>3673.1290264063236</v>
      </c>
      <c r="C3" s="117">
        <f>H3*I3</f>
        <v>4410.3125</v>
      </c>
      <c r="D3" s="112">
        <f>SUM(D7:D505)</f>
        <v>46.911869999999993</v>
      </c>
      <c r="E3" s="115">
        <f>SUM(E7:E505)</f>
        <v>172313.35138000001</v>
      </c>
      <c r="F3" s="115">
        <f>SUM(F6:G505)</f>
        <v>2225</v>
      </c>
      <c r="G3" s="8">
        <f>G4/E3</f>
        <v>0.21360884101315869</v>
      </c>
      <c r="H3" s="107" t="s">
        <v>109</v>
      </c>
      <c r="I3" s="120">
        <f>投資!G2</f>
        <v>31.25</v>
      </c>
      <c r="J3" s="108">
        <f>SUM(J7:J505)</f>
        <v>5446.8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36807.655279374972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110</v>
      </c>
      <c r="J5" s="103" t="s">
        <v>111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112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113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113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114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115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116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117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118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99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119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120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121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122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123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124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125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90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 t="s">
        <v>155</v>
      </c>
      <c r="C47" s="38">
        <f t="shared" si="0"/>
        <v>4430.625</v>
      </c>
      <c r="D47" s="27">
        <v>0.91691</v>
      </c>
      <c r="E47" s="27">
        <v>4075</v>
      </c>
      <c r="F47" s="100"/>
      <c r="G47" s="46"/>
      <c r="H47" s="21">
        <v>141.78</v>
      </c>
      <c r="I47" s="21">
        <v>31.25</v>
      </c>
      <c r="J47" s="21">
        <v>130.01</v>
      </c>
    </row>
    <row r="48" spans="1:10" s="13" customFormat="1" ht="16.5" customHeight="1" x14ac:dyDescent="0.3">
      <c r="A48" s="18">
        <v>43</v>
      </c>
      <c r="B48" s="26"/>
      <c r="C48" s="38">
        <f t="shared" si="0"/>
        <v>0</v>
      </c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126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127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94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128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129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130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107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108</v>
      </c>
      <c r="J2" s="28" t="s">
        <v>31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2315.3125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131</v>
      </c>
      <c r="I3" s="111">
        <f>投資!G2</f>
        <v>31.25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110</v>
      </c>
      <c r="J5" s="103" t="s">
        <v>111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132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112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133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133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95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134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135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136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116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137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138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139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140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141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142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143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144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145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146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147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148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149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150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151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152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153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154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122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123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2025-12-09T14:57:40Z</dcterms:modified>
  <dc:language>en-US</dc:language>
</cp:coreProperties>
</file>