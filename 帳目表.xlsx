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6626A820-3792-4178-8F39-53E5303C86D1}" xr6:coauthVersionLast="47" xr6:coauthVersionMax="47" xr10:uidLastSave="{00000000-0000-0000-0000-000000000000}"/>
  <bookViews>
    <workbookView xWindow="-120" yWindow="-120" windowWidth="29040" windowHeight="15720" tabRatio="679" activeTab="5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9" r:id="rId6"/>
    <sheet name="00692" sheetId="6" r:id="rId7"/>
    <sheet name="BND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E8" i="9"/>
  <c r="E9" i="9"/>
  <c r="E10" i="9"/>
  <c r="E11" i="9"/>
  <c r="E12" i="9"/>
  <c r="E13" i="9"/>
  <c r="E3" i="9" s="1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7" i="9"/>
  <c r="F3" i="9"/>
  <c r="J3" i="9"/>
  <c r="I3" i="9"/>
  <c r="D3" i="9"/>
  <c r="C3" i="9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G4" i="7" s="1"/>
  <c r="G3" i="7" s="1"/>
  <c r="C3" i="7"/>
  <c r="F3" i="6"/>
  <c r="E3" i="6"/>
  <c r="B3" i="6" s="1"/>
  <c r="D3" i="6"/>
  <c r="G4" i="6" s="1"/>
  <c r="G3" i="6" s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C53" i="5"/>
  <c r="C52" i="5"/>
  <c r="C51" i="5"/>
  <c r="C50" i="5"/>
  <c r="I49" i="5"/>
  <c r="C49" i="5" s="1"/>
  <c r="E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D3" i="5"/>
  <c r="C3" i="5"/>
  <c r="F3" i="4"/>
  <c r="E3" i="4"/>
  <c r="D3" i="4"/>
  <c r="K3" i="1" s="1"/>
  <c r="F3" i="3"/>
  <c r="E3" i="3"/>
  <c r="A3" i="2" s="1"/>
  <c r="D3" i="3"/>
  <c r="C12" i="1"/>
  <c r="G10" i="1"/>
  <c r="C10" i="1"/>
  <c r="S7" i="1"/>
  <c r="S6" i="1"/>
  <c r="S5" i="1"/>
  <c r="S10" i="1" s="1"/>
  <c r="B17" i="2" s="1"/>
  <c r="C18" i="2" s="1"/>
  <c r="C17" i="2" s="1"/>
  <c r="S4" i="1"/>
  <c r="S3" i="1"/>
  <c r="S2" i="1"/>
  <c r="B3" i="9" l="1"/>
  <c r="B3" i="5"/>
  <c r="A3" i="5"/>
  <c r="O2" i="1"/>
  <c r="O10" i="1" s="1"/>
  <c r="B10" i="2" s="1"/>
  <c r="G4" i="3"/>
  <c r="G3" i="3" s="1"/>
  <c r="B3" i="4"/>
  <c r="A3" i="9"/>
  <c r="G4" i="9"/>
  <c r="G3" i="9" s="1"/>
  <c r="A3" i="6"/>
  <c r="A10" i="2"/>
  <c r="B3" i="3"/>
  <c r="G4" i="4"/>
  <c r="G3" i="4" s="1"/>
  <c r="G4" i="5"/>
  <c r="G3" i="5" s="1"/>
  <c r="A3" i="3"/>
  <c r="K2" i="1"/>
  <c r="K10" i="1" s="1"/>
  <c r="B3" i="2" s="1"/>
  <c r="A3" i="7"/>
  <c r="A3" i="4"/>
  <c r="C11" i="2" l="1"/>
  <c r="C10" i="2" s="1"/>
  <c r="F10" i="2"/>
  <c r="C4" i="2"/>
  <c r="C3" i="2" s="1"/>
  <c r="E10" i="2"/>
  <c r="A12" i="1"/>
  <c r="G11" i="2" l="1"/>
  <c r="G10" i="2" s="1"/>
  <c r="A16" i="1"/>
  <c r="C16" i="1"/>
</calcChain>
</file>

<file path=xl/sharedStrings.xml><?xml version="1.0" encoding="utf-8"?>
<sst xmlns="http://schemas.openxmlformats.org/spreadsheetml/2006/main" count="415" uniqueCount="166">
  <si>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</si>
  <si>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</si>
  <si>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</si>
  <si>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</si>
  <si>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</si>
  <si>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</si>
  <si>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</si>
  <si>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</si>
  <si>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</si>
  <si>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</si>
  <si>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</si>
  <si>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</si>
  <si>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</si>
  <si>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</si>
  <si>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</si>
  <si>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</si>
  <si>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</si>
  <si>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</si>
  <si>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</si>
  <si>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</si>
  <si>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</si>
  <si>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</si>
  <si>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</si>
  <si>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</si>
  <si>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</si>
  <si>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</si>
  <si>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</si>
  <si>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</si>
  <si>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</si>
  <si>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</si>
  <si>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</si>
  <si>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</si>
  <si>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</si>
  <si>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</si>
  <si>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</si>
  <si>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</si>
  <si>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</si>
  <si>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</si>
  <si>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</si>
  <si>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</si>
  <si>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</si>
  <si>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</si>
  <si>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</si>
  <si>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</si>
  <si>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</si>
  <si>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</si>
  <si>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</si>
  <si>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</si>
  <si>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</si>
  <si>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</si>
  <si>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</si>
  <si>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</si>
  <si>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</si>
  <si>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</si>
  <si>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</si>
  <si>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</si>
  <si>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</si>
  <si>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</si>
  <si>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</si>
  <si>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</si>
  <si>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</si>
  <si>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</si>
  <si>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</si>
  <si>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</si>
  <si>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</si>
  <si>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</si>
  <si>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</si>
  <si>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</si>
  <si>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</si>
  <si>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</si>
  <si>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</si>
  <si>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</si>
  <si>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</si>
  <si>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</si>
  <si>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</si>
  <si>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</si>
  <si>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</si>
  <si>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</si>
  <si>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</si>
  <si>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</si>
  <si>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</si>
  <si>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</si>
  <si>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</si>
  <si>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</si>
  <si>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</si>
  <si>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</si>
  <si>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</si>
  <si>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</si>
  <si>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</si>
  <si>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</si>
  <si>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</si>
  <si>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</si>
  <si>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</si>
  <si>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</si>
  <si>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</si>
  <si>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</si>
  <si>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</si>
  <si>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</si>
  <si>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</si>
  <si>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</si>
  <si>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</si>
  <si>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</si>
  <si>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</si>
  <si>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</si>
  <si>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</si>
  <si>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</si>
  <si>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</si>
  <si>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</si>
  <si>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</si>
  <si>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</si>
  <si>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</si>
  <si>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</si>
  <si>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</si>
  <si>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</si>
  <si>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</si>
  <si>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</si>
  <si>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</si>
  <si>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</si>
  <si>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</si>
  <si>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</si>
  <si>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</si>
  <si>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</si>
  <si>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</si>
  <si>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</si>
  <si>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</si>
  <si>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</si>
  <si>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</si>
  <si>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</si>
  <si>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</si>
  <si>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</si>
  <si>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</si>
  <si>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</si>
  <si>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</si>
  <si>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</si>
  <si>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</si>
  <si>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</si>
  <si>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</si>
  <si>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</si>
  <si>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</si>
  <si>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</si>
  <si>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</si>
  <si>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</si>
  <si>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</si>
  <si>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</si>
  <si>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</si>
  <si>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</si>
  <si>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</si>
  <si>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</si>
  <si>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</si>
  <si>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</si>
  <si>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</si>
  <si>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</si>
  <si>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</si>
  <si>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</si>
  <si>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</si>
  <si>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</si>
  <si>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</si>
  <si>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</si>
  <si>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</si>
  <si>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</si>
  <si>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</si>
  <si>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</si>
  <si>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</si>
  <si>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</si>
  <si>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VOO</t>
    <phoneticPr fontId="13" type="noConversion"/>
  </si>
  <si>
    <t>2026.07.06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</si>
</sst>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1AC-411B-9F94-CFDC5B38BA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1AC-411B-9F94-CFDC5B38BA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1AC-411B-9F94-CFDC5B38BA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1AC-411B-9F94-CFDC5B38BA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1AC-411B-9F94-CFDC5B38BA0C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19919.456249999999</c:v>
                </c:pt>
                <c:pt idx="2">
                  <c:v>410986.13159999996</c:v>
                </c:pt>
                <c:pt idx="3">
                  <c:v>259940.13388118995</c:v>
                </c:pt>
                <c:pt idx="4">
                  <c:v>235830.23482500002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1AC-411B-9F94-CFDC5B38BA0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79F-4EC6-8E68-BAE411201B0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79F-4EC6-8E68-BAE411201B0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79F-4EC6-8E68-BAE411201B0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79F-4EC6-8E68-BAE411201B0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79F-4EC6-8E68-BAE411201B0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79F-4EC6-8E68-BAE411201B00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209187.84809999997</c:v>
                </c:pt>
                <c:pt idx="1">
                  <c:v>201798.28349999999</c:v>
                </c:pt>
                <c:pt idx="2">
                  <c:v>258725.63725664245</c:v>
                </c:pt>
                <c:pt idx="3">
                  <c:v>69524.730450000003</c:v>
                </c:pt>
                <c:pt idx="4">
                  <c:v>7499.2960499999999</c:v>
                </c:pt>
                <c:pt idx="5">
                  <c:v>9894.1016999999993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79F-4EC6-8E68-BAE411201B0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O4" sqref="O4:P4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93" t="s">
        <v>0</v>
      </c>
      <c r="B1" s="47"/>
      <c r="C1" s="47"/>
      <c r="D1" s="48"/>
      <c r="E1" s="60" t="s">
        <v>1</v>
      </c>
      <c r="F1" s="47"/>
      <c r="G1" s="47"/>
      <c r="H1" s="48"/>
      <c r="I1" s="46" t="s">
        <v>2</v>
      </c>
      <c r="J1" s="47"/>
      <c r="K1" s="47"/>
      <c r="L1" s="48"/>
      <c r="M1" s="94" t="s">
        <v>3</v>
      </c>
      <c r="N1" s="47"/>
      <c r="O1" s="47"/>
      <c r="P1" s="48"/>
      <c r="Q1" s="82" t="s">
        <v>4</v>
      </c>
      <c r="R1" s="47"/>
      <c r="S1" s="47"/>
      <c r="T1" s="48"/>
    </row>
    <row r="2" spans="1:26" ht="17.25" customHeight="1" x14ac:dyDescent="0.25">
      <c r="A2" s="100" t="s">
        <v>5</v>
      </c>
      <c r="B2" s="101"/>
      <c r="C2" s="102">
        <v>224827</v>
      </c>
      <c r="D2" s="57"/>
      <c r="E2" s="103" t="s">
        <v>6</v>
      </c>
      <c r="F2" s="101"/>
      <c r="G2" s="86">
        <v>4.72</v>
      </c>
      <c r="H2" s="57"/>
      <c r="I2" s="87" t="s">
        <v>7</v>
      </c>
      <c r="J2" s="66"/>
      <c r="K2" s="56">
        <f>'006208'!D3*'006208'!C3*0.997</f>
        <v>209187.84809999997</v>
      </c>
      <c r="L2" s="57"/>
      <c r="M2" s="92" t="s">
        <v>8</v>
      </c>
      <c r="N2" s="66"/>
      <c r="O2" s="64">
        <f>VT!H3*VT!D3</f>
        <v>258725.63725664245</v>
      </c>
      <c r="P2" s="57"/>
      <c r="Q2" s="65" t="s">
        <v>9</v>
      </c>
      <c r="R2" s="66"/>
      <c r="S2" s="95">
        <f>(682.1+1166.72+328.25)*投資!G2</f>
        <v>69524.730450000003</v>
      </c>
      <c r="T2" s="57"/>
    </row>
    <row r="3" spans="1:26" ht="17.25" customHeight="1" x14ac:dyDescent="0.25">
      <c r="A3" s="50" t="s">
        <v>10</v>
      </c>
      <c r="B3" s="44"/>
      <c r="C3" s="45">
        <v>11601</v>
      </c>
      <c r="D3" s="42"/>
      <c r="E3" s="49" t="s">
        <v>11</v>
      </c>
      <c r="F3" s="44"/>
      <c r="G3" s="80">
        <v>521.76</v>
      </c>
      <c r="H3" s="42"/>
      <c r="I3" s="99" t="s">
        <v>12</v>
      </c>
      <c r="J3" s="78"/>
      <c r="K3" s="83">
        <f>'2890'!D3*'2890'!C3*0.997</f>
        <v>201798.28349999999</v>
      </c>
      <c r="L3" s="42"/>
      <c r="M3" s="90" t="s">
        <v>164</v>
      </c>
      <c r="N3" s="78"/>
      <c r="O3" s="41">
        <f>VOO!C3*VOO!D3</f>
        <v>1214.4966245474998</v>
      </c>
      <c r="P3" s="42"/>
      <c r="Q3" s="77" t="s">
        <v>13</v>
      </c>
      <c r="R3" s="78"/>
      <c r="S3" s="51">
        <f>234.83*投資!G2</f>
        <v>7499.2960499999999</v>
      </c>
      <c r="T3" s="42"/>
    </row>
    <row r="4" spans="1:26" ht="15.75" customHeight="1" x14ac:dyDescent="0.25">
      <c r="A4" s="50" t="s">
        <v>14</v>
      </c>
      <c r="B4" s="44"/>
      <c r="C4" s="45">
        <v>120075</v>
      </c>
      <c r="D4" s="42"/>
      <c r="E4" s="49" t="s">
        <v>15</v>
      </c>
      <c r="F4" s="44"/>
      <c r="G4" s="80">
        <v>97.27</v>
      </c>
      <c r="H4" s="42"/>
      <c r="I4" s="99"/>
      <c r="J4" s="78"/>
      <c r="K4" s="83"/>
      <c r="L4" s="42"/>
      <c r="M4" s="90"/>
      <c r="N4" s="78"/>
      <c r="O4" s="41"/>
      <c r="P4" s="42"/>
      <c r="Q4" s="77" t="s">
        <v>16</v>
      </c>
      <c r="R4" s="78"/>
      <c r="S4" s="51">
        <f>309.82*投資!G2</f>
        <v>9894.1016999999993</v>
      </c>
      <c r="T4" s="42"/>
    </row>
    <row r="5" spans="1:26" ht="16.5" customHeight="1" x14ac:dyDescent="0.25">
      <c r="A5" s="50" t="s">
        <v>17</v>
      </c>
      <c r="B5" s="44"/>
      <c r="C5" s="45">
        <v>0</v>
      </c>
      <c r="D5" s="42"/>
      <c r="E5" s="49"/>
      <c r="F5" s="44"/>
      <c r="G5" s="80"/>
      <c r="H5" s="42"/>
      <c r="I5" s="76"/>
      <c r="J5" s="44"/>
      <c r="K5" s="83"/>
      <c r="L5" s="42"/>
      <c r="M5" s="90"/>
      <c r="N5" s="78"/>
      <c r="O5" s="41"/>
      <c r="P5" s="42"/>
      <c r="Q5" s="77" t="s">
        <v>18</v>
      </c>
      <c r="R5" s="78"/>
      <c r="S5" s="51">
        <f>15.45*投資!G2</f>
        <v>493.39574999999996</v>
      </c>
      <c r="T5" s="42"/>
    </row>
    <row r="6" spans="1:26" ht="17.25" customHeight="1" x14ac:dyDescent="0.25">
      <c r="A6" s="50" t="s">
        <v>19</v>
      </c>
      <c r="B6" s="44"/>
      <c r="C6" s="45">
        <v>2</v>
      </c>
      <c r="D6" s="42"/>
      <c r="E6" s="49"/>
      <c r="F6" s="44"/>
      <c r="G6" s="80"/>
      <c r="H6" s="42"/>
      <c r="I6" s="76"/>
      <c r="J6" s="44"/>
      <c r="K6" s="83"/>
      <c r="L6" s="42"/>
      <c r="M6" s="63"/>
      <c r="N6" s="44"/>
      <c r="O6" s="41"/>
      <c r="P6" s="42"/>
      <c r="Q6" s="43" t="s">
        <v>20</v>
      </c>
      <c r="R6" s="44"/>
      <c r="S6" s="51">
        <f>(502.19+483.32+301.6+2206.02+151.975)*投資!G2</f>
        <v>116406.42817499999</v>
      </c>
      <c r="T6" s="42"/>
    </row>
    <row r="7" spans="1:26" ht="17.25" customHeight="1" x14ac:dyDescent="0.25">
      <c r="A7" s="50" t="s">
        <v>21</v>
      </c>
      <c r="B7" s="44"/>
      <c r="C7" s="45">
        <v>100000</v>
      </c>
      <c r="D7" s="42"/>
      <c r="E7" s="49"/>
      <c r="F7" s="44"/>
      <c r="G7" s="80"/>
      <c r="H7" s="42"/>
      <c r="I7" s="76"/>
      <c r="J7" s="44"/>
      <c r="K7" s="83"/>
      <c r="L7" s="42"/>
      <c r="M7" s="63"/>
      <c r="N7" s="44"/>
      <c r="O7" s="41"/>
      <c r="P7" s="42"/>
      <c r="Q7" s="43" t="s">
        <v>22</v>
      </c>
      <c r="R7" s="44"/>
      <c r="S7" s="51">
        <f>(501.74+500.68)*投資!G2</f>
        <v>32012.2827</v>
      </c>
      <c r="T7" s="42"/>
    </row>
    <row r="8" spans="1:26" ht="17.25" customHeight="1" x14ac:dyDescent="0.25">
      <c r="A8" s="50" t="s">
        <v>23</v>
      </c>
      <c r="B8" s="44"/>
      <c r="C8" s="45">
        <v>60000</v>
      </c>
      <c r="D8" s="42"/>
      <c r="E8" s="49"/>
      <c r="F8" s="44"/>
      <c r="G8" s="80"/>
      <c r="H8" s="42"/>
      <c r="I8" s="76"/>
      <c r="J8" s="44"/>
      <c r="K8" s="83"/>
      <c r="L8" s="42"/>
      <c r="M8" s="63"/>
      <c r="N8" s="44"/>
      <c r="O8" s="41"/>
      <c r="P8" s="42"/>
      <c r="Q8" s="43"/>
      <c r="R8" s="44"/>
      <c r="S8" s="51"/>
      <c r="T8" s="42"/>
    </row>
    <row r="9" spans="1:26" ht="17.25" customHeight="1" thickBot="1" x14ac:dyDescent="0.3">
      <c r="A9" s="67" t="s">
        <v>24</v>
      </c>
      <c r="B9" s="68"/>
      <c r="C9" s="96">
        <v>800</v>
      </c>
      <c r="D9" s="97"/>
      <c r="E9" s="98"/>
      <c r="F9" s="59"/>
      <c r="G9" s="84"/>
      <c r="H9" s="62"/>
      <c r="I9" s="85"/>
      <c r="J9" s="59"/>
      <c r="K9" s="88"/>
      <c r="L9" s="62"/>
      <c r="M9" s="89"/>
      <c r="N9" s="59"/>
      <c r="O9" s="91"/>
      <c r="P9" s="62"/>
      <c r="Q9" s="58"/>
      <c r="R9" s="59"/>
      <c r="S9" s="61"/>
      <c r="T9" s="62"/>
    </row>
    <row r="10" spans="1:26" ht="17.25" customHeight="1" thickBot="1" x14ac:dyDescent="0.3">
      <c r="A10" s="52" t="s">
        <v>25</v>
      </c>
      <c r="B10" s="53"/>
      <c r="C10" s="54">
        <f>SUM(C2:D9)</f>
        <v>517305</v>
      </c>
      <c r="D10" s="55"/>
      <c r="E10" s="52" t="s">
        <v>25</v>
      </c>
      <c r="F10" s="53"/>
      <c r="G10" s="54">
        <f>SUM(G2:H9)*投資!G2</f>
        <v>19919.456249999999</v>
      </c>
      <c r="H10" s="55"/>
      <c r="I10" s="52" t="s">
        <v>25</v>
      </c>
      <c r="J10" s="53"/>
      <c r="K10" s="54">
        <f>SUM(K2:L9)</f>
        <v>410986.13159999996</v>
      </c>
      <c r="L10" s="55"/>
      <c r="M10" s="52" t="s">
        <v>25</v>
      </c>
      <c r="N10" s="53"/>
      <c r="O10" s="54">
        <f>SUM(O2:P9)</f>
        <v>259940.13388118995</v>
      </c>
      <c r="P10" s="55"/>
      <c r="Q10" s="52" t="s">
        <v>25</v>
      </c>
      <c r="R10" s="53"/>
      <c r="S10" s="54">
        <f>SUM(S2:T9)</f>
        <v>235830.23482500002</v>
      </c>
      <c r="T10" s="55"/>
    </row>
    <row r="11" spans="1:26" ht="31.5" customHeight="1" thickBot="1" x14ac:dyDescent="0.3">
      <c r="A11" s="79" t="s">
        <v>26</v>
      </c>
      <c r="B11" s="55"/>
      <c r="C11" s="104" t="s">
        <v>27</v>
      </c>
      <c r="D11" s="5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69">
        <f>C10+G10+K10+O10+S10</f>
        <v>1443980.9565561898</v>
      </c>
      <c r="B12" s="48"/>
      <c r="C12" s="72">
        <f>12012</f>
        <v>12012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79" t="s">
        <v>28</v>
      </c>
      <c r="B14" s="48"/>
      <c r="C14" s="104" t="s">
        <v>29</v>
      </c>
      <c r="D14" s="4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69">
        <f>A12-C12</f>
        <v>1431968.9565561898</v>
      </c>
      <c r="B16" s="48"/>
      <c r="C16" s="81">
        <f>C12/A12</f>
        <v>8.3186692632345495E-3</v>
      </c>
      <c r="D16" s="4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05" t="s">
        <v>2</v>
      </c>
      <c r="B1" s="106"/>
      <c r="C1" s="44"/>
      <c r="D1" s="3"/>
      <c r="E1" s="40" t="s">
        <v>30</v>
      </c>
      <c r="F1" s="40" t="s">
        <v>31</v>
      </c>
      <c r="G1" s="40" t="s">
        <v>32</v>
      </c>
    </row>
    <row r="2" spans="1:10" ht="21.75" customHeight="1" x14ac:dyDescent="0.3">
      <c r="A2" s="4" t="s">
        <v>33</v>
      </c>
      <c r="B2" s="4" t="s">
        <v>34</v>
      </c>
      <c r="C2" s="4" t="s">
        <v>35</v>
      </c>
      <c r="D2" s="5"/>
      <c r="E2" s="6">
        <v>304</v>
      </c>
      <c r="F2" s="6">
        <v>0</v>
      </c>
      <c r="G2" s="28">
        <v>31.934999999999999</v>
      </c>
    </row>
    <row r="3" spans="1:10" ht="17.25" customHeight="1" x14ac:dyDescent="0.3">
      <c r="A3" s="107">
        <f>('006208'!E3+'00692'!E3+'2890'!E3)-('006208'!F3+'00692'!F3+'2890'!F3)-E2+7345</f>
        <v>153357</v>
      </c>
      <c r="B3" s="107">
        <f>總資產!K10</f>
        <v>410986.13159999996</v>
      </c>
      <c r="C3" s="7">
        <f>C4/A3</f>
        <v>1.6799306950448951</v>
      </c>
      <c r="D3" s="8"/>
      <c r="E3" s="9"/>
      <c r="F3" s="9"/>
      <c r="G3" s="9"/>
    </row>
    <row r="4" spans="1:10" ht="17.25" customHeight="1" x14ac:dyDescent="0.3">
      <c r="A4" s="108"/>
      <c r="B4" s="108"/>
      <c r="C4" s="29">
        <f>B3-A3</f>
        <v>257629.13159999996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05" t="s">
        <v>3</v>
      </c>
      <c r="B8" s="106"/>
      <c r="C8" s="44"/>
      <c r="D8" s="5"/>
      <c r="E8" s="105" t="s">
        <v>36</v>
      </c>
      <c r="F8" s="106"/>
      <c r="G8" s="44"/>
    </row>
    <row r="9" spans="1:10" ht="15" customHeight="1" x14ac:dyDescent="0.3">
      <c r="A9" s="4" t="s">
        <v>33</v>
      </c>
      <c r="B9" s="4" t="s">
        <v>34</v>
      </c>
      <c r="C9" s="4" t="s">
        <v>35</v>
      </c>
      <c r="D9" s="5"/>
      <c r="E9" s="4" t="s">
        <v>33</v>
      </c>
      <c r="F9" s="4" t="s">
        <v>34</v>
      </c>
      <c r="G9" s="4" t="s">
        <v>35</v>
      </c>
    </row>
    <row r="10" spans="1:10" ht="18" customHeight="1" x14ac:dyDescent="0.3">
      <c r="A10" s="107">
        <f>(BND!E3+VT!E3)-(BND!F3+VT!F3)</f>
        <v>193767.14752999999</v>
      </c>
      <c r="B10" s="107">
        <f>總資產!O10</f>
        <v>259940.13388118995</v>
      </c>
      <c r="C10" s="7">
        <f>C11/A10</f>
        <v>0.34150776947854244</v>
      </c>
      <c r="D10" s="5"/>
      <c r="E10" s="107">
        <f>A3+A10+A17</f>
        <v>600705.14752999996</v>
      </c>
      <c r="F10" s="107">
        <f>B3+B10+B17</f>
        <v>906756.50030618999</v>
      </c>
      <c r="G10" s="7">
        <f>G11/E10</f>
        <v>0.50948681567757903</v>
      </c>
    </row>
    <row r="11" spans="1:10" ht="18" customHeight="1" x14ac:dyDescent="0.3">
      <c r="A11" s="108"/>
      <c r="B11" s="108"/>
      <c r="C11" s="29">
        <f>B10-A10</f>
        <v>66172.98635118996</v>
      </c>
      <c r="D11" s="5"/>
      <c r="E11" s="108"/>
      <c r="F11" s="108"/>
      <c r="G11" s="31">
        <f>F10-E10</f>
        <v>306051.35277619003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33</v>
      </c>
      <c r="B16" s="4" t="s">
        <v>34</v>
      </c>
      <c r="C16" s="4" t="s">
        <v>35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07">
        <v>253581</v>
      </c>
      <c r="B17" s="107">
        <f>總資產!S10</f>
        <v>235830.23482500002</v>
      </c>
      <c r="C17" s="7">
        <f>C18/A17</f>
        <v>-7.0000375323860928E-2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108"/>
      <c r="B18" s="108"/>
      <c r="C18" s="29">
        <f>B17-A17</f>
        <v>-17750.765174999979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G3" sqref="G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118" t="s">
        <v>37</v>
      </c>
      <c r="D1" s="119"/>
      <c r="E1" s="119"/>
      <c r="F1" s="123" t="s">
        <v>38</v>
      </c>
      <c r="G1" s="44"/>
      <c r="H1" s="122"/>
      <c r="I1" s="106"/>
      <c r="J1" s="44"/>
    </row>
    <row r="2" spans="1:10" ht="21.75" customHeight="1" x14ac:dyDescent="0.3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 x14ac:dyDescent="0.3">
      <c r="A3" s="111">
        <f>(E3-F3)/D3</f>
        <v>106.15244596131969</v>
      </c>
      <c r="B3" s="114">
        <f>E3/D3</f>
        <v>110.66780432309443</v>
      </c>
      <c r="C3" s="126">
        <v>238.7</v>
      </c>
      <c r="D3" s="121">
        <f>SUM(D7:D505)</f>
        <v>879</v>
      </c>
      <c r="E3" s="124">
        <f>SUM(E7:E505)</f>
        <v>97277</v>
      </c>
      <c r="F3" s="124">
        <f>SUM(F6:G505)</f>
        <v>3969</v>
      </c>
      <c r="G3" s="7">
        <f>G4/E3</f>
        <v>1.1977065493384869</v>
      </c>
      <c r="H3" s="116"/>
      <c r="I3" s="120"/>
      <c r="J3" s="117"/>
    </row>
    <row r="4" spans="1:10" ht="18.75" customHeight="1" x14ac:dyDescent="0.3">
      <c r="A4" s="108"/>
      <c r="B4" s="108"/>
      <c r="C4" s="113"/>
      <c r="D4" s="108"/>
      <c r="E4" s="108"/>
      <c r="F4" s="108"/>
      <c r="G4" s="32">
        <f>D3*C3-E3+F3</f>
        <v>116509.29999999999</v>
      </c>
      <c r="H4" s="113"/>
      <c r="I4" s="113"/>
      <c r="J4" s="113"/>
    </row>
    <row r="5" spans="1:10" x14ac:dyDescent="0.3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 x14ac:dyDescent="0.3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 x14ac:dyDescent="0.3">
      <c r="A7" s="17">
        <v>2</v>
      </c>
      <c r="B7" s="25" t="s">
        <v>51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 x14ac:dyDescent="0.3">
      <c r="A8" s="17">
        <v>3</v>
      </c>
      <c r="B8" s="25" t="s">
        <v>52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 x14ac:dyDescent="0.3">
      <c r="A9" s="17">
        <v>4</v>
      </c>
      <c r="B9" s="25" t="s">
        <v>53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 x14ac:dyDescent="0.3">
      <c r="A10" s="17">
        <v>5</v>
      </c>
      <c r="B10" s="25" t="s">
        <v>54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 x14ac:dyDescent="0.3">
      <c r="A11" s="17">
        <v>6</v>
      </c>
      <c r="B11" s="25" t="s">
        <v>55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 x14ac:dyDescent="0.3">
      <c r="A12" s="17">
        <v>7</v>
      </c>
      <c r="B12" s="25" t="s">
        <v>56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 x14ac:dyDescent="0.3">
      <c r="A13" s="17">
        <v>8</v>
      </c>
      <c r="B13" s="25" t="s">
        <v>57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 x14ac:dyDescent="0.3">
      <c r="A14" s="17">
        <v>9</v>
      </c>
      <c r="B14" s="25" t="s">
        <v>58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 x14ac:dyDescent="0.3">
      <c r="A15" s="17">
        <v>10</v>
      </c>
      <c r="B15" s="25" t="s">
        <v>59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 x14ac:dyDescent="0.3">
      <c r="A16" s="17">
        <v>11</v>
      </c>
      <c r="B16" s="25" t="s">
        <v>60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60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61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62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63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64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65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66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67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68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69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70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71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72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73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74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75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76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77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78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79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79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80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81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82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83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84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85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86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87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88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89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90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91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92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93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94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95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96</v>
      </c>
      <c r="C54" s="33">
        <v>178.41</v>
      </c>
      <c r="D54" s="26">
        <v>17</v>
      </c>
      <c r="E54" s="26">
        <v>3034</v>
      </c>
      <c r="F54" s="109"/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97</v>
      </c>
      <c r="C55" s="33">
        <v>174.53</v>
      </c>
      <c r="D55" s="26">
        <v>17</v>
      </c>
      <c r="E55" s="26">
        <v>2968</v>
      </c>
      <c r="F55" s="109"/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98</v>
      </c>
      <c r="C56" s="33">
        <v>221.62</v>
      </c>
      <c r="D56" s="26">
        <v>13</v>
      </c>
      <c r="E56" s="26">
        <v>2882</v>
      </c>
      <c r="F56" s="109"/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99</v>
      </c>
      <c r="C57" s="33">
        <v>233</v>
      </c>
      <c r="D57" s="26">
        <v>13</v>
      </c>
      <c r="E57" s="26">
        <v>3030</v>
      </c>
      <c r="F57" s="109"/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165</v>
      </c>
      <c r="C58" s="33">
        <v>252.17</v>
      </c>
      <c r="D58" s="26">
        <v>12</v>
      </c>
      <c r="E58" s="26">
        <v>3027</v>
      </c>
      <c r="F58" s="109"/>
      <c r="G58" s="44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55" sqref="E55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118" t="s">
        <v>37</v>
      </c>
      <c r="D1" s="119"/>
      <c r="E1" s="119"/>
      <c r="F1" s="123" t="s">
        <v>100</v>
      </c>
      <c r="G1" s="44"/>
      <c r="H1" s="122"/>
      <c r="I1" s="106"/>
      <c r="J1" s="44"/>
    </row>
    <row r="2" spans="1:10" ht="21.75" customHeight="1" x14ac:dyDescent="0.3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 x14ac:dyDescent="0.3">
      <c r="A3" s="111">
        <f>(E3-F3)/D3</f>
        <v>17.323404255319147</v>
      </c>
      <c r="B3" s="114">
        <f>E3/D3</f>
        <v>18.907930367504836</v>
      </c>
      <c r="C3" s="127">
        <v>39.15</v>
      </c>
      <c r="D3" s="121">
        <f>SUM(D7:D505)</f>
        <v>5170</v>
      </c>
      <c r="E3" s="124">
        <f>SUM(E7:E505)</f>
        <v>97754</v>
      </c>
      <c r="F3" s="124">
        <f>SUM(F6:G505)</f>
        <v>8192</v>
      </c>
      <c r="G3" s="7">
        <f>G4/E3</f>
        <v>1.1543619698426664</v>
      </c>
      <c r="H3" s="116"/>
      <c r="I3" s="120"/>
      <c r="J3" s="117"/>
    </row>
    <row r="4" spans="1:10" ht="18.75" customHeight="1" x14ac:dyDescent="0.3">
      <c r="A4" s="108"/>
      <c r="B4" s="108"/>
      <c r="C4" s="128"/>
      <c r="D4" s="108"/>
      <c r="E4" s="108"/>
      <c r="F4" s="108"/>
      <c r="G4" s="32">
        <f>D3*C3-E3+F3</f>
        <v>112843.5</v>
      </c>
      <c r="H4" s="113"/>
      <c r="I4" s="113"/>
      <c r="J4" s="113"/>
    </row>
    <row r="5" spans="1:10" x14ac:dyDescent="0.3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 x14ac:dyDescent="0.3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 x14ac:dyDescent="0.3">
      <c r="A7" s="17">
        <v>2</v>
      </c>
      <c r="B7" s="25" t="s">
        <v>53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 x14ac:dyDescent="0.3">
      <c r="A8" s="17">
        <v>3</v>
      </c>
      <c r="B8" s="25" t="s">
        <v>54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 x14ac:dyDescent="0.3">
      <c r="A9" s="17">
        <v>4</v>
      </c>
      <c r="B9" s="25" t="s">
        <v>54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 x14ac:dyDescent="0.3">
      <c r="A10" s="17">
        <v>5</v>
      </c>
      <c r="B10" s="25" t="s">
        <v>101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 x14ac:dyDescent="0.3">
      <c r="A11" s="17">
        <v>6</v>
      </c>
      <c r="B11" s="25" t="s">
        <v>55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 x14ac:dyDescent="0.3">
      <c r="A12" s="17">
        <v>7</v>
      </c>
      <c r="B12" s="25" t="s">
        <v>102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 x14ac:dyDescent="0.3">
      <c r="A13" s="17">
        <v>8</v>
      </c>
      <c r="B13" s="25" t="s">
        <v>56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 x14ac:dyDescent="0.3">
      <c r="A14" s="17">
        <v>9</v>
      </c>
      <c r="B14" s="25" t="s">
        <v>103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 x14ac:dyDescent="0.3">
      <c r="A15" s="17">
        <v>10</v>
      </c>
      <c r="B15" s="25" t="s">
        <v>104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 x14ac:dyDescent="0.3">
      <c r="A16" s="17">
        <v>11</v>
      </c>
      <c r="B16" s="25" t="s">
        <v>58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59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105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61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63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64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65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66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67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68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69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72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106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73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107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108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74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75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78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79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80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81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82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83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84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85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88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109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110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89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90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91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94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95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96</v>
      </c>
      <c r="C50" s="34">
        <v>31.64</v>
      </c>
      <c r="D50" s="26">
        <v>28</v>
      </c>
      <c r="E50" s="26">
        <v>887</v>
      </c>
      <c r="F50" s="109"/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97</v>
      </c>
      <c r="C51" s="34">
        <v>32.07</v>
      </c>
      <c r="D51" s="26">
        <v>28</v>
      </c>
      <c r="E51" s="26">
        <v>899</v>
      </c>
      <c r="F51" s="109"/>
      <c r="G51" s="44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98</v>
      </c>
      <c r="C52" s="34">
        <v>30.97</v>
      </c>
      <c r="D52" s="26">
        <v>29</v>
      </c>
      <c r="E52" s="26">
        <v>899</v>
      </c>
      <c r="F52" s="109"/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99</v>
      </c>
      <c r="C53" s="34">
        <v>31.64</v>
      </c>
      <c r="D53" s="26">
        <v>28</v>
      </c>
      <c r="E53" s="26">
        <v>887</v>
      </c>
      <c r="F53" s="109"/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165</v>
      </c>
      <c r="C54" s="34">
        <v>40.82</v>
      </c>
      <c r="D54" s="26">
        <v>22</v>
      </c>
      <c r="E54" s="26">
        <v>899</v>
      </c>
      <c r="F54" s="109"/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118" t="s">
        <v>37</v>
      </c>
      <c r="D1" s="119"/>
      <c r="E1" s="119"/>
      <c r="F1" s="123" t="s">
        <v>8</v>
      </c>
      <c r="G1" s="44"/>
      <c r="H1" s="122" t="s">
        <v>111</v>
      </c>
      <c r="I1" s="106"/>
      <c r="J1" s="44"/>
    </row>
    <row r="2" spans="1:10" ht="21.75" customHeight="1" x14ac:dyDescent="0.3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 t="s">
        <v>41</v>
      </c>
      <c r="I2" s="27" t="s">
        <v>112</v>
      </c>
      <c r="J2" s="27" t="s">
        <v>33</v>
      </c>
    </row>
    <row r="3" spans="1:10" ht="18.75" customHeight="1" x14ac:dyDescent="0.3">
      <c r="A3" s="111">
        <f>(E3-F3)/D3</f>
        <v>3690.4477983790621</v>
      </c>
      <c r="B3" s="114">
        <f>E3/D3</f>
        <v>3774.4300433500448</v>
      </c>
      <c r="C3" s="126">
        <f>H3</f>
        <v>4916.3932499999992</v>
      </c>
      <c r="D3" s="121">
        <f>SUM(D7:D505)</f>
        <v>52.62509</v>
      </c>
      <c r="E3" s="124">
        <f>SUM(E7:E505)</f>
        <v>198629.72073</v>
      </c>
      <c r="F3" s="124">
        <f>SUM(F6:G505)</f>
        <v>4419.5731999999998</v>
      </c>
      <c r="G3" s="7">
        <f>G4/E3</f>
        <v>0.32480280136092626</v>
      </c>
      <c r="H3" s="116">
        <v>4916.3932499999992</v>
      </c>
      <c r="I3" s="129">
        <f>投資!G2</f>
        <v>31.934999999999999</v>
      </c>
      <c r="J3" s="117">
        <f>SUM(J7:J505)</f>
        <v>6286.8800000000019</v>
      </c>
    </row>
    <row r="4" spans="1:10" ht="18.75" customHeight="1" x14ac:dyDescent="0.3">
      <c r="A4" s="108"/>
      <c r="B4" s="108"/>
      <c r="C4" s="113"/>
      <c r="D4" s="108"/>
      <c r="E4" s="108"/>
      <c r="F4" s="108"/>
      <c r="G4" s="32">
        <f>D3*C3-E3+F3</f>
        <v>64515.489726642452</v>
      </c>
      <c r="H4" s="113"/>
      <c r="I4" s="113"/>
      <c r="J4" s="113"/>
    </row>
    <row r="5" spans="1:10" x14ac:dyDescent="0.3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 t="s">
        <v>46</v>
      </c>
      <c r="I5" s="112" t="s">
        <v>113</v>
      </c>
      <c r="J5" s="112" t="s">
        <v>114</v>
      </c>
    </row>
    <row r="6" spans="1:10" x14ac:dyDescent="0.3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 x14ac:dyDescent="0.3">
      <c r="A7" s="17">
        <v>2</v>
      </c>
      <c r="B7" s="25" t="s">
        <v>51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115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116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116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117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 x14ac:dyDescent="0.3">
      <c r="A12" s="17">
        <v>7</v>
      </c>
      <c r="B12" s="25" t="s">
        <v>56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58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59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118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 x14ac:dyDescent="0.3">
      <c r="A16" s="17">
        <v>11</v>
      </c>
      <c r="B16" s="25" t="s">
        <v>61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119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64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120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65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66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67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121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68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69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72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106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73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74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75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122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78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79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80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123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81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82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83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124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84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85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125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126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127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128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90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91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129</v>
      </c>
      <c r="C48" s="36">
        <f t="shared" si="0"/>
        <v>0</v>
      </c>
      <c r="D48" s="26"/>
      <c r="E48" s="26"/>
      <c r="F48" s="109">
        <f>36.62*投資!G2</f>
        <v>1169.4596999999999</v>
      </c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130</v>
      </c>
      <c r="C49" s="36">
        <f t="shared" si="0"/>
        <v>4558.0825499999992</v>
      </c>
      <c r="D49" s="26">
        <v>0.21018000000000001</v>
      </c>
      <c r="E49" s="26">
        <f>30.01*投資!G2</f>
        <v>958.36935000000005</v>
      </c>
      <c r="F49" s="109"/>
      <c r="G49" s="44"/>
      <c r="H49" s="20">
        <v>142.72999999999999</v>
      </c>
      <c r="I49" s="20">
        <f>投資!G2</f>
        <v>31.934999999999999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94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95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96</v>
      </c>
      <c r="C52" s="36">
        <f t="shared" si="0"/>
        <v>4470.0361199999998</v>
      </c>
      <c r="D52" s="26">
        <v>0.91749000000000003</v>
      </c>
      <c r="E52" s="26">
        <v>4105</v>
      </c>
      <c r="F52" s="109"/>
      <c r="G52" s="44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131</v>
      </c>
      <c r="C53" s="36">
        <f t="shared" si="0"/>
        <v>0</v>
      </c>
      <c r="D53" s="26"/>
      <c r="E53" s="26"/>
      <c r="F53" s="109">
        <f>11.42*投資!G2</f>
        <v>364.6977</v>
      </c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132</v>
      </c>
      <c r="C54" s="36">
        <f t="shared" si="0"/>
        <v>4609.7600999999995</v>
      </c>
      <c r="D54" s="26">
        <v>0.97214999999999996</v>
      </c>
      <c r="E54" s="26">
        <v>4165</v>
      </c>
      <c r="F54" s="109"/>
      <c r="G54" s="44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98</v>
      </c>
      <c r="C55" s="36">
        <f t="shared" si="0"/>
        <v>4875.0495000000001</v>
      </c>
      <c r="D55" s="26">
        <v>0.84397999999999995</v>
      </c>
      <c r="E55" s="26">
        <v>4119</v>
      </c>
      <c r="F55" s="109"/>
      <c r="G55" s="44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99</v>
      </c>
      <c r="C56" s="36">
        <f t="shared" si="0"/>
        <v>4890.6431999999995</v>
      </c>
      <c r="D56" s="26">
        <v>0.83784000000000003</v>
      </c>
      <c r="E56" s="26">
        <v>4098</v>
      </c>
      <c r="F56" s="109"/>
      <c r="G56" s="44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133</v>
      </c>
      <c r="C57" s="36">
        <f t="shared" si="0"/>
        <v>0</v>
      </c>
      <c r="D57" s="26"/>
      <c r="E57" s="26"/>
      <c r="F57" s="109">
        <f>20.68 * 投資!G2</f>
        <v>660.41579999999999</v>
      </c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165</v>
      </c>
      <c r="C58" s="36">
        <f t="shared" si="0"/>
        <v>5020.3539000000001</v>
      </c>
      <c r="D58" s="26">
        <v>0.12720000000000001</v>
      </c>
      <c r="E58" s="26">
        <v>660</v>
      </c>
      <c r="F58" s="109"/>
      <c r="G58" s="44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CECAE-E242-43EB-86CD-FCC03DE0F532}">
  <dimension ref="A1:AMJ506"/>
  <sheetViews>
    <sheetView tabSelected="1"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118" t="s">
        <v>37</v>
      </c>
      <c r="D1" s="119"/>
      <c r="E1" s="119"/>
      <c r="F1" s="123" t="s">
        <v>164</v>
      </c>
      <c r="G1" s="44"/>
      <c r="H1" s="122" t="s">
        <v>111</v>
      </c>
      <c r="I1" s="106"/>
      <c r="J1" s="44"/>
    </row>
    <row r="2" spans="1:10" ht="21.75" customHeight="1" x14ac:dyDescent="0.3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 t="s">
        <v>41</v>
      </c>
      <c r="I2" s="27" t="s">
        <v>112</v>
      </c>
      <c r="J2" s="27" t="s">
        <v>33</v>
      </c>
    </row>
    <row r="3" spans="1:10" ht="18.75" customHeight="1" x14ac:dyDescent="0.3">
      <c r="A3" s="111">
        <f>(E3-F3)/D3</f>
        <v>21977.489940493058</v>
      </c>
      <c r="B3" s="114">
        <f>E3/D3</f>
        <v>21977.489940493058</v>
      </c>
      <c r="C3" s="126">
        <f>H3</f>
        <v>4916.3932499999992</v>
      </c>
      <c r="D3" s="121">
        <f>SUM(D7:D505)</f>
        <v>0.24703</v>
      </c>
      <c r="E3" s="124">
        <f>SUM(E7:E505)</f>
        <v>5429.0993399999998</v>
      </c>
      <c r="F3" s="124">
        <f>SUM(F6:G505)</f>
        <v>0</v>
      </c>
      <c r="G3" s="7">
        <f>G4/E3</f>
        <v>-0.77629869182914968</v>
      </c>
      <c r="H3" s="116">
        <v>4916.3932499999992</v>
      </c>
      <c r="I3" s="129">
        <f>投資!G2</f>
        <v>31.934999999999999</v>
      </c>
      <c r="J3" s="117">
        <f>SUM(J7:J505)</f>
        <v>170.01</v>
      </c>
    </row>
    <row r="4" spans="1:10" ht="18.75" customHeight="1" x14ac:dyDescent="0.3">
      <c r="A4" s="108"/>
      <c r="B4" s="108"/>
      <c r="C4" s="113"/>
      <c r="D4" s="108"/>
      <c r="E4" s="108"/>
      <c r="F4" s="108"/>
      <c r="G4" s="32">
        <f>D3*C3-E3+F3</f>
        <v>-4214.6027154525</v>
      </c>
      <c r="H4" s="113"/>
      <c r="I4" s="113"/>
      <c r="J4" s="113"/>
    </row>
    <row r="5" spans="1:10" x14ac:dyDescent="0.3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 t="s">
        <v>46</v>
      </c>
      <c r="I5" s="112" t="s">
        <v>113</v>
      </c>
      <c r="J5" s="112" t="s">
        <v>114</v>
      </c>
    </row>
    <row r="6" spans="1:10" x14ac:dyDescent="0.3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 x14ac:dyDescent="0.3">
      <c r="A7" s="17">
        <v>2</v>
      </c>
      <c r="B7" s="25" t="s">
        <v>165</v>
      </c>
      <c r="C7" s="36">
        <f t="shared" ref="C7:C70" si="0">H7*I7</f>
        <v>21975.382099999999</v>
      </c>
      <c r="D7" s="26">
        <v>0.24703</v>
      </c>
      <c r="E7" s="26">
        <f>J7*I7</f>
        <v>5429.0993399999998</v>
      </c>
      <c r="F7" s="109"/>
      <c r="G7" s="44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/>
      <c r="C8" s="36">
        <f t="shared" si="0"/>
        <v>0</v>
      </c>
      <c r="D8" s="26"/>
      <c r="E8" s="26">
        <f t="shared" ref="E8:E71" si="1">J8*I8</f>
        <v>0</v>
      </c>
      <c r="F8" s="109"/>
      <c r="G8" s="44"/>
      <c r="H8" s="20"/>
      <c r="I8" s="20"/>
      <c r="J8" s="20"/>
    </row>
    <row r="9" spans="1:10" x14ac:dyDescent="0.3">
      <c r="A9" s="17">
        <v>4</v>
      </c>
      <c r="B9" s="25"/>
      <c r="C9" s="36">
        <f t="shared" si="0"/>
        <v>0</v>
      </c>
      <c r="D9" s="26"/>
      <c r="E9" s="26">
        <f t="shared" si="1"/>
        <v>0</v>
      </c>
      <c r="F9" s="109"/>
      <c r="G9" s="44"/>
      <c r="H9" s="20"/>
      <c r="I9" s="20"/>
      <c r="J9" s="20"/>
    </row>
    <row r="10" spans="1:10" x14ac:dyDescent="0.3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109"/>
      <c r="G10" s="44"/>
      <c r="H10" s="20"/>
      <c r="I10" s="20"/>
      <c r="J10" s="20"/>
    </row>
    <row r="11" spans="1:10" x14ac:dyDescent="0.3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109"/>
      <c r="G11" s="44"/>
      <c r="H11" s="20"/>
      <c r="I11" s="20"/>
      <c r="J11" s="20"/>
    </row>
    <row r="12" spans="1:10" x14ac:dyDescent="0.3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109"/>
      <c r="G12" s="44"/>
      <c r="H12" s="20"/>
      <c r="I12" s="20"/>
      <c r="J12" s="20"/>
    </row>
    <row r="13" spans="1:10" x14ac:dyDescent="0.3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109"/>
      <c r="G13" s="44"/>
      <c r="H13" s="20"/>
      <c r="I13" s="20"/>
      <c r="J13" s="20"/>
    </row>
    <row r="14" spans="1:10" x14ac:dyDescent="0.3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109"/>
      <c r="G14" s="44"/>
      <c r="H14" s="20"/>
      <c r="I14" s="20"/>
      <c r="J14" s="20"/>
    </row>
    <row r="15" spans="1:10" x14ac:dyDescent="0.3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109"/>
      <c r="G15" s="44"/>
      <c r="H15" s="20"/>
      <c r="I15" s="20"/>
      <c r="J15" s="20"/>
    </row>
    <row r="16" spans="1:10" x14ac:dyDescent="0.3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109"/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109"/>
      <c r="G17" s="44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109"/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109"/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109"/>
      <c r="G20" s="44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109"/>
      <c r="G21" s="44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109"/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109"/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109"/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109"/>
      <c r="G25" s="44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109"/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109"/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109"/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109"/>
      <c r="G29" s="44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109"/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109"/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109"/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109"/>
      <c r="G33" s="44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109"/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109"/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109"/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109"/>
      <c r="G37" s="44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109"/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109"/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109"/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109"/>
      <c r="G41" s="44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109"/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109"/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109"/>
      <c r="G44" s="44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109"/>
      <c r="G45" s="44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109"/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109"/>
      <c r="G47" s="44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109"/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109"/>
      <c r="G49" s="44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109"/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109"/>
      <c r="G51" s="44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109"/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109"/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109"/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109"/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109"/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109"/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109"/>
      <c r="G58" s="44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si="1"/>
        <v>0</v>
      </c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ref="E72:E135" si="3">J72*I72</f>
        <v>0</v>
      </c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si="3"/>
        <v>0</v>
      </c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ref="E136:E199" si="5">J136*I136</f>
        <v>0</v>
      </c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si="5"/>
        <v>0</v>
      </c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ref="E200:E263" si="7">J200*I200</f>
        <v>0</v>
      </c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si="7"/>
        <v>0</v>
      </c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ref="E264:E327" si="9">J264*I264</f>
        <v>0</v>
      </c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si="9"/>
        <v>0</v>
      </c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ref="E328:E391" si="11">J328*I328</f>
        <v>0</v>
      </c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si="11"/>
        <v>0</v>
      </c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ref="E392:E455" si="13">J392*I392</f>
        <v>0</v>
      </c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si="13"/>
        <v>0</v>
      </c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ref="E456:E505" si="15">J456*I456</f>
        <v>0</v>
      </c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503:G503"/>
    <mergeCell ref="F504:G504"/>
    <mergeCell ref="F505:G505"/>
    <mergeCell ref="F497:G497"/>
    <mergeCell ref="F498:G498"/>
    <mergeCell ref="F499:G499"/>
    <mergeCell ref="F500:G500"/>
    <mergeCell ref="F501:G501"/>
    <mergeCell ref="F502:G502"/>
    <mergeCell ref="F491:G491"/>
    <mergeCell ref="F492:G492"/>
    <mergeCell ref="F493:G493"/>
    <mergeCell ref="F494:G494"/>
    <mergeCell ref="F495:G495"/>
    <mergeCell ref="F496:G496"/>
    <mergeCell ref="F485:G485"/>
    <mergeCell ref="F486:G486"/>
    <mergeCell ref="F487:G487"/>
    <mergeCell ref="F488:G488"/>
    <mergeCell ref="F489:G489"/>
    <mergeCell ref="F490:G490"/>
    <mergeCell ref="F479:G479"/>
    <mergeCell ref="F480:G480"/>
    <mergeCell ref="F481:G481"/>
    <mergeCell ref="F482:G482"/>
    <mergeCell ref="F483:G483"/>
    <mergeCell ref="F484:G484"/>
    <mergeCell ref="F473:G473"/>
    <mergeCell ref="F474:G474"/>
    <mergeCell ref="F475:G475"/>
    <mergeCell ref="F476:G476"/>
    <mergeCell ref="F477:G477"/>
    <mergeCell ref="F478:G478"/>
    <mergeCell ref="F467:G467"/>
    <mergeCell ref="F468:G468"/>
    <mergeCell ref="F469:G469"/>
    <mergeCell ref="F470:G470"/>
    <mergeCell ref="F471:G471"/>
    <mergeCell ref="F472:G472"/>
    <mergeCell ref="F461:G461"/>
    <mergeCell ref="F462:G462"/>
    <mergeCell ref="F463:G463"/>
    <mergeCell ref="F464:G464"/>
    <mergeCell ref="F465:G465"/>
    <mergeCell ref="F466:G466"/>
    <mergeCell ref="F455:G455"/>
    <mergeCell ref="F456:G456"/>
    <mergeCell ref="F457:G457"/>
    <mergeCell ref="F458:G458"/>
    <mergeCell ref="F459:G459"/>
    <mergeCell ref="F460:G460"/>
    <mergeCell ref="F449:G449"/>
    <mergeCell ref="F450:G450"/>
    <mergeCell ref="F451:G451"/>
    <mergeCell ref="F452:G452"/>
    <mergeCell ref="F453:G453"/>
    <mergeCell ref="F454:G454"/>
    <mergeCell ref="F443:G443"/>
    <mergeCell ref="F444:G444"/>
    <mergeCell ref="F445:G445"/>
    <mergeCell ref="F446:G446"/>
    <mergeCell ref="F447:G447"/>
    <mergeCell ref="F448:G448"/>
    <mergeCell ref="F437:G437"/>
    <mergeCell ref="F438:G438"/>
    <mergeCell ref="F439:G439"/>
    <mergeCell ref="F440:G440"/>
    <mergeCell ref="F441:G441"/>
    <mergeCell ref="F442:G442"/>
    <mergeCell ref="F431:G431"/>
    <mergeCell ref="F432:G432"/>
    <mergeCell ref="F433:G433"/>
    <mergeCell ref="F434:G434"/>
    <mergeCell ref="F435:G435"/>
    <mergeCell ref="F436:G436"/>
    <mergeCell ref="F425:G425"/>
    <mergeCell ref="F426:G426"/>
    <mergeCell ref="F427:G427"/>
    <mergeCell ref="F428:G428"/>
    <mergeCell ref="F429:G429"/>
    <mergeCell ref="F430:G430"/>
    <mergeCell ref="F419:G419"/>
    <mergeCell ref="F420:G420"/>
    <mergeCell ref="F421:G421"/>
    <mergeCell ref="F422:G422"/>
    <mergeCell ref="F423:G423"/>
    <mergeCell ref="F424:G424"/>
    <mergeCell ref="F413:G413"/>
    <mergeCell ref="F414:G414"/>
    <mergeCell ref="F415:G415"/>
    <mergeCell ref="F416:G416"/>
    <mergeCell ref="F417:G417"/>
    <mergeCell ref="F418:G418"/>
    <mergeCell ref="F407:G407"/>
    <mergeCell ref="F408:G408"/>
    <mergeCell ref="F409:G409"/>
    <mergeCell ref="F410:G410"/>
    <mergeCell ref="F411:G411"/>
    <mergeCell ref="F412:G412"/>
    <mergeCell ref="F401:G401"/>
    <mergeCell ref="F402:G402"/>
    <mergeCell ref="F403:G403"/>
    <mergeCell ref="F404:G404"/>
    <mergeCell ref="F405:G405"/>
    <mergeCell ref="F406:G406"/>
    <mergeCell ref="F395:G395"/>
    <mergeCell ref="F396:G396"/>
    <mergeCell ref="F397:G397"/>
    <mergeCell ref="F398:G398"/>
    <mergeCell ref="F399:G399"/>
    <mergeCell ref="F400:G400"/>
    <mergeCell ref="F389:G389"/>
    <mergeCell ref="F390:G390"/>
    <mergeCell ref="F391:G391"/>
    <mergeCell ref="F392:G392"/>
    <mergeCell ref="F393:G393"/>
    <mergeCell ref="F394:G394"/>
    <mergeCell ref="F383:G383"/>
    <mergeCell ref="F384:G384"/>
    <mergeCell ref="F385:G385"/>
    <mergeCell ref="F386:G386"/>
    <mergeCell ref="F387:G387"/>
    <mergeCell ref="F388:G388"/>
    <mergeCell ref="F377:G377"/>
    <mergeCell ref="F378:G378"/>
    <mergeCell ref="F379:G379"/>
    <mergeCell ref="F380:G380"/>
    <mergeCell ref="F381:G381"/>
    <mergeCell ref="F382:G382"/>
    <mergeCell ref="F371:G371"/>
    <mergeCell ref="F372:G372"/>
    <mergeCell ref="F373:G373"/>
    <mergeCell ref="F374:G374"/>
    <mergeCell ref="F375:G375"/>
    <mergeCell ref="F376:G376"/>
    <mergeCell ref="F365:G365"/>
    <mergeCell ref="F366:G366"/>
    <mergeCell ref="F367:G367"/>
    <mergeCell ref="F368:G368"/>
    <mergeCell ref="F369:G369"/>
    <mergeCell ref="F370:G370"/>
    <mergeCell ref="F359:G359"/>
    <mergeCell ref="F360:G360"/>
    <mergeCell ref="F361:G361"/>
    <mergeCell ref="F362:G362"/>
    <mergeCell ref="F363:G363"/>
    <mergeCell ref="F364:G364"/>
    <mergeCell ref="F353:G353"/>
    <mergeCell ref="F354:G354"/>
    <mergeCell ref="F355:G355"/>
    <mergeCell ref="F356:G356"/>
    <mergeCell ref="F357:G357"/>
    <mergeCell ref="F358:G358"/>
    <mergeCell ref="F347:G347"/>
    <mergeCell ref="F348:G348"/>
    <mergeCell ref="F349:G349"/>
    <mergeCell ref="F350:G350"/>
    <mergeCell ref="F351:G351"/>
    <mergeCell ref="F352:G352"/>
    <mergeCell ref="F341:G341"/>
    <mergeCell ref="F342:G342"/>
    <mergeCell ref="F343:G343"/>
    <mergeCell ref="F344:G344"/>
    <mergeCell ref="F345:G345"/>
    <mergeCell ref="F346:G346"/>
    <mergeCell ref="F335:G335"/>
    <mergeCell ref="F336:G336"/>
    <mergeCell ref="F337:G337"/>
    <mergeCell ref="F338:G338"/>
    <mergeCell ref="F339:G339"/>
    <mergeCell ref="F340:G340"/>
    <mergeCell ref="F329:G329"/>
    <mergeCell ref="F330:G330"/>
    <mergeCell ref="F331:G331"/>
    <mergeCell ref="F332:G332"/>
    <mergeCell ref="F333:G333"/>
    <mergeCell ref="F334:G334"/>
    <mergeCell ref="F323:G323"/>
    <mergeCell ref="F324:G324"/>
    <mergeCell ref="F325:G325"/>
    <mergeCell ref="F326:G326"/>
    <mergeCell ref="F327:G327"/>
    <mergeCell ref="F328:G328"/>
    <mergeCell ref="F317:G317"/>
    <mergeCell ref="F318:G318"/>
    <mergeCell ref="F319:G319"/>
    <mergeCell ref="F320:G320"/>
    <mergeCell ref="F321:G321"/>
    <mergeCell ref="F322:G322"/>
    <mergeCell ref="F311:G311"/>
    <mergeCell ref="F312:G312"/>
    <mergeCell ref="F313:G313"/>
    <mergeCell ref="F314:G314"/>
    <mergeCell ref="F315:G315"/>
    <mergeCell ref="F316:G316"/>
    <mergeCell ref="F305:G305"/>
    <mergeCell ref="F306:G306"/>
    <mergeCell ref="F307:G307"/>
    <mergeCell ref="F308:G308"/>
    <mergeCell ref="F309:G309"/>
    <mergeCell ref="F310:G310"/>
    <mergeCell ref="F299:G299"/>
    <mergeCell ref="F300:G300"/>
    <mergeCell ref="F301:G301"/>
    <mergeCell ref="F302:G302"/>
    <mergeCell ref="F303:G303"/>
    <mergeCell ref="F304:G304"/>
    <mergeCell ref="F293:G293"/>
    <mergeCell ref="F294:G294"/>
    <mergeCell ref="F295:G295"/>
    <mergeCell ref="F296:G296"/>
    <mergeCell ref="F297:G297"/>
    <mergeCell ref="F298:G298"/>
    <mergeCell ref="F287:G287"/>
    <mergeCell ref="F288:G288"/>
    <mergeCell ref="F289:G289"/>
    <mergeCell ref="F290:G290"/>
    <mergeCell ref="F291:G291"/>
    <mergeCell ref="F292:G292"/>
    <mergeCell ref="F281:G281"/>
    <mergeCell ref="F282:G282"/>
    <mergeCell ref="F283:G283"/>
    <mergeCell ref="F284:G284"/>
    <mergeCell ref="F285:G285"/>
    <mergeCell ref="F286:G286"/>
    <mergeCell ref="F275:G275"/>
    <mergeCell ref="F276:G276"/>
    <mergeCell ref="F277:G277"/>
    <mergeCell ref="F278:G278"/>
    <mergeCell ref="F279:G279"/>
    <mergeCell ref="F280:G280"/>
    <mergeCell ref="F269:G269"/>
    <mergeCell ref="F270:G270"/>
    <mergeCell ref="F271:G271"/>
    <mergeCell ref="F272:G272"/>
    <mergeCell ref="F273:G273"/>
    <mergeCell ref="F274:G274"/>
    <mergeCell ref="F263:G263"/>
    <mergeCell ref="F264:G264"/>
    <mergeCell ref="F265:G265"/>
    <mergeCell ref="F266:G266"/>
    <mergeCell ref="F267:G267"/>
    <mergeCell ref="F268:G268"/>
    <mergeCell ref="F257:G257"/>
    <mergeCell ref="F258:G258"/>
    <mergeCell ref="F259:G259"/>
    <mergeCell ref="F260:G260"/>
    <mergeCell ref="F261:G261"/>
    <mergeCell ref="F262:G262"/>
    <mergeCell ref="F251:G251"/>
    <mergeCell ref="F252:G252"/>
    <mergeCell ref="F253:G253"/>
    <mergeCell ref="F254:G254"/>
    <mergeCell ref="F255:G255"/>
    <mergeCell ref="F256:G256"/>
    <mergeCell ref="F245:G245"/>
    <mergeCell ref="F246:G246"/>
    <mergeCell ref="F247:G247"/>
    <mergeCell ref="F248:G248"/>
    <mergeCell ref="F249:G249"/>
    <mergeCell ref="F250:G250"/>
    <mergeCell ref="F239:G239"/>
    <mergeCell ref="F240:G240"/>
    <mergeCell ref="F241:G241"/>
    <mergeCell ref="F242:G242"/>
    <mergeCell ref="F243:G243"/>
    <mergeCell ref="F244:G244"/>
    <mergeCell ref="F233:G233"/>
    <mergeCell ref="F234:G234"/>
    <mergeCell ref="F235:G235"/>
    <mergeCell ref="F236:G236"/>
    <mergeCell ref="F237:G237"/>
    <mergeCell ref="F238:G238"/>
    <mergeCell ref="F227:G227"/>
    <mergeCell ref="F228:G228"/>
    <mergeCell ref="F229:G229"/>
    <mergeCell ref="F230:G230"/>
    <mergeCell ref="F231:G231"/>
    <mergeCell ref="F232:G232"/>
    <mergeCell ref="F221:G221"/>
    <mergeCell ref="F222:G222"/>
    <mergeCell ref="F223:G223"/>
    <mergeCell ref="F224:G224"/>
    <mergeCell ref="F225:G225"/>
    <mergeCell ref="F226:G226"/>
    <mergeCell ref="F215:G215"/>
    <mergeCell ref="F216:G216"/>
    <mergeCell ref="F217:G217"/>
    <mergeCell ref="F218:G218"/>
    <mergeCell ref="F219:G219"/>
    <mergeCell ref="F220:G220"/>
    <mergeCell ref="F209:G209"/>
    <mergeCell ref="F210:G210"/>
    <mergeCell ref="F211:G211"/>
    <mergeCell ref="F212:G212"/>
    <mergeCell ref="F213:G213"/>
    <mergeCell ref="F214:G214"/>
    <mergeCell ref="F203:G203"/>
    <mergeCell ref="F204:G204"/>
    <mergeCell ref="F205:G205"/>
    <mergeCell ref="F206:G206"/>
    <mergeCell ref="F207:G207"/>
    <mergeCell ref="F208:G208"/>
    <mergeCell ref="F197:G197"/>
    <mergeCell ref="F198:G198"/>
    <mergeCell ref="F199:G199"/>
    <mergeCell ref="F200:G200"/>
    <mergeCell ref="F201:G201"/>
    <mergeCell ref="F202:G202"/>
    <mergeCell ref="F191:G191"/>
    <mergeCell ref="F192:G192"/>
    <mergeCell ref="F193:G193"/>
    <mergeCell ref="F194:G194"/>
    <mergeCell ref="F195:G195"/>
    <mergeCell ref="F196:G196"/>
    <mergeCell ref="F185:G185"/>
    <mergeCell ref="F186:G186"/>
    <mergeCell ref="F187:G187"/>
    <mergeCell ref="F188:G188"/>
    <mergeCell ref="F189:G189"/>
    <mergeCell ref="F190:G190"/>
    <mergeCell ref="F179:G179"/>
    <mergeCell ref="F180:G180"/>
    <mergeCell ref="F181:G181"/>
    <mergeCell ref="F182:G182"/>
    <mergeCell ref="F183:G183"/>
    <mergeCell ref="F184:G184"/>
    <mergeCell ref="F173:G173"/>
    <mergeCell ref="F174:G174"/>
    <mergeCell ref="F175:G175"/>
    <mergeCell ref="F176:G176"/>
    <mergeCell ref="F177:G177"/>
    <mergeCell ref="F178:G178"/>
    <mergeCell ref="F167:G167"/>
    <mergeCell ref="F168:G168"/>
    <mergeCell ref="F169:G169"/>
    <mergeCell ref="F170:G170"/>
    <mergeCell ref="F171:G171"/>
    <mergeCell ref="F172:G172"/>
    <mergeCell ref="F161:G161"/>
    <mergeCell ref="F162:G162"/>
    <mergeCell ref="F163:G163"/>
    <mergeCell ref="F164:G164"/>
    <mergeCell ref="F165:G165"/>
    <mergeCell ref="F166:G166"/>
    <mergeCell ref="F155:G155"/>
    <mergeCell ref="F156:G156"/>
    <mergeCell ref="F157:G157"/>
    <mergeCell ref="F158:G158"/>
    <mergeCell ref="F159:G159"/>
    <mergeCell ref="F160:G160"/>
    <mergeCell ref="F149:G149"/>
    <mergeCell ref="F150:G150"/>
    <mergeCell ref="F151:G151"/>
    <mergeCell ref="F152:G152"/>
    <mergeCell ref="F153:G153"/>
    <mergeCell ref="F154:G154"/>
    <mergeCell ref="F143:G143"/>
    <mergeCell ref="F144:G144"/>
    <mergeCell ref="F145:G145"/>
    <mergeCell ref="F146:G146"/>
    <mergeCell ref="F147:G147"/>
    <mergeCell ref="F148:G148"/>
    <mergeCell ref="F137:G137"/>
    <mergeCell ref="F138:G138"/>
    <mergeCell ref="F139:G139"/>
    <mergeCell ref="F140:G140"/>
    <mergeCell ref="F141:G141"/>
    <mergeCell ref="F142:G142"/>
    <mergeCell ref="F131:G131"/>
    <mergeCell ref="F132:G132"/>
    <mergeCell ref="F133:G133"/>
    <mergeCell ref="F134:G134"/>
    <mergeCell ref="F135:G135"/>
    <mergeCell ref="F136:G136"/>
    <mergeCell ref="F125:G125"/>
    <mergeCell ref="F126:G126"/>
    <mergeCell ref="F127:G127"/>
    <mergeCell ref="F128:G128"/>
    <mergeCell ref="F129:G129"/>
    <mergeCell ref="F130:G130"/>
    <mergeCell ref="F119:G119"/>
    <mergeCell ref="F120:G120"/>
    <mergeCell ref="F121:G121"/>
    <mergeCell ref="F122:G122"/>
    <mergeCell ref="F123:G123"/>
    <mergeCell ref="F124:G124"/>
    <mergeCell ref="F113:G113"/>
    <mergeCell ref="F114:G114"/>
    <mergeCell ref="F115:G115"/>
    <mergeCell ref="F116:G116"/>
    <mergeCell ref="F117:G117"/>
    <mergeCell ref="F118:G118"/>
    <mergeCell ref="F107:G107"/>
    <mergeCell ref="F108:G108"/>
    <mergeCell ref="F109:G109"/>
    <mergeCell ref="F110:G110"/>
    <mergeCell ref="F111:G111"/>
    <mergeCell ref="F112:G112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71:G71"/>
    <mergeCell ref="F72:G72"/>
    <mergeCell ref="F73:G73"/>
    <mergeCell ref="F74:G74"/>
    <mergeCell ref="F75:G75"/>
    <mergeCell ref="F76:G76"/>
    <mergeCell ref="F65:G65"/>
    <mergeCell ref="F66:G66"/>
    <mergeCell ref="F67:G67"/>
    <mergeCell ref="F68:G68"/>
    <mergeCell ref="F69:G69"/>
    <mergeCell ref="F70:G70"/>
    <mergeCell ref="F59:G59"/>
    <mergeCell ref="F60:G60"/>
    <mergeCell ref="F61:G61"/>
    <mergeCell ref="F62:G62"/>
    <mergeCell ref="F63:G63"/>
    <mergeCell ref="F64:G64"/>
    <mergeCell ref="F53:G53"/>
    <mergeCell ref="F54:G54"/>
    <mergeCell ref="F55:G55"/>
    <mergeCell ref="F56:G56"/>
    <mergeCell ref="F57:G57"/>
    <mergeCell ref="F58:G58"/>
    <mergeCell ref="F47:G47"/>
    <mergeCell ref="F48:G48"/>
    <mergeCell ref="F49:G49"/>
    <mergeCell ref="F50:G50"/>
    <mergeCell ref="F51:G51"/>
    <mergeCell ref="F52:G52"/>
    <mergeCell ref="F41:G41"/>
    <mergeCell ref="F42:G42"/>
    <mergeCell ref="F43:G43"/>
    <mergeCell ref="F44:G44"/>
    <mergeCell ref="F45:G45"/>
    <mergeCell ref="F46:G46"/>
    <mergeCell ref="F35:G35"/>
    <mergeCell ref="F36:G36"/>
    <mergeCell ref="F37:G37"/>
    <mergeCell ref="F38:G38"/>
    <mergeCell ref="F39:G39"/>
    <mergeCell ref="F40:G40"/>
    <mergeCell ref="F29:G29"/>
    <mergeCell ref="F30:G30"/>
    <mergeCell ref="F31:G31"/>
    <mergeCell ref="F32:G32"/>
    <mergeCell ref="F33:G33"/>
    <mergeCell ref="F34:G34"/>
    <mergeCell ref="F23:G23"/>
    <mergeCell ref="F24:G24"/>
    <mergeCell ref="F25:G25"/>
    <mergeCell ref="F26:G26"/>
    <mergeCell ref="F27:G27"/>
    <mergeCell ref="F28:G28"/>
    <mergeCell ref="F17:G17"/>
    <mergeCell ref="F18:G18"/>
    <mergeCell ref="F19:G19"/>
    <mergeCell ref="F20:G20"/>
    <mergeCell ref="F21:G21"/>
    <mergeCell ref="F22:G22"/>
    <mergeCell ref="F11:G11"/>
    <mergeCell ref="F12:G12"/>
    <mergeCell ref="F13:G13"/>
    <mergeCell ref="F14:G14"/>
    <mergeCell ref="F15:G15"/>
    <mergeCell ref="F16:G16"/>
    <mergeCell ref="B6:E6"/>
    <mergeCell ref="F6:G6"/>
    <mergeCell ref="F7:G7"/>
    <mergeCell ref="F8:G8"/>
    <mergeCell ref="F9:G9"/>
    <mergeCell ref="F10:G10"/>
    <mergeCell ref="I3:I4"/>
    <mergeCell ref="J3:J4"/>
    <mergeCell ref="F5:G5"/>
    <mergeCell ref="H5:H6"/>
    <mergeCell ref="I5:I6"/>
    <mergeCell ref="J5:J6"/>
    <mergeCell ref="C1:E1"/>
    <mergeCell ref="F1:G1"/>
    <mergeCell ref="H1:J1"/>
    <mergeCell ref="A3:A4"/>
    <mergeCell ref="B3:B4"/>
    <mergeCell ref="C3:C4"/>
    <mergeCell ref="D3:D4"/>
    <mergeCell ref="E3:E4"/>
    <mergeCell ref="F3:F4"/>
    <mergeCell ref="H3:H4"/>
  </mergeCells>
  <phoneticPr fontId="13" type="noConversion"/>
  <conditionalFormatting sqref="G3:G4">
    <cfRule type="cellIs" dxfId="1" priority="1" operator="lessThan">
      <formula>0</formula>
    </cfRule>
    <cfRule type="cellIs" dxfId="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118" t="s">
        <v>37</v>
      </c>
      <c r="D1" s="119"/>
      <c r="E1" s="119"/>
      <c r="F1" s="123" t="s">
        <v>134</v>
      </c>
      <c r="G1" s="44"/>
      <c r="H1" s="122"/>
      <c r="I1" s="106"/>
      <c r="J1" s="44"/>
    </row>
    <row r="2" spans="1:10" ht="21.75" customHeight="1" x14ac:dyDescent="0.3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 x14ac:dyDescent="0.3">
      <c r="A3" s="111" t="e">
        <f>(E3-F3)/D3</f>
        <v>#DIV/0!</v>
      </c>
      <c r="B3" s="114" t="e">
        <f>E3/D3</f>
        <v>#DIV/0!</v>
      </c>
      <c r="C3" s="126" t="s">
        <v>135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 x14ac:dyDescent="0.3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 x14ac:dyDescent="0.3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 x14ac:dyDescent="0.3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 x14ac:dyDescent="0.3">
      <c r="A7" s="17">
        <v>2</v>
      </c>
      <c r="B7" s="25" t="s">
        <v>54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 x14ac:dyDescent="0.3">
      <c r="A8" s="17">
        <v>3</v>
      </c>
      <c r="B8" s="25" t="s">
        <v>101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 x14ac:dyDescent="0.3">
      <c r="A9" s="17">
        <v>4</v>
      </c>
      <c r="B9" s="25" t="s">
        <v>55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 x14ac:dyDescent="0.3">
      <c r="A10" s="17">
        <v>5</v>
      </c>
      <c r="B10" s="25" t="s">
        <v>56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 x14ac:dyDescent="0.3">
      <c r="A11" s="17">
        <v>6</v>
      </c>
      <c r="B11" s="25" t="s">
        <v>136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 x14ac:dyDescent="0.3">
      <c r="A12" s="17">
        <v>7</v>
      </c>
      <c r="B12" s="25" t="s">
        <v>58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 x14ac:dyDescent="0.3">
      <c r="A13" s="17">
        <v>8</v>
      </c>
      <c r="B13" s="25" t="s">
        <v>59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 x14ac:dyDescent="0.3">
      <c r="A14" s="17">
        <v>9</v>
      </c>
      <c r="B14" s="25" t="s">
        <v>60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 x14ac:dyDescent="0.3">
      <c r="A15" s="17">
        <v>10</v>
      </c>
      <c r="B15" s="25" t="s">
        <v>61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 x14ac:dyDescent="0.3">
      <c r="A16" s="17">
        <v>11</v>
      </c>
      <c r="B16" s="25" t="s">
        <v>137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63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64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65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66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67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68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69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70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71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72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73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74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75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76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77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78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79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80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81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82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83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84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85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86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87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88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138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118" t="s">
        <v>37</v>
      </c>
      <c r="D1" s="119"/>
      <c r="E1" s="119"/>
      <c r="F1" s="123" t="s">
        <v>139</v>
      </c>
      <c r="G1" s="44"/>
      <c r="H1" s="122" t="s">
        <v>111</v>
      </c>
      <c r="I1" s="106"/>
      <c r="J1" s="44"/>
    </row>
    <row r="2" spans="1:10" ht="21.75" customHeight="1" x14ac:dyDescent="0.3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 t="s">
        <v>41</v>
      </c>
      <c r="I2" s="27" t="s">
        <v>112</v>
      </c>
      <c r="J2" s="27" t="s">
        <v>33</v>
      </c>
    </row>
    <row r="3" spans="1:10" ht="18.75" customHeight="1" x14ac:dyDescent="0.3">
      <c r="A3" s="111" t="e">
        <f>(E3-F3)/D3</f>
        <v>#DIV/0!</v>
      </c>
      <c r="B3" s="114" t="e">
        <f>E3/D3</f>
        <v>#DIV/0!</v>
      </c>
      <c r="C3" s="127">
        <f>H3*I3</f>
        <v>2368.9383000000003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140</v>
      </c>
      <c r="I3" s="120">
        <f>投資!G2</f>
        <v>31.934999999999999</v>
      </c>
      <c r="J3" s="117">
        <f>SUM(J7:J505)</f>
        <v>-41.149999999999864</v>
      </c>
    </row>
    <row r="4" spans="1:10" ht="18.75" customHeight="1" x14ac:dyDescent="0.3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 x14ac:dyDescent="0.3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 t="s">
        <v>46</v>
      </c>
      <c r="I5" s="112" t="s">
        <v>113</v>
      </c>
      <c r="J5" s="112" t="s">
        <v>114</v>
      </c>
    </row>
    <row r="6" spans="1:10" x14ac:dyDescent="0.3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 x14ac:dyDescent="0.3">
      <c r="A7" s="17">
        <v>2</v>
      </c>
      <c r="B7" s="25" t="s">
        <v>51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141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 x14ac:dyDescent="0.3">
      <c r="A9" s="17">
        <v>4</v>
      </c>
      <c r="B9" s="25" t="s">
        <v>115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142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142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102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 x14ac:dyDescent="0.3">
      <c r="A13" s="17">
        <v>8</v>
      </c>
      <c r="B13" s="25" t="s">
        <v>56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143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 x14ac:dyDescent="0.3">
      <c r="A15" s="17">
        <v>10</v>
      </c>
      <c r="B15" s="25" t="s">
        <v>58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144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59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60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145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61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119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146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64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147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65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148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66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149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67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150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68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151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69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152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72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153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73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154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74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155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75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156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157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78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79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158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80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159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81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160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82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161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83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162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163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86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125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126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13" type="noConversion"/>
  <conditionalFormatting sqref="G3:G4">
    <cfRule type="cellIs" dxfId="3" priority="2" operator="lessThan">
      <formula>0</formula>
    </cfRule>
    <cfRule type="cellIs" dxfId="2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2026-07-10T12:45:08Z</dcterms:modified>
  <dc:language>en-US</dc:language>
</cp:coreProperties>
</file>