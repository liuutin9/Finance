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127162.2624</v>
                </pt>
                <pt idx="2">
                  <v>282049.306</v>
                </pt>
                <pt idx="3">
                  <v>227548.865599839</v>
                </pt>
                <pt idx="4">
                  <v>83798.72825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133962.4035</v>
                </pt>
                <pt idx="1">
                  <v>148086.9025</v>
                </pt>
                <pt idx="2">
                  <v>227548.865599839</v>
                </pt>
                <pt idx="3">
                  <v>65894.48295000001</v>
                </pt>
                <pt idx="4">
                  <v>8884.4139</v>
                </pt>
                <pt idx="5">
                  <v>7884.1314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3" sqref="S3:T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212282</v>
      </c>
      <c r="D2" s="42" t="n"/>
      <c r="E2" s="45" t="inlineStr">
        <is>
          <t>美元活存</t>
        </is>
      </c>
      <c r="F2" s="46" t="n"/>
      <c r="G2" s="81" t="n">
        <v>4.48</v>
      </c>
      <c r="H2" s="42" t="n"/>
      <c r="I2" s="82" t="inlineStr">
        <is>
          <t>006208</t>
        </is>
      </c>
      <c r="J2" s="83" t="n"/>
      <c r="K2" s="96">
        <f>'006208.TW'!D3*'006208.TW'!C3*0.997</f>
        <v/>
      </c>
      <c r="L2" s="42" t="n"/>
      <c r="M2" s="87" t="inlineStr">
        <is>
          <t>VT</t>
        </is>
      </c>
      <c r="N2" s="83" t="n"/>
      <c r="O2" s="100">
        <f>VT!H3*VT!D3*投資!G2</f>
        <v/>
      </c>
      <c r="P2" s="42" t="n"/>
      <c r="Q2" s="101" t="inlineStr">
        <is>
          <t>BTC</t>
        </is>
      </c>
      <c r="R2" s="83" t="n"/>
      <c r="S2" s="67">
        <f>(1900.91+174.18)*投資!G2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12651</v>
      </c>
      <c r="D3" s="50" t="n"/>
      <c r="E3" s="65" t="inlineStr">
        <is>
          <t>Chase</t>
        </is>
      </c>
      <c r="F3" s="44" t="n"/>
      <c r="G3" s="49" t="n">
        <v>4000</v>
      </c>
      <c r="H3" s="50" t="n"/>
      <c r="I3" s="57" t="inlineStr">
        <is>
          <t>2890</t>
        </is>
      </c>
      <c r="J3" s="56" t="n"/>
      <c r="K3" s="58">
        <f>'2890.TW'!D3*'2890.TW'!C3*0.997</f>
        <v/>
      </c>
      <c r="L3" s="50" t="n"/>
      <c r="M3" s="55" t="n"/>
      <c r="N3" s="56" t="n"/>
      <c r="O3" s="88" t="n"/>
      <c r="P3" s="50" t="n"/>
      <c r="Q3" s="89" t="inlineStr">
        <is>
          <t>ETH</t>
        </is>
      </c>
      <c r="R3" s="56" t="n"/>
      <c r="S3" s="63">
        <f>279.78*投資!G2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120000</v>
      </c>
      <c r="D4" s="50" t="n"/>
      <c r="E4" s="65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248.28*投資!G2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48513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USDT</t>
        </is>
      </c>
      <c r="R5" s="56" t="n"/>
      <c r="S5" s="63">
        <f>1000.45+135.25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n"/>
      <c r="R6" s="44" t="n"/>
      <c r="S6" s="63" t="n"/>
      <c r="T6" s="50" t="n"/>
    </row>
    <row r="7" ht="17.25" customHeight="1">
      <c r="A7" s="62" t="inlineStr">
        <is>
          <t>華南Sny活存</t>
        </is>
      </c>
      <c r="B7" s="44" t="n"/>
      <c r="C7" s="64" t="n">
        <v>100000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n"/>
      <c r="R7" s="44" t="n"/>
      <c r="S7" s="63" t="n"/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6000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 t="n">
        <v>19182</v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6" zoomScaleNormal="100" workbookViewId="0">
      <selection activeCell="E16" sqref="E16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31.47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138060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178.65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inlineStr">
        <is>
          <t>31.10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147.98</t>
        </is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2026-02-12T06:31:16Z</dcterms:modified>
  <cp:lastModifiedBy>劉祐廷</cp:lastModifiedBy>
  <cp:revision>39</cp:revision>
  <cp:lastPrinted>2024-02-22T01:18:13Z</cp:lastPrinted>
</cp:coreProperties>
</file>