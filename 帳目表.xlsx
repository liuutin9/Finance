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VT" sheetId="5" state="visible" r:id="rId5"/>
    <sheet name="00692.TW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dLbl>
              <idx val="0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3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4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559446</v>
                </pt>
                <pt idx="1">
                  <v>126441.456</v>
                </pt>
                <pt idx="2">
                  <v>278692.85565</v>
                </pt>
                <pt idx="3">
                  <v>220813.6406284875</v>
                </pt>
                <pt idx="4">
                  <v>87157.91050000001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dLbl>
              <idx val="0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3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4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5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132486.29515</v>
                </pt>
                <pt idx="1">
                  <v>146206.5605</v>
                </pt>
                <pt idx="2">
                  <v>220813.6406284875</v>
                </pt>
                <pt idx="3">
                  <v>67770.68550000001</v>
                </pt>
                <pt idx="4">
                  <v>10463.3235</v>
                </pt>
                <pt idx="5">
                  <v>8285.9115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S3" sqref="S3:T3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212282</v>
      </c>
      <c r="D2" s="57" t="n"/>
      <c r="E2" s="103" t="inlineStr">
        <is>
          <t>美元活存</t>
        </is>
      </c>
      <c r="F2" s="101" t="n"/>
      <c r="G2" s="86" t="n">
        <v>4.48</v>
      </c>
      <c r="H2" s="57" t="n"/>
      <c r="I2" s="87" t="inlineStr">
        <is>
          <t>006208</t>
        </is>
      </c>
      <c r="J2" s="66" t="n"/>
      <c r="K2" s="56">
        <f>'006208.TW'!D3*'006208.TW'!C3*0.997</f>
        <v/>
      </c>
      <c r="L2" s="57" t="n"/>
      <c r="M2" s="92" t="inlineStr">
        <is>
          <t>VT</t>
        </is>
      </c>
      <c r="N2" s="66" t="n"/>
      <c r="O2" s="64">
        <f>VT!H3*VT!D3*投資!G2</f>
        <v/>
      </c>
      <c r="P2" s="57" t="n"/>
      <c r="Q2" s="65" t="inlineStr">
        <is>
          <t>BTC</t>
        </is>
      </c>
      <c r="R2" s="66" t="n"/>
      <c r="S2" s="95">
        <f>(1968.96+177.38)*投資!G2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12651</v>
      </c>
      <c r="D3" s="42" t="n"/>
      <c r="E3" s="49" t="inlineStr">
        <is>
          <t>Chase</t>
        </is>
      </c>
      <c r="F3" s="44" t="n"/>
      <c r="G3" s="80" t="n">
        <v>4000</v>
      </c>
      <c r="H3" s="42" t="n"/>
      <c r="I3" s="99" t="inlineStr">
        <is>
          <t>2890</t>
        </is>
      </c>
      <c r="J3" s="78" t="n"/>
      <c r="K3" s="83">
        <f>'2890.TW'!D3*'2890.TW'!C3*0.997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331.38*投資!G2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120000</v>
      </c>
      <c r="D4" s="42" t="n"/>
      <c r="E4" s="49" t="n"/>
      <c r="F4" s="44" t="n"/>
      <c r="G4" s="80" t="n"/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262.42*投資!G2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48513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USDT</t>
        </is>
      </c>
      <c r="R5" s="78" t="n"/>
      <c r="S5" s="51">
        <f>501.62+136.37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0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n"/>
      <c r="R6" s="44" t="n"/>
      <c r="S6" s="51" t="n"/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n"/>
      <c r="R7" s="44" t="n"/>
      <c r="S7" s="51" t="n"/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6000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 t="n">
        <v>19182</v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H5" sqref="H5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31.74</v>
      </c>
    </row>
    <row r="3" ht="17.25" customHeight="1">
      <c r="A3" s="131">
        <f>('006208.TW'!E3+'00692.TW'!E3+'2890.TW'!E3)-('006208.TW'!F3+'00692.TW'!F3+'2890.TW'!F3)-E2+7345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120060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51" sqref="I51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166.50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14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7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7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49" sqref="E4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inlineStr">
        <is>
          <t>29.50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38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38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N50" sqref="N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143.37</t>
        </is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2026-02-06T06:31:06Z</dcterms:modified>
  <cp:lastModifiedBy>劉祐廷</cp:lastModifiedBy>
  <cp:revision>39</cp:revision>
  <cp:lastPrinted>2024-02-22T01:18:13Z</cp:lastPrinted>
</cp:coreProperties>
</file>