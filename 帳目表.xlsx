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45222283-45DC-49DA-9B24-74B1CAAD8970}" xr6:coauthVersionLast="47" xr6:coauthVersionMax="47" xr10:uidLastSave="{00000000-0000-0000-0000-000000000000}"/>
  <bookViews>
    <workbookView xWindow="-110" yWindow="-110" windowWidth="19420" windowHeight="11500" tabRatio="679" activeTab="1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4" i="1"/>
  <c r="S3" i="1"/>
  <c r="S2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F3" i="7"/>
  <c r="E3" i="7"/>
  <c r="A3" i="7" s="1"/>
  <c r="D3" i="7"/>
  <c r="G4" i="7" s="1"/>
  <c r="G3" i="7" s="1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B3" i="5" s="1"/>
  <c r="D3" i="5"/>
  <c r="O2" i="1" s="1"/>
  <c r="O10" i="1" s="1"/>
  <c r="B10" i="2" s="1"/>
  <c r="C3" i="5"/>
  <c r="F3" i="4"/>
  <c r="E3" i="4"/>
  <c r="D3" i="4"/>
  <c r="G4" i="4" s="1"/>
  <c r="G3" i="4" s="1"/>
  <c r="B3" i="4"/>
  <c r="A3" i="4"/>
  <c r="F3" i="3"/>
  <c r="E3" i="3"/>
  <c r="A3" i="2" s="1"/>
  <c r="D3" i="3"/>
  <c r="G4" i="3" s="1"/>
  <c r="G3" i="3" s="1"/>
  <c r="B3" i="3"/>
  <c r="A3" i="3"/>
  <c r="G10" i="1"/>
  <c r="C10" i="1"/>
  <c r="S10" i="1" l="1"/>
  <c r="B17" i="2" s="1"/>
  <c r="C18" i="2" s="1"/>
  <c r="C17" i="2" s="1"/>
  <c r="G4" i="5"/>
  <c r="G3" i="5" s="1"/>
  <c r="K2" i="1"/>
  <c r="K3" i="1"/>
  <c r="A3" i="5"/>
  <c r="B3" i="7"/>
  <c r="A10" i="2"/>
  <c r="C11" i="2" s="1"/>
  <c r="C10" i="2" s="1"/>
  <c r="K10" i="1" l="1"/>
  <c r="E10" i="2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<sst xmlns="http://schemas.openxmlformats.org/spreadsheetml/2006/main" count="373" uniqueCount="157">
  <si>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</si>
  <si>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</si>
  <si>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</si>
  <si>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</si>
  <si>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</si>
  <si>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</si>
  <si>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</si>
  <si>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</si>
  <si>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</si>
  <si>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</si>
  <si>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</si>
  <si>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</si>
  <si>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</si>
  <si>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</si>
  <si>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</si>
  <si>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</si>
  <si>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</si>
  <si>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</si>
  <si>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</si>
  <si>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</si>
  <si>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</si>
  <si>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</si>
  <si>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</si>
  <si>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</si>
  <si>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</si>
  <si>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</si>
  <si>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</si>
  <si>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</si>
  <si>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</si>
  <si>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</si>
  <si>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</si>
  <si>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</si>
  <si>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</si>
  <si>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</si>
  <si>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</si>
  <si>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</si>
  <si>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</si>
  <si>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</si>
  <si>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</si>
  <si>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</si>
  <si>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</si>
  <si>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178.65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</si>
  <si>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</si>
  <si>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</si>
  <si>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</si>
  <si>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</si>
  <si>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</si>
  <si>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</si>
  <si>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</si>
  <si>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</si>
  <si>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</si>
  <si>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</si>
  <si>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</si>
  <si>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</si>
  <si>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</si>
  <si>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</si>
  <si>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</si>
  <si>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</si>
  <si>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</si>
  <si>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</si>
  <si>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</si>
  <si>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</si>
  <si>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</si>
  <si>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</si>
  <si>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</si>
  <si>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</si>
  <si>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</si>
  <si>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</si>
  <si>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</si>
  <si>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</si>
  <si>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</si>
  <si>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</si>
  <si>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</si>
  <si>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</si>
  <si>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</si>
  <si>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</si>
  <si>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</si>
  <si>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</si>
  <si>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</si>
  <si>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</si>
  <si>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</si>
  <si>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</si>
  <si>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</si>
  <si>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</si>
  <si>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</si>
  <si>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</si>
  <si>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</si>
  <si>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</si>
  <si>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</si>
  <si>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</si>
  <si>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</si>
  <si>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</si>
  <si>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</si>
  <si>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</si>
  <si>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</si>
  <si>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31.10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</si>
  <si>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</si>
  <si>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</si>
  <si>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</si>
  <si>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</si>
  <si>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</si>
  <si>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</si>
  <si>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</si>
  <si>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</si>
  <si>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</si>
  <si>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</si>
  <si>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</si>
  <si>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</si>
  <si>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147.98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</si>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</sst>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7A4-46F7-B8B0-F18512BF6F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7A4-46F7-B8B0-F18512BF6F8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7A4-46F7-B8B0-F18512BF6F8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7A4-46F7-B8B0-F18512BF6F8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7A4-46F7-B8B0-F18512BF6F8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126020.9856</c:v>
                </c:pt>
                <c:pt idx="2">
                  <c:v>299856.77285000001</c:v>
                </c:pt>
                <c:pt idx="3">
                  <c:v>227846.98901575795</c:v>
                </c:pt>
                <c:pt idx="4">
                  <c:v>120937.00709999999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7A4-46F7-B8B0-F18512BF6F8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F0E-413D-9CB6-0C4B170A4E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F0E-413D-9CB6-0C4B170A4E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F0E-413D-9CB6-0C4B170A4E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F0E-413D-9CB6-0C4B170A4E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F0E-413D-9CB6-0C4B170A4EF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F0E-413D-9CB6-0C4B170A4EF7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143738.03835000002</c:v>
                </c:pt>
                <c:pt idx="1">
                  <c:v>156118.73449999999</c:v>
                </c:pt>
                <c:pt idx="2">
                  <c:v>227846.98901575795</c:v>
                </c:pt>
                <c:pt idx="3">
                  <c:v>62258.989199999996</c:v>
                </c:pt>
                <c:pt idx="4">
                  <c:v>8958.2502000000004</c:v>
                </c:pt>
                <c:pt idx="5">
                  <c:v>7808.3364000000001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F0E-413D-9CB6-0C4B170A4EF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212282</v>
      </c>
      <c r="D2" s="57"/>
      <c r="E2" s="103" t="s">
        <v>6</v>
      </c>
      <c r="F2" s="101"/>
      <c r="G2" s="86">
        <v>4.4800000000000004</v>
      </c>
      <c r="H2" s="57"/>
      <c r="I2" s="87" t="s">
        <v>7</v>
      </c>
      <c r="J2" s="66"/>
      <c r="K2" s="56">
        <f>'006208.TW'!D3*'006208.TW'!C3*0.997</f>
        <v>143738.03835000002</v>
      </c>
      <c r="L2" s="57"/>
      <c r="M2" s="92" t="s">
        <v>8</v>
      </c>
      <c r="N2" s="66"/>
      <c r="O2" s="64">
        <f>VT!H3*VT!D3*投資!G2</f>
        <v>227846.98901575795</v>
      </c>
      <c r="P2" s="57"/>
      <c r="Q2" s="65" t="s">
        <v>9</v>
      </c>
      <c r="R2" s="66"/>
      <c r="S2" s="95">
        <f>(1978.36)*投資!G2</f>
        <v>62258.989199999996</v>
      </c>
      <c r="T2" s="57"/>
    </row>
    <row r="3" spans="1:26" ht="17.25" customHeight="1">
      <c r="A3" s="50" t="s">
        <v>10</v>
      </c>
      <c r="B3" s="44"/>
      <c r="C3" s="45">
        <v>12651</v>
      </c>
      <c r="D3" s="42"/>
      <c r="E3" s="49" t="s">
        <v>11</v>
      </c>
      <c r="F3" s="44"/>
      <c r="G3" s="80">
        <v>4000</v>
      </c>
      <c r="H3" s="42"/>
      <c r="I3" s="99" t="s">
        <v>12</v>
      </c>
      <c r="J3" s="78"/>
      <c r="K3" s="83">
        <f>'2890.TW'!D3*'2890.TW'!C3*0.997</f>
        <v>156118.73449999999</v>
      </c>
      <c r="L3" s="42"/>
      <c r="M3" s="90"/>
      <c r="N3" s="78"/>
      <c r="O3" s="41"/>
      <c r="P3" s="42"/>
      <c r="Q3" s="77" t="s">
        <v>13</v>
      </c>
      <c r="R3" s="78"/>
      <c r="S3" s="51">
        <f>284.66*投資!G2</f>
        <v>8958.2502000000004</v>
      </c>
      <c r="T3" s="42"/>
    </row>
    <row r="4" spans="1:26" ht="15.75" customHeight="1">
      <c r="A4" s="50" t="s">
        <v>14</v>
      </c>
      <c r="B4" s="44"/>
      <c r="C4" s="45">
        <v>120000</v>
      </c>
      <c r="D4" s="42"/>
      <c r="E4" s="49"/>
      <c r="F4" s="44"/>
      <c r="G4" s="80"/>
      <c r="H4" s="42"/>
      <c r="I4" s="99"/>
      <c r="J4" s="78"/>
      <c r="K4" s="83"/>
      <c r="L4" s="42"/>
      <c r="M4" s="90"/>
      <c r="N4" s="78"/>
      <c r="O4" s="41"/>
      <c r="P4" s="42"/>
      <c r="Q4" s="77" t="s">
        <v>15</v>
      </c>
      <c r="R4" s="78"/>
      <c r="S4" s="51">
        <f>248.12*投資!G2</f>
        <v>7808.3364000000001</v>
      </c>
      <c r="T4" s="42"/>
    </row>
    <row r="5" spans="1:26" ht="16.5" customHeight="1">
      <c r="A5" s="50" t="s">
        <v>16</v>
      </c>
      <c r="B5" s="44"/>
      <c r="C5" s="45">
        <v>48513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17</v>
      </c>
      <c r="R5" s="78"/>
      <c r="S5" s="51">
        <f>(1005.57+155.41+170.81)*投資!G2</f>
        <v>41911.431299999997</v>
      </c>
      <c r="T5" s="42"/>
    </row>
    <row r="6" spans="1:26" ht="17.25" customHeight="1">
      <c r="A6" s="50" t="s">
        <v>18</v>
      </c>
      <c r="B6" s="44"/>
      <c r="C6" s="45">
        <v>0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/>
      <c r="R6" s="44"/>
      <c r="S6" s="51"/>
      <c r="T6" s="42"/>
    </row>
    <row r="7" spans="1:26" ht="17.25" customHeight="1">
      <c r="A7" s="50" t="s">
        <v>19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/>
      <c r="R7" s="44"/>
      <c r="S7" s="51"/>
      <c r="T7" s="42"/>
    </row>
    <row r="8" spans="1:26" ht="17.25" customHeight="1">
      <c r="A8" s="50" t="s">
        <v>20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21</v>
      </c>
      <c r="B9" s="68"/>
      <c r="C9" s="96">
        <v>6000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22</v>
      </c>
      <c r="B10" s="53"/>
      <c r="C10" s="54">
        <f>SUM(C2:D9)</f>
        <v>559446</v>
      </c>
      <c r="D10" s="55"/>
      <c r="E10" s="52" t="s">
        <v>22</v>
      </c>
      <c r="F10" s="53"/>
      <c r="G10" s="54">
        <f>SUM(G2:H9)*投資!G2</f>
        <v>126020.9856</v>
      </c>
      <c r="H10" s="55"/>
      <c r="I10" s="52" t="s">
        <v>22</v>
      </c>
      <c r="J10" s="53"/>
      <c r="K10" s="54">
        <f>SUM(K2:L9)</f>
        <v>299856.77285000001</v>
      </c>
      <c r="L10" s="55"/>
      <c r="M10" s="52" t="s">
        <v>22</v>
      </c>
      <c r="N10" s="53"/>
      <c r="O10" s="54">
        <f>SUM(O2:P9)</f>
        <v>227846.98901575795</v>
      </c>
      <c r="P10" s="55"/>
      <c r="Q10" s="52" t="s">
        <v>22</v>
      </c>
      <c r="R10" s="53"/>
      <c r="S10" s="54">
        <f>SUM(S2:T9)</f>
        <v>120937.00709999999</v>
      </c>
      <c r="T10" s="55"/>
    </row>
    <row r="11" spans="1:26" ht="31.5" customHeight="1" thickBot="1">
      <c r="A11" s="79" t="s">
        <v>23</v>
      </c>
      <c r="B11" s="55"/>
      <c r="C11" s="104" t="s">
        <v>24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1334107.7545657582</v>
      </c>
      <c r="B12" s="48"/>
      <c r="C12" s="72">
        <v>19182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25</v>
      </c>
      <c r="B14" s="48"/>
      <c r="C14" s="104" t="s">
        <v>26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1314925.7545657582</v>
      </c>
      <c r="B16" s="48"/>
      <c r="C16" s="81">
        <f>C12/A12</f>
        <v>1.4378148942132185E-2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tabSelected="1" zoomScaleNormal="100" workbookViewId="0">
      <selection activeCell="E16" sqref="E16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31.47</v>
      </c>
    </row>
    <row r="3" spans="1:10" ht="17.25" customHeight="1">
      <c r="A3" s="107">
        <f>('006208.TW'!E3+'00692.TW'!E3+'2890.TW'!E3)-('006208.TW'!F3+'00692.TW'!F3+'2890.TW'!F3)-E2+7345</f>
        <v>133945</v>
      </c>
      <c r="B3" s="107">
        <f>總資產!K10</f>
        <v>299856.77285000001</v>
      </c>
      <c r="C3" s="7">
        <f>C4/A3</f>
        <v>1.2386559621486433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165911.77285000001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33</v>
      </c>
      <c r="F8" s="106"/>
      <c r="G8" s="44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177648.33468</v>
      </c>
      <c r="B10" s="107">
        <f>總資產!O10</f>
        <v>227846.98901575795</v>
      </c>
      <c r="C10" s="7">
        <f>C11/A10</f>
        <v>0.28257317709271729</v>
      </c>
      <c r="D10" s="5"/>
      <c r="E10" s="107">
        <f>A3+A10+A17</f>
        <v>449653.33467999997</v>
      </c>
      <c r="F10" s="107">
        <f>B3+B10+B17</f>
        <v>648640.76896575792</v>
      </c>
      <c r="G10" s="7">
        <f>G11/E10</f>
        <v>0.44253521310448912</v>
      </c>
    </row>
    <row r="11" spans="1:10" ht="18" customHeight="1">
      <c r="A11" s="108"/>
      <c r="B11" s="108"/>
      <c r="C11" s="29">
        <f>B10-A10</f>
        <v>50198.65433575795</v>
      </c>
      <c r="D11" s="5"/>
      <c r="E11" s="108"/>
      <c r="F11" s="108"/>
      <c r="G11" s="31">
        <f>F10-E10</f>
        <v>198987.43428575795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138060</v>
      </c>
      <c r="B17" s="107">
        <f>總資產!S10</f>
        <v>120937.00709999999</v>
      </c>
      <c r="C17" s="7">
        <f>C18/A17</f>
        <v>-0.12402573446327693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-17122.992900000012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D47" sqref="D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35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97.109045848822802</v>
      </c>
      <c r="B3" s="114">
        <f>E3/D3</f>
        <v>102.0272614622057</v>
      </c>
      <c r="C3" s="126" t="s">
        <v>41</v>
      </c>
      <c r="D3" s="121">
        <f>SUM(D7:D505)</f>
        <v>807</v>
      </c>
      <c r="E3" s="124">
        <f>SUM(E7:E505)</f>
        <v>82336</v>
      </c>
      <c r="F3" s="124">
        <f>SUM(F6:G505)</f>
        <v>3969</v>
      </c>
      <c r="G3" s="7">
        <f>G4/E3</f>
        <v>0.7992075155460554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65803.550000000017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93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9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94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16.899900695134061</v>
      </c>
      <c r="B3" s="114">
        <f>E3/D3</f>
        <v>18.526911618669313</v>
      </c>
      <c r="C3" s="127" t="s">
        <v>95</v>
      </c>
      <c r="D3" s="121">
        <f>SUM(D7:D505)</f>
        <v>5035</v>
      </c>
      <c r="E3" s="124">
        <f>SUM(E7:E505)</f>
        <v>93283</v>
      </c>
      <c r="F3" s="124">
        <f>SUM(F6:G505)</f>
        <v>8192</v>
      </c>
      <c r="G3" s="7">
        <f>G4/E3</f>
        <v>0.76645798269781207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71497.5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93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L47" sqref="L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8</v>
      </c>
      <c r="G1" s="44"/>
      <c r="H1" s="122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>
        <f>(E3-F3)/D3</f>
        <v>3639.9822075716543</v>
      </c>
      <c r="B3" s="114">
        <f>E3/D3</f>
        <v>3709.0130238400802</v>
      </c>
      <c r="C3" s="126">
        <f>H3*I3</f>
        <v>4656.9305999999997</v>
      </c>
      <c r="D3" s="121">
        <f>SUM(D7:D505)</f>
        <v>48.926429999999996</v>
      </c>
      <c r="E3" s="124">
        <f>SUM(E7:E505)</f>
        <v>181468.76608</v>
      </c>
      <c r="F3" s="124">
        <f>SUM(F6:G505)</f>
        <v>3377.4313999999999</v>
      </c>
      <c r="G3" s="7">
        <f>G4/E3</f>
        <v>0.27418302008965739</v>
      </c>
      <c r="H3" s="116" t="s">
        <v>108</v>
      </c>
      <c r="I3" s="129">
        <f>投資!G2</f>
        <v>31.47</v>
      </c>
      <c r="J3" s="117">
        <f>SUM(J7:J505)</f>
        <v>5736.8300000000008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49755.654335757979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111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112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112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113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114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115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116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117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118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119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120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121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122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123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124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125</v>
      </c>
      <c r="C48" s="36">
        <f t="shared" si="0"/>
        <v>0</v>
      </c>
      <c r="D48" s="26"/>
      <c r="E48" s="26"/>
      <c r="F48" s="109">
        <f>36.62*投資!G2</f>
        <v>1152.4313999999999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126</v>
      </c>
      <c r="C49" s="36">
        <f t="shared" si="0"/>
        <v>4491.7130999999999</v>
      </c>
      <c r="D49" s="26">
        <v>0.21018000000000001</v>
      </c>
      <c r="E49" s="26">
        <f>30.01*投資!G2</f>
        <v>944.41470000000004</v>
      </c>
      <c r="F49" s="109"/>
      <c r="G49" s="44"/>
      <c r="H49" s="20">
        <v>142.72999999999999</v>
      </c>
      <c r="I49" s="20">
        <f>投資!G2</f>
        <v>31.47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93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127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128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129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130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131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132</v>
      </c>
      <c r="G1" s="44"/>
      <c r="H1" s="122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2334.4446000000003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133</v>
      </c>
      <c r="I3" s="120">
        <f>投資!G2</f>
        <v>31.47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134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111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135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135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136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137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138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115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139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140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141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142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143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144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145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146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147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148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149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150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151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152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153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154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155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156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121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122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2026-02-17T05:42:01Z</dcterms:modified>
  <dc:language>en-US</dc:language>
</cp:coreProperties>
</file>