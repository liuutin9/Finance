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52A8765B-4C60-4712-BD00-E1983EE59B33}" xr6:coauthVersionLast="47" xr6:coauthVersionMax="47" xr10:uidLastSave="{00000000-0000-0000-0000-000000000000}"/>
  <bookViews>
    <workbookView xWindow="-120" yWindow="-120" windowWidth="29040" windowHeight="15720" tabRatio="679" activeTab="5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6" l="1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C3" i="8" s="1"/>
  <c r="G4" i="8" s="1"/>
  <c r="G3" i="8" s="1"/>
  <c r="F3" i="8"/>
  <c r="E3" i="8"/>
  <c r="B3" i="8" s="1"/>
  <c r="D3" i="8"/>
  <c r="F3" i="7"/>
  <c r="E3" i="7"/>
  <c r="A3" i="2" s="1"/>
  <c r="D3" i="7"/>
  <c r="G4" i="7" s="1"/>
  <c r="G3" i="7" s="1"/>
  <c r="B3" i="7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J3" i="6"/>
  <c r="I3" i="6"/>
  <c r="F3" i="6"/>
  <c r="D3" i="6"/>
  <c r="O3" i="1" s="1"/>
  <c r="C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F3" i="5" s="1"/>
  <c r="C53" i="5"/>
  <c r="C52" i="5"/>
  <c r="C51" i="5"/>
  <c r="C50" i="5"/>
  <c r="I49" i="5"/>
  <c r="E49" i="5"/>
  <c r="E3" i="5" s="1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C3" i="5"/>
  <c r="G4" i="4"/>
  <c r="G3" i="4" s="1"/>
  <c r="F3" i="4"/>
  <c r="A3" i="4" s="1"/>
  <c r="E3" i="4"/>
  <c r="D3" i="4"/>
  <c r="K3" i="1" s="1"/>
  <c r="B3" i="4"/>
  <c r="C12" i="1"/>
  <c r="G10" i="1"/>
  <c r="C10" i="1"/>
  <c r="S7" i="1"/>
  <c r="S6" i="1"/>
  <c r="S5" i="1"/>
  <c r="S4" i="1"/>
  <c r="S3" i="1"/>
  <c r="S2" i="1"/>
  <c r="S10" i="1" s="1"/>
  <c r="B17" i="2" s="1"/>
  <c r="C18" i="2" s="1"/>
  <c r="C17" i="2" s="1"/>
  <c r="O2" i="1"/>
  <c r="G4" i="3"/>
  <c r="G3" i="3" s="1"/>
  <c r="F3" i="3"/>
  <c r="E3" i="3"/>
  <c r="D3" i="3"/>
  <c r="K2" i="1" s="1"/>
  <c r="K10" i="1" s="1"/>
  <c r="B3" i="2" s="1"/>
  <c r="B3" i="3"/>
  <c r="A3" i="3"/>
  <c r="O10" i="1" l="1"/>
  <c r="B10" i="2" s="1"/>
  <c r="E3" i="6"/>
  <c r="G4" i="6" s="1"/>
  <c r="G3" i="6" s="1"/>
  <c r="A12" i="1"/>
  <c r="A16" i="1" s="1"/>
  <c r="C4" i="2"/>
  <c r="C3" i="2" s="1"/>
  <c r="F10" i="2"/>
  <c r="C16" i="1"/>
  <c r="A10" i="2"/>
  <c r="E10" i="2" s="1"/>
  <c r="B3" i="5"/>
  <c r="A3" i="5"/>
  <c r="G4" i="5"/>
  <c r="G3" i="5" s="1"/>
  <c r="A3" i="7"/>
  <c r="A3" i="8"/>
  <c r="A3" i="6" l="1"/>
  <c r="B3" i="6"/>
  <c r="C11" i="2"/>
  <c r="C10" i="2" s="1"/>
  <c r="G11" i="2"/>
  <c r="G10" i="2" s="1"/>
</calcChain>
</file>

<file path=xl/sharedStrings.xml><?xml version="1.0" encoding="utf-8"?>
<sst xmlns="http://schemas.openxmlformats.org/spreadsheetml/2006/main" count="420" uniqueCount="170">
  <si>
    <t>存股統計專用表格</t>
  </si>
  <si>
    <t>006208.TW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</si>
  <si>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</si>
  <si>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</si>
  <si>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</si>
  <si>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</si>
  <si>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</si>
  <si>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</si>
  <si>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</si>
  <si>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</si>
  <si>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</si>
  <si>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</si>
  <si>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</si>
  <si>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</si>
  <si>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</si>
  <si>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</si>
  <si>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</si>
  <si>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</si>
  <si>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</si>
  <si>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</si>
  <si>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</si>
  <si>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</si>
  <si>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</si>
  <si>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</si>
  <si>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</si>
  <si>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</si>
  <si>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</si>
  <si>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</si>
  <si>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</si>
  <si>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</si>
  <si>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</si>
  <si>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</si>
  <si>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</si>
  <si>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</si>
  <si>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</si>
  <si>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</si>
  <si>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</si>
  <si>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</si>
  <si>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</si>
  <si>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</si>
  <si>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</si>
  <si>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</si>
  <si>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</si>
  <si>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</si>
  <si>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</si>
  <si>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</si>
  <si>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</si>
  <si>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</si>
  <si>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</si>
  <si>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</si>
  <si>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</si>
  <si>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</si>
  <si>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</si>
  <si>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</si>
  <si>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</si>
  <si>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</si>
  <si>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</si>
  <si>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</si>
  <si>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</si>
  <si>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</si>
  <si>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</si>
  <si>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</si>
  <si>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</si>
  <si>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</si>
  <si>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</si>
  <si>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2026.07.06</t>
  </si>
  <si>
    <t>2026.08.06</t>
  </si>
  <si>
    <t>2026.08.10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</si>
  <si>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</si>
  <si>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</si>
  <si>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</si>
  <si>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</si>
  <si>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</si>
  <si>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</si>
  <si>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</si>
  <si>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</si>
  <si>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</si>
  <si>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</si>
  <si>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</si>
  <si>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</si>
  <si>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</si>
  <si>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VOO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</si>
  <si>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</si>
  <si>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</si>
  <si>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</si>
  <si>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</si>
  <si>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</si>
  <si>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</si>
  <si>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</si>
  <si>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</si>
  <si>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</si>
  <si>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</si>
  <si>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</si>
  <si>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</si>
  <si>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</si>
  <si>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</si>
  <si>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</si>
  <si>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</si>
  <si>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</si>
  <si>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</si>
  <si>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</si>
  <si>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</si>
  <si>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</si>
  <si>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</si>
  <si>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</si>
  <si>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</si>
  <si>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</si>
  <si>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</si>
  <si>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</si>
  <si>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</si>
  <si>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</si>
  <si>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</si>
  <si>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</si>
  <si>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</si>
  <si>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</si>
  <si>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2026.08.24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</si>
  <si>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</si>
  <si>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</si>
  <si>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</si>
  <si>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</si>
  <si>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</si>
  <si>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</si>
  <si>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</si>
  <si>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</si>
  <si>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</si>
  <si>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</si>
  <si>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</si>
  <si>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</si>
  <si>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</si>
  <si>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</si>
  <si>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</si>
  <si>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</si>
  <si>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</si>
  <si>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</si>
  <si>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</si>
  <si>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</si>
  <si>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</si>
  <si>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</si>
  <si>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</si>
  <si>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</si>
  <si>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</si>
  <si>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</si>
  <si>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</si>
  <si>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</si>
  <si>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</si>
  <si>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</si>
  <si>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</si>
  <si>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</si>
  <si>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</si>
  <si>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</si>
  <si>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</si>
  <si>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</si>
  <si>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</si>
  <si>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</si>
  <si>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</si>
  <si>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</si>
  <si>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</si>
  <si>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</si>
  <si>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</si>
  <si>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</si>
  <si>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</si>
  <si>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</si>
  <si>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</si>
  <si>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</si>
  <si>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</si>
  <si>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</si>
  <si>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</si>
  <si>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</si>
  <si>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</si>
  <si>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2026.08.06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</si>
</sst>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B85-40B7-92B2-C7F7659DDD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B85-40B7-92B2-C7F7659DDD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B85-40B7-92B2-C7F7659DDD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B85-40B7-92B2-C7F7659DDD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B85-40B7-92B2-C7F7659DDD5C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7199.5549999999994</c:v>
                </c:pt>
                <c:pt idx="2">
                  <c:v>414923.93264999997</c:v>
                </c:pt>
                <c:pt idx="3">
                  <c:v>282687.31443883205</c:v>
                </c:pt>
                <c:pt idx="4">
                  <c:v>238414.87807499999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B85-40B7-92B2-C7F7659DDD5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CBA-4CF3-A5EC-810B17B7C79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CBA-4CF3-A5EC-810B17B7C79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CBA-4CF3-A5EC-810B17B7C79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CBA-4CF3-A5EC-810B17B7C79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CBA-4CF3-A5EC-810B17B7C79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CBA-4CF3-A5EC-810B17B7C79C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209302.40339999998</c:v>
                </c:pt>
                <c:pt idx="1">
                  <c:v>205621.52925000002</c:v>
                </c:pt>
                <c:pt idx="2">
                  <c:v>271578.00775565603</c:v>
                </c:pt>
                <c:pt idx="3">
                  <c:v>70286.704949999999</c:v>
                </c:pt>
                <c:pt idx="4">
                  <c:v>7581.4865499999996</c:v>
                </c:pt>
                <c:pt idx="5">
                  <c:v>10002.538699999999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CBA-4CF3-A5EC-810B17B7C79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C7" sqref="C7:D7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68</v>
      </c>
      <c r="B1" s="67"/>
      <c r="C1" s="67"/>
      <c r="D1" s="68"/>
      <c r="E1" s="80" t="s">
        <v>69</v>
      </c>
      <c r="F1" s="67"/>
      <c r="G1" s="67"/>
      <c r="H1" s="68"/>
      <c r="I1" s="66" t="s">
        <v>70</v>
      </c>
      <c r="J1" s="67"/>
      <c r="K1" s="67"/>
      <c r="L1" s="68"/>
      <c r="M1" s="114" t="s">
        <v>71</v>
      </c>
      <c r="N1" s="67"/>
      <c r="O1" s="67"/>
      <c r="P1" s="68"/>
      <c r="Q1" s="102" t="s">
        <v>72</v>
      </c>
      <c r="R1" s="67"/>
      <c r="S1" s="67"/>
      <c r="T1" s="68"/>
    </row>
    <row r="2" spans="1:26" ht="17.25" customHeight="1" x14ac:dyDescent="0.25">
      <c r="A2" s="120" t="s">
        <v>73</v>
      </c>
      <c r="B2" s="121"/>
      <c r="C2" s="122">
        <v>201256</v>
      </c>
      <c r="D2" s="77"/>
      <c r="E2" s="123" t="s">
        <v>74</v>
      </c>
      <c r="F2" s="121"/>
      <c r="G2" s="106">
        <v>220</v>
      </c>
      <c r="H2" s="77"/>
      <c r="I2" s="107" t="s">
        <v>75</v>
      </c>
      <c r="J2" s="86"/>
      <c r="K2" s="76">
        <f>'006208'!D3*'006208'!C3*0.997</f>
        <v>209302.40339999998</v>
      </c>
      <c r="L2" s="77"/>
      <c r="M2" s="112" t="s">
        <v>76</v>
      </c>
      <c r="N2" s="86"/>
      <c r="O2" s="84">
        <f>VT!H3*VT!D3</f>
        <v>271578.00775565603</v>
      </c>
      <c r="P2" s="77"/>
      <c r="Q2" s="85" t="s">
        <v>77</v>
      </c>
      <c r="R2" s="86"/>
      <c r="S2" s="115">
        <f>(682.1+1166.72+328.25)*投資!G2</f>
        <v>70286.704949999999</v>
      </c>
      <c r="T2" s="77"/>
    </row>
    <row r="3" spans="1:26" ht="17.25" customHeight="1" x14ac:dyDescent="0.25">
      <c r="A3" s="70" t="s">
        <v>78</v>
      </c>
      <c r="B3" s="42"/>
      <c r="C3" s="65">
        <v>11601</v>
      </c>
      <c r="D3" s="63"/>
      <c r="E3" s="69" t="s">
        <v>79</v>
      </c>
      <c r="F3" s="42"/>
      <c r="G3" s="100">
        <v>0</v>
      </c>
      <c r="H3" s="63"/>
      <c r="I3" s="119" t="s">
        <v>80</v>
      </c>
      <c r="J3" s="98"/>
      <c r="K3" s="103">
        <f>'2890'!D3*'2890'!C3*0.997</f>
        <v>205621.52925000002</v>
      </c>
      <c r="L3" s="63"/>
      <c r="M3" s="110" t="s">
        <v>81</v>
      </c>
      <c r="N3" s="98"/>
      <c r="O3" s="62">
        <f>VOO!C3*VOO!D3</f>
        <v>11109.306683176001</v>
      </c>
      <c r="P3" s="63"/>
      <c r="Q3" s="97" t="s">
        <v>82</v>
      </c>
      <c r="R3" s="98"/>
      <c r="S3" s="71">
        <f>234.83*投資!G2</f>
        <v>7581.4865499999996</v>
      </c>
      <c r="T3" s="63"/>
    </row>
    <row r="4" spans="1:26" ht="15.75" customHeight="1" x14ac:dyDescent="0.25">
      <c r="A4" s="70" t="s">
        <v>83</v>
      </c>
      <c r="B4" s="42"/>
      <c r="C4" s="65">
        <v>150039</v>
      </c>
      <c r="D4" s="63"/>
      <c r="E4" s="69" t="s">
        <v>84</v>
      </c>
      <c r="F4" s="42"/>
      <c r="G4" s="100">
        <v>3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85</v>
      </c>
      <c r="R4" s="98"/>
      <c r="S4" s="71">
        <f>309.82*投資!G2</f>
        <v>10002.538699999999</v>
      </c>
      <c r="T4" s="63"/>
    </row>
    <row r="5" spans="1:26" ht="16.5" customHeight="1" x14ac:dyDescent="0.25">
      <c r="A5" s="70" t="s">
        <v>86</v>
      </c>
      <c r="B5" s="42"/>
      <c r="C5" s="65">
        <v>550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87</v>
      </c>
      <c r="R5" s="98"/>
      <c r="S5" s="71">
        <f>15.45*投資!G2</f>
        <v>498.80324999999993</v>
      </c>
      <c r="T5" s="63"/>
    </row>
    <row r="6" spans="1:26" ht="17.25" customHeight="1" x14ac:dyDescent="0.25">
      <c r="A6" s="70" t="s">
        <v>88</v>
      </c>
      <c r="B6" s="42"/>
      <c r="C6" s="65">
        <v>700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89</v>
      </c>
      <c r="R6" s="42"/>
      <c r="S6" s="71">
        <f>(502.19+483.32+301.6+2206.02+151.975)*投資!G2</f>
        <v>117682.21492499999</v>
      </c>
      <c r="T6" s="63"/>
    </row>
    <row r="7" spans="1:26" ht="17.25" customHeight="1" x14ac:dyDescent="0.25">
      <c r="A7" s="70" t="s">
        <v>90</v>
      </c>
      <c r="B7" s="42"/>
      <c r="C7" s="65">
        <v>100189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91</v>
      </c>
      <c r="R7" s="42"/>
      <c r="S7" s="71">
        <f>(501.74+500.68)*投資!G2</f>
        <v>32363.129699999998</v>
      </c>
      <c r="T7" s="63"/>
    </row>
    <row r="8" spans="1:26" ht="17.25" customHeight="1" x14ac:dyDescent="0.25">
      <c r="A8" s="70" t="s">
        <v>92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93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94</v>
      </c>
      <c r="B10" s="73"/>
      <c r="C10" s="74">
        <f>SUM(C2:D9)</f>
        <v>525135</v>
      </c>
      <c r="D10" s="75"/>
      <c r="E10" s="72" t="s">
        <v>94</v>
      </c>
      <c r="F10" s="73"/>
      <c r="G10" s="74">
        <f>SUM(G2:H9)*投資!G2</f>
        <v>7199.5549999999994</v>
      </c>
      <c r="H10" s="75"/>
      <c r="I10" s="72" t="s">
        <v>94</v>
      </c>
      <c r="J10" s="73"/>
      <c r="K10" s="74">
        <f>SUM(K2:L9)</f>
        <v>414923.93264999997</v>
      </c>
      <c r="L10" s="75"/>
      <c r="M10" s="72" t="s">
        <v>94</v>
      </c>
      <c r="N10" s="73"/>
      <c r="O10" s="74">
        <f>SUM(O2:P9)</f>
        <v>282687.31443883205</v>
      </c>
      <c r="P10" s="75"/>
      <c r="Q10" s="72" t="s">
        <v>94</v>
      </c>
      <c r="R10" s="73"/>
      <c r="S10" s="74">
        <f>SUM(S2:T9)</f>
        <v>238414.87807499999</v>
      </c>
      <c r="T10" s="75"/>
    </row>
    <row r="11" spans="1:26" ht="31.5" customHeight="1" thickBot="1" x14ac:dyDescent="0.3">
      <c r="A11" s="99" t="s">
        <v>95</v>
      </c>
      <c r="B11" s="75"/>
      <c r="C11" s="124" t="s">
        <v>96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1468360.6801638319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97</v>
      </c>
      <c r="B14" s="68"/>
      <c r="C14" s="124" t="s">
        <v>98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1456348.6801638319</v>
      </c>
      <c r="B16" s="68"/>
      <c r="C16" s="101">
        <f>C12/A12</f>
        <v>8.1805513878645698E-3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70</v>
      </c>
      <c r="B1" s="44"/>
      <c r="C1" s="42"/>
      <c r="D1" s="3"/>
      <c r="E1" s="40" t="s">
        <v>99</v>
      </c>
      <c r="F1" s="40" t="s">
        <v>100</v>
      </c>
      <c r="G1" s="40" t="s">
        <v>101</v>
      </c>
    </row>
    <row r="2" spans="1:10" ht="21.75" customHeight="1" x14ac:dyDescent="0.3">
      <c r="A2" s="4" t="s">
        <v>6</v>
      </c>
      <c r="B2" s="4" t="s">
        <v>102</v>
      </c>
      <c r="C2" s="4" t="s">
        <v>8</v>
      </c>
      <c r="D2" s="5"/>
      <c r="E2" s="6">
        <v>304</v>
      </c>
      <c r="F2" s="6">
        <v>0</v>
      </c>
      <c r="G2" s="28">
        <v>32.284999999999997</v>
      </c>
    </row>
    <row r="3" spans="1:10" ht="17.25" customHeight="1" x14ac:dyDescent="0.3">
      <c r="A3" s="126">
        <f>('006208'!E3+'00692'!E3+'2890'!E3)-('006208'!F3+'00692'!F3+'2890'!F3)-E2+7345</f>
        <v>147431</v>
      </c>
      <c r="B3" s="126">
        <f>總資產!K10</f>
        <v>414923.93264999997</v>
      </c>
      <c r="C3" s="7">
        <f>C4/A3</f>
        <v>1.8143601593287706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267492.93264999997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71</v>
      </c>
      <c r="B8" s="44"/>
      <c r="C8" s="42"/>
      <c r="D8" s="5"/>
      <c r="E8" s="125" t="s">
        <v>103</v>
      </c>
      <c r="F8" s="44"/>
      <c r="G8" s="42"/>
    </row>
    <row r="9" spans="1:10" ht="15" customHeight="1" x14ac:dyDescent="0.3">
      <c r="A9" s="4" t="s">
        <v>6</v>
      </c>
      <c r="B9" s="4" t="s">
        <v>102</v>
      </c>
      <c r="C9" s="4" t="s">
        <v>8</v>
      </c>
      <c r="D9" s="5"/>
      <c r="E9" s="4" t="s">
        <v>6</v>
      </c>
      <c r="F9" s="4" t="s">
        <v>102</v>
      </c>
      <c r="G9" s="4" t="s">
        <v>8</v>
      </c>
    </row>
    <row r="10" spans="1:10" ht="18" customHeight="1" x14ac:dyDescent="0.3">
      <c r="A10" s="126">
        <f>(BND!E3+VT!E3)-(BND!F3+VT!F3)</f>
        <v>193753.59903000001</v>
      </c>
      <c r="B10" s="126">
        <f>總資產!O10</f>
        <v>282687.31443883205</v>
      </c>
      <c r="C10" s="7">
        <f>C11/A10</f>
        <v>0.45900419839459039</v>
      </c>
      <c r="D10" s="5"/>
      <c r="E10" s="126">
        <f>A3+A10+A17</f>
        <v>594765.59903000004</v>
      </c>
      <c r="F10" s="126">
        <f>B3+B10+B17</f>
        <v>936026.1251638321</v>
      </c>
      <c r="G10" s="7">
        <f>G11/E10</f>
        <v>0.57377314136929236</v>
      </c>
    </row>
    <row r="11" spans="1:10" ht="18" customHeight="1" x14ac:dyDescent="0.3">
      <c r="A11" s="46"/>
      <c r="B11" s="46"/>
      <c r="C11" s="29">
        <f>B10-A10</f>
        <v>88933.715408832039</v>
      </c>
      <c r="D11" s="5"/>
      <c r="E11" s="46"/>
      <c r="F11" s="46"/>
      <c r="G11" s="31">
        <f>F10-E10</f>
        <v>341260.52613383206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72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6</v>
      </c>
      <c r="B16" s="4" t="s">
        <v>102</v>
      </c>
      <c r="C16" s="4" t="s">
        <v>8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238414.87807499999</v>
      </c>
      <c r="C17" s="7">
        <f>C18/A17</f>
        <v>-5.9807800761886791E-2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-15166.121925000014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opLeftCell="A39" zoomScaleNormal="100" workbookViewId="0">
      <selection activeCell="E59" sqref="E59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/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 x14ac:dyDescent="0.3">
      <c r="A3" s="45">
        <f>(E3-F3)/D3</f>
        <v>103.3677130044843</v>
      </c>
      <c r="B3" s="49">
        <f>E3/D3</f>
        <v>112.49775784753363</v>
      </c>
      <c r="C3" s="61">
        <v>235.35</v>
      </c>
      <c r="D3" s="56">
        <f>SUM(D7:D505)</f>
        <v>892</v>
      </c>
      <c r="E3" s="59">
        <f>SUM(E7:E505)</f>
        <v>100348</v>
      </c>
      <c r="F3" s="59">
        <f>SUM(F6:G505)</f>
        <v>8144</v>
      </c>
      <c r="G3" s="7">
        <f>G4/E3</f>
        <v>1.1731992665523976</v>
      </c>
      <c r="H3" s="51"/>
      <c r="I3" s="55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117728.19999999998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16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17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18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19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20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21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22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23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24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25</v>
      </c>
      <c r="C16" s="33">
        <v>0</v>
      </c>
      <c r="D16" s="26">
        <v>0</v>
      </c>
      <c r="E16" s="26">
        <v>0</v>
      </c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25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26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27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28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29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30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31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32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33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34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35</v>
      </c>
      <c r="C27" s="33">
        <v>0</v>
      </c>
      <c r="D27" s="26">
        <v>0</v>
      </c>
      <c r="E27" s="26">
        <v>0</v>
      </c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36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37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38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39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40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41</v>
      </c>
      <c r="C33" s="33">
        <v>0</v>
      </c>
      <c r="D33" s="26">
        <v>0</v>
      </c>
      <c r="E33" s="26">
        <v>0</v>
      </c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42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43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44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44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45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46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47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48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49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50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51</v>
      </c>
      <c r="C44" s="33">
        <v>0</v>
      </c>
      <c r="D44" s="26">
        <v>0</v>
      </c>
      <c r="E44" s="26">
        <v>0</v>
      </c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52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53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54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55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56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57</v>
      </c>
      <c r="C50" s="33">
        <v>0</v>
      </c>
      <c r="D50" s="26">
        <v>0</v>
      </c>
      <c r="E50" s="26">
        <v>0</v>
      </c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58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59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60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61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62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63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64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65</v>
      </c>
      <c r="C58" s="33">
        <v>252.17</v>
      </c>
      <c r="D58" s="26">
        <v>12</v>
      </c>
      <c r="E58" s="26">
        <v>3027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 t="s">
        <v>66</v>
      </c>
      <c r="C59" s="33">
        <v>236.15</v>
      </c>
      <c r="D59" s="26">
        <v>13</v>
      </c>
      <c r="E59" s="26">
        <v>3071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67</v>
      </c>
      <c r="C60" s="33">
        <v>0</v>
      </c>
      <c r="D60" s="26">
        <v>0</v>
      </c>
      <c r="E60" s="26">
        <v>0</v>
      </c>
      <c r="F60" s="41">
        <v>4175</v>
      </c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30" zoomScaleNormal="100" workbookViewId="0">
      <selection activeCell="E55" sqref="E55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104</v>
      </c>
      <c r="G1" s="42"/>
      <c r="H1" s="57"/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 x14ac:dyDescent="0.3">
      <c r="A3" s="45">
        <f>(E3-F3)/D3</f>
        <v>16.003777148253068</v>
      </c>
      <c r="B3" s="49">
        <f>E3/D3</f>
        <v>18.624929178470254</v>
      </c>
      <c r="C3" s="127">
        <v>38.950000000000003</v>
      </c>
      <c r="D3" s="56">
        <f>SUM(D7:D505)</f>
        <v>5295</v>
      </c>
      <c r="E3" s="59">
        <f>SUM(E7:E505)</f>
        <v>98619</v>
      </c>
      <c r="F3" s="59">
        <f>SUM(F6:G505)</f>
        <v>13879</v>
      </c>
      <c r="G3" s="7">
        <f>G4/E3</f>
        <v>1.2320166499356111</v>
      </c>
      <c r="H3" s="51"/>
      <c r="I3" s="55"/>
      <c r="J3" s="52"/>
    </row>
    <row r="4" spans="1:10" ht="18.75" customHeight="1" x14ac:dyDescent="0.3">
      <c r="A4" s="46"/>
      <c r="B4" s="46"/>
      <c r="C4" s="128"/>
      <c r="D4" s="46"/>
      <c r="E4" s="46"/>
      <c r="F4" s="46"/>
      <c r="G4" s="32">
        <f>D3*C3-E3+F3</f>
        <v>121500.25000000003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18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19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19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105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20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106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21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107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108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23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24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109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26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28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29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30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31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32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33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34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37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110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38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111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112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39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40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43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44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45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46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47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48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49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50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53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113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114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54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55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56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59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60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61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62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63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64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65</v>
      </c>
      <c r="C54" s="34">
        <v>40.82</v>
      </c>
      <c r="D54" s="26">
        <v>22</v>
      </c>
      <c r="E54" s="26">
        <v>899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66</v>
      </c>
      <c r="C55" s="34">
        <v>39.270000000000003</v>
      </c>
      <c r="D55" s="26">
        <v>22</v>
      </c>
      <c r="E55" s="26">
        <v>865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115</v>
      </c>
      <c r="C56" s="34">
        <v>0</v>
      </c>
      <c r="D56" s="26">
        <v>103</v>
      </c>
      <c r="E56" s="26">
        <v>0</v>
      </c>
      <c r="F56" s="41">
        <v>5687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76</v>
      </c>
      <c r="G1" s="42"/>
      <c r="H1" s="57" t="s">
        <v>116</v>
      </c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117</v>
      </c>
      <c r="J2" s="27" t="s">
        <v>6</v>
      </c>
    </row>
    <row r="3" spans="1:10" ht="18.75" customHeight="1" x14ac:dyDescent="0.3">
      <c r="A3" s="45">
        <f>(E3-F3)/D3</f>
        <v>3690.1903451376525</v>
      </c>
      <c r="B3" s="49">
        <f>E3/D3</f>
        <v>3774.6296344576326</v>
      </c>
      <c r="C3" s="61">
        <f>H3</f>
        <v>5160.6184000000003</v>
      </c>
      <c r="D3" s="56">
        <f>SUM(D7:D505)</f>
        <v>52.62509</v>
      </c>
      <c r="E3" s="59">
        <f>SUM(E7:E505)</f>
        <v>198640.22423000002</v>
      </c>
      <c r="F3" s="59">
        <f>SUM(F6:G505)</f>
        <v>4443.6251999999995</v>
      </c>
      <c r="G3" s="7">
        <f>G4/E3</f>
        <v>0.38955558485505037</v>
      </c>
      <c r="H3" s="51">
        <v>5160.6184000000003</v>
      </c>
      <c r="I3" s="129">
        <f>投資!G2</f>
        <v>32.284999999999997</v>
      </c>
      <c r="J3" s="52">
        <f>SUM(J7:J505)</f>
        <v>6286.8800000000019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77381.408725656001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118</v>
      </c>
      <c r="J5" s="47" t="s">
        <v>119</v>
      </c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16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120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121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121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122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21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23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24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123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26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124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29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125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30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31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32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126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33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34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37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110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38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39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40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127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43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44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45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128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46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47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48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129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49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50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130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131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132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133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55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56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134</v>
      </c>
      <c r="C48" s="36">
        <f t="shared" si="0"/>
        <v>0</v>
      </c>
      <c r="D48" s="26"/>
      <c r="E48" s="26"/>
      <c r="F48" s="41">
        <f>36.62*投資!G2</f>
        <v>1182.2766999999999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135</v>
      </c>
      <c r="C49" s="36">
        <f t="shared" si="0"/>
        <v>4608.0380499999992</v>
      </c>
      <c r="D49" s="26">
        <v>0.21018000000000001</v>
      </c>
      <c r="E49" s="26">
        <f>30.01*投資!G2</f>
        <v>968.87284999999997</v>
      </c>
      <c r="F49" s="41"/>
      <c r="G49" s="42"/>
      <c r="H49" s="20">
        <v>142.72999999999999</v>
      </c>
      <c r="I49" s="20">
        <f>投資!G2</f>
        <v>32.284999999999997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59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60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61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136</v>
      </c>
      <c r="C53" s="36">
        <f t="shared" si="0"/>
        <v>0</v>
      </c>
      <c r="D53" s="26"/>
      <c r="E53" s="26"/>
      <c r="F53" s="41">
        <f>11.42*投資!G2</f>
        <v>368.69469999999995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137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63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64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138</v>
      </c>
      <c r="C57" s="36">
        <f t="shared" si="0"/>
        <v>0</v>
      </c>
      <c r="D57" s="26"/>
      <c r="E57" s="26"/>
      <c r="F57" s="41">
        <f>20.68 * 投資!G2</f>
        <v>667.65379999999993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65</v>
      </c>
      <c r="C58" s="36">
        <f t="shared" si="0"/>
        <v>5020.3539000000001</v>
      </c>
      <c r="D58" s="26">
        <v>0.12720000000000001</v>
      </c>
      <c r="E58" s="26">
        <v>660</v>
      </c>
      <c r="F58" s="41"/>
      <c r="G58" s="42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abSelected="1" zoomScaleNormal="100" workbookViewId="0">
      <selection activeCell="I8" sqref="I8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81</v>
      </c>
      <c r="G1" s="42"/>
      <c r="H1" s="57" t="s">
        <v>116</v>
      </c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117</v>
      </c>
      <c r="J2" s="27" t="s">
        <v>6</v>
      </c>
    </row>
    <row r="3" spans="1:10" ht="18.75" customHeight="1" x14ac:dyDescent="0.3">
      <c r="A3" s="45">
        <f>(E3-F3)/D3</f>
        <v>22432.554475482848</v>
      </c>
      <c r="B3" s="49">
        <f>E3/D3</f>
        <v>22432.554475482848</v>
      </c>
      <c r="C3" s="61">
        <f>H3</f>
        <v>22801.885600000001</v>
      </c>
      <c r="D3" s="56">
        <f>SUM(D7:D505)</f>
        <v>0.48721000000000003</v>
      </c>
      <c r="E3" s="59">
        <f>SUM(E7:E505)</f>
        <v>10929.364866</v>
      </c>
      <c r="F3" s="59">
        <f>SUM(F6:G505)</f>
        <v>0</v>
      </c>
      <c r="G3" s="7">
        <f>G4/E3</f>
        <v>1.6464068990484443E-2</v>
      </c>
      <c r="H3" s="51">
        <v>22801.885600000001</v>
      </c>
      <c r="I3" s="129">
        <f>投資!G2</f>
        <v>32.284999999999997</v>
      </c>
      <c r="J3" s="52">
        <f>SUM(J7:J505)</f>
        <v>340.02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179.94181717600077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118</v>
      </c>
      <c r="J5" s="47" t="s">
        <v>119</v>
      </c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65</v>
      </c>
      <c r="C7" s="36">
        <f>H7*I7</f>
        <v>21975.382099999999</v>
      </c>
      <c r="D7" s="26">
        <v>0.24703</v>
      </c>
      <c r="E7" s="26">
        <f t="shared" ref="E7:E70" si="0">J7*I7</f>
        <v>5429.0993399999998</v>
      </c>
      <c r="F7" s="41"/>
      <c r="G7" s="42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 t="s">
        <v>169</v>
      </c>
      <c r="C8" s="36">
        <f t="shared" ref="C7:C70" si="1">H8*I8</f>
        <v>22899.817332000002</v>
      </c>
      <c r="D8" s="26">
        <v>0.24018</v>
      </c>
      <c r="E8" s="26">
        <f t="shared" si="0"/>
        <v>5500.2655260000001</v>
      </c>
      <c r="F8" s="41"/>
      <c r="G8" s="42"/>
      <c r="H8" s="20">
        <v>707.82</v>
      </c>
      <c r="I8" s="20">
        <v>32.352600000000002</v>
      </c>
      <c r="J8" s="20">
        <v>170.01</v>
      </c>
    </row>
    <row r="9" spans="1:10" x14ac:dyDescent="0.3">
      <c r="A9" s="17">
        <v>4</v>
      </c>
      <c r="B9" s="25"/>
      <c r="C9" s="36">
        <f t="shared" si="1"/>
        <v>0</v>
      </c>
      <c r="D9" s="26"/>
      <c r="E9" s="26">
        <f t="shared" si="0"/>
        <v>0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/>
      <c r="C10" s="36">
        <f t="shared" si="1"/>
        <v>0</v>
      </c>
      <c r="D10" s="26"/>
      <c r="E10" s="18">
        <f t="shared" si="0"/>
        <v>0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/>
      <c r="C11" s="36">
        <f t="shared" si="1"/>
        <v>0</v>
      </c>
      <c r="D11" s="26"/>
      <c r="E11" s="26">
        <f t="shared" si="0"/>
        <v>0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/>
      <c r="C12" s="36">
        <f t="shared" si="1"/>
        <v>0</v>
      </c>
      <c r="D12" s="26"/>
      <c r="E12" s="26">
        <f t="shared" si="0"/>
        <v>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/>
      <c r="C13" s="36">
        <f t="shared" si="1"/>
        <v>0</v>
      </c>
      <c r="D13" s="26"/>
      <c r="E13" s="26">
        <f t="shared" si="0"/>
        <v>0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/>
      <c r="C14" s="36">
        <f t="shared" si="1"/>
        <v>0</v>
      </c>
      <c r="D14" s="26"/>
      <c r="E14" s="26">
        <f t="shared" si="0"/>
        <v>0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/>
      <c r="C15" s="36">
        <f t="shared" si="1"/>
        <v>0</v>
      </c>
      <c r="D15" s="26"/>
      <c r="E15" s="26">
        <f t="shared" si="0"/>
        <v>0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/>
      <c r="C16" s="36">
        <f t="shared" si="1"/>
        <v>0</v>
      </c>
      <c r="D16" s="26"/>
      <c r="E16" s="26">
        <f t="shared" si="0"/>
        <v>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1"/>
        <v>0</v>
      </c>
      <c r="D17" s="26"/>
      <c r="E17" s="26">
        <f t="shared" si="0"/>
        <v>0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1"/>
        <v>0</v>
      </c>
      <c r="D18" s="26"/>
      <c r="E18" s="26">
        <f t="shared" si="0"/>
        <v>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1"/>
        <v>0</v>
      </c>
      <c r="D19" s="26"/>
      <c r="E19" s="26">
        <f t="shared" si="0"/>
        <v>0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1"/>
        <v>0</v>
      </c>
      <c r="D20" s="26"/>
      <c r="E20" s="26">
        <f t="shared" si="0"/>
        <v>0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1"/>
        <v>0</v>
      </c>
      <c r="D21" s="26"/>
      <c r="E21" s="26">
        <f t="shared" si="0"/>
        <v>0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1"/>
        <v>0</v>
      </c>
      <c r="D22" s="26"/>
      <c r="E22" s="26">
        <f t="shared" si="0"/>
        <v>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1"/>
        <v>0</v>
      </c>
      <c r="D23" s="26"/>
      <c r="E23" s="26">
        <f t="shared" si="0"/>
        <v>0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1"/>
        <v>0</v>
      </c>
      <c r="D24" s="26"/>
      <c r="E24" s="26">
        <f t="shared" si="0"/>
        <v>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1"/>
        <v>0</v>
      </c>
      <c r="D25" s="26"/>
      <c r="E25" s="26">
        <f t="shared" si="0"/>
        <v>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1"/>
        <v>0</v>
      </c>
      <c r="D26" s="26"/>
      <c r="E26" s="26">
        <f t="shared" si="0"/>
        <v>0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1"/>
        <v>0</v>
      </c>
      <c r="D27" s="26"/>
      <c r="E27" s="26">
        <f t="shared" si="0"/>
        <v>0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1"/>
        <v>0</v>
      </c>
      <c r="D28" s="26"/>
      <c r="E28" s="26">
        <f t="shared" si="0"/>
        <v>0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1"/>
        <v>0</v>
      </c>
      <c r="D29" s="26"/>
      <c r="E29" s="26">
        <f t="shared" si="0"/>
        <v>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1"/>
        <v>0</v>
      </c>
      <c r="D30" s="26"/>
      <c r="E30" s="26">
        <f t="shared" si="0"/>
        <v>0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1"/>
        <v>0</v>
      </c>
      <c r="D31" s="26"/>
      <c r="E31" s="26">
        <f t="shared" si="0"/>
        <v>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1"/>
        <v>0</v>
      </c>
      <c r="D32" s="26"/>
      <c r="E32" s="26">
        <f t="shared" si="0"/>
        <v>0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1"/>
        <v>0</v>
      </c>
      <c r="D33" s="26"/>
      <c r="E33" s="26">
        <f t="shared" si="0"/>
        <v>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1"/>
        <v>0</v>
      </c>
      <c r="D34" s="26"/>
      <c r="E34" s="26">
        <f t="shared" si="0"/>
        <v>0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1"/>
        <v>0</v>
      </c>
      <c r="D35" s="26"/>
      <c r="E35" s="26">
        <f t="shared" si="0"/>
        <v>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1"/>
        <v>0</v>
      </c>
      <c r="D36" s="26"/>
      <c r="E36" s="26">
        <f t="shared" si="0"/>
        <v>0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1"/>
        <v>0</v>
      </c>
      <c r="D37" s="26"/>
      <c r="E37" s="26">
        <f t="shared" si="0"/>
        <v>0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1"/>
        <v>0</v>
      </c>
      <c r="D38" s="26"/>
      <c r="E38" s="26">
        <f t="shared" si="0"/>
        <v>0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1"/>
        <v>0</v>
      </c>
      <c r="D39" s="26"/>
      <c r="E39" s="26">
        <f t="shared" si="0"/>
        <v>0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1"/>
        <v>0</v>
      </c>
      <c r="D40" s="26"/>
      <c r="E40" s="26">
        <f t="shared" si="0"/>
        <v>0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1"/>
        <v>0</v>
      </c>
      <c r="D41" s="26"/>
      <c r="E41" s="26">
        <f t="shared" si="0"/>
        <v>0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1"/>
        <v>0</v>
      </c>
      <c r="D42" s="26"/>
      <c r="E42" s="26">
        <f t="shared" si="0"/>
        <v>0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1"/>
        <v>0</v>
      </c>
      <c r="D43" s="26"/>
      <c r="E43" s="26">
        <f t="shared" si="0"/>
        <v>0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1"/>
        <v>0</v>
      </c>
      <c r="D44" s="26"/>
      <c r="E44" s="26">
        <f t="shared" si="0"/>
        <v>0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1"/>
        <v>0</v>
      </c>
      <c r="D45" s="26"/>
      <c r="E45" s="26">
        <f t="shared" si="0"/>
        <v>0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1"/>
        <v>0</v>
      </c>
      <c r="D46" s="26"/>
      <c r="E46" s="26">
        <f t="shared" si="0"/>
        <v>0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1"/>
        <v>0</v>
      </c>
      <c r="D47" s="26"/>
      <c r="E47" s="26">
        <f t="shared" si="0"/>
        <v>0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1"/>
        <v>0</v>
      </c>
      <c r="D48" s="26"/>
      <c r="E48" s="26">
        <f t="shared" si="0"/>
        <v>0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1"/>
        <v>0</v>
      </c>
      <c r="D49" s="26"/>
      <c r="E49" s="26">
        <f t="shared" si="0"/>
        <v>0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1"/>
        <v>0</v>
      </c>
      <c r="D50" s="26"/>
      <c r="E50" s="26">
        <f t="shared" si="0"/>
        <v>0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1"/>
        <v>0</v>
      </c>
      <c r="D51" s="26"/>
      <c r="E51" s="26">
        <f t="shared" si="0"/>
        <v>0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1"/>
        <v>0</v>
      </c>
      <c r="D52" s="26"/>
      <c r="E52" s="26">
        <f t="shared" si="0"/>
        <v>0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1"/>
        <v>0</v>
      </c>
      <c r="D53" s="26"/>
      <c r="E53" s="26">
        <f t="shared" si="0"/>
        <v>0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1"/>
        <v>0</v>
      </c>
      <c r="D54" s="26"/>
      <c r="E54" s="26">
        <f t="shared" si="0"/>
        <v>0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1"/>
        <v>0</v>
      </c>
      <c r="D55" s="26"/>
      <c r="E55" s="26">
        <f t="shared" si="0"/>
        <v>0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1"/>
        <v>0</v>
      </c>
      <c r="D56" s="26"/>
      <c r="E56" s="26">
        <f t="shared" si="0"/>
        <v>0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1"/>
        <v>0</v>
      </c>
      <c r="D57" s="26"/>
      <c r="E57" s="26">
        <f t="shared" si="0"/>
        <v>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1"/>
        <v>0</v>
      </c>
      <c r="D58" s="26"/>
      <c r="E58" s="26">
        <f t="shared" si="0"/>
        <v>0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1"/>
        <v>0</v>
      </c>
      <c r="D59" s="26"/>
      <c r="E59" s="26">
        <f t="shared" si="0"/>
        <v>0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1"/>
        <v>0</v>
      </c>
      <c r="D60" s="26"/>
      <c r="E60" s="26">
        <f t="shared" si="0"/>
        <v>0</v>
      </c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1"/>
        <v>0</v>
      </c>
      <c r="D61" s="26"/>
      <c r="E61" s="26">
        <f t="shared" si="0"/>
        <v>0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1"/>
        <v>0</v>
      </c>
      <c r="D62" s="26"/>
      <c r="E62" s="26">
        <f t="shared" si="0"/>
        <v>0</v>
      </c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1"/>
        <v>0</v>
      </c>
      <c r="D63" s="26"/>
      <c r="E63" s="26">
        <f t="shared" si="0"/>
        <v>0</v>
      </c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1"/>
        <v>0</v>
      </c>
      <c r="D64" s="26"/>
      <c r="E64" s="26">
        <f t="shared" si="0"/>
        <v>0</v>
      </c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1"/>
        <v>0</v>
      </c>
      <c r="D65" s="26"/>
      <c r="E65" s="26">
        <f t="shared" si="0"/>
        <v>0</v>
      </c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1"/>
        <v>0</v>
      </c>
      <c r="D66" s="26"/>
      <c r="E66" s="26">
        <f t="shared" si="0"/>
        <v>0</v>
      </c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1"/>
        <v>0</v>
      </c>
      <c r="D67" s="26"/>
      <c r="E67" s="26">
        <f t="shared" si="0"/>
        <v>0</v>
      </c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1"/>
        <v>0</v>
      </c>
      <c r="D68" s="26"/>
      <c r="E68" s="26">
        <f t="shared" si="0"/>
        <v>0</v>
      </c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1"/>
        <v>0</v>
      </c>
      <c r="D69" s="26"/>
      <c r="E69" s="26">
        <f t="shared" si="0"/>
        <v>0</v>
      </c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1"/>
        <v>0</v>
      </c>
      <c r="D70" s="26"/>
      <c r="E70" s="26">
        <f t="shared" si="0"/>
        <v>0</v>
      </c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159:G159"/>
    <mergeCell ref="F395:G395"/>
    <mergeCell ref="F268:G268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42:G42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238:G238"/>
    <mergeCell ref="F474:G474"/>
    <mergeCell ref="F17:G17"/>
    <mergeCell ref="F188:G188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139</v>
      </c>
      <c r="G1" s="42"/>
      <c r="H1" s="57"/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140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55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19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105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20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21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141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23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24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25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26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142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28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29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30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31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32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33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34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35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36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37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38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39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40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41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42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43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44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45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46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47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48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49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50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51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52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53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143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144</v>
      </c>
      <c r="G1" s="42"/>
      <c r="H1" s="57" t="s">
        <v>116</v>
      </c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117</v>
      </c>
      <c r="J2" s="27" t="s">
        <v>6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7">
        <f>H3*I3</f>
        <v>2394.9013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145</v>
      </c>
      <c r="I3" s="55">
        <f>投資!G2</f>
        <v>32.284999999999997</v>
      </c>
      <c r="J3" s="52">
        <f>SUM(J7:J505)</f>
        <v>-41.149999999999864</v>
      </c>
    </row>
    <row r="4" spans="1:10" ht="18.75" customHeight="1" x14ac:dyDescent="0.3">
      <c r="A4" s="46"/>
      <c r="B4" s="46"/>
      <c r="C4" s="128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118</v>
      </c>
      <c r="J5" s="47" t="s">
        <v>119</v>
      </c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16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146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120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147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147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106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21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148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23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149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24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25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150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26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124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151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29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152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30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153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31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154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32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155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33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156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34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157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37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158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38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159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39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160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40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161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162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43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44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163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45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164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46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165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47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166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48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167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168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51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130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131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2026-08-07T15:32:15Z</dcterms:modified>
  <dc:language>en-US</dc:language>
</cp:coreProperties>
</file>