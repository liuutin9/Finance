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534120</v>
                </pt>
                <pt idx="1">
                  <v>132042.4554</v>
                </pt>
                <pt idx="2">
                  <v>299856.77285</v>
                </pt>
                <pt idx="3">
                  <v>227846.989015758</v>
                </pt>
                <pt idx="4">
                  <v>120937.0071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143738.03835</v>
                </pt>
                <pt idx="1">
                  <v>156118.7345</v>
                </pt>
                <pt idx="2">
                  <v>227846.989015758</v>
                </pt>
                <pt idx="3">
                  <v>62258.9892</v>
                </pt>
                <pt idx="4">
                  <v>8958.2502</v>
                </pt>
                <pt idx="5">
                  <v>7808.3364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G4" sqref="G4:H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222392</v>
      </c>
      <c r="D2" s="55" t="n"/>
      <c r="E2" s="103" t="inlineStr">
        <is>
          <t>美元活存</t>
        </is>
      </c>
      <c r="F2" s="101" t="n"/>
      <c r="G2" s="87" t="n">
        <v>4.6</v>
      </c>
      <c r="H2" s="55" t="n"/>
      <c r="I2" s="88" t="inlineStr">
        <is>
          <t>006208</t>
        </is>
      </c>
      <c r="J2" s="64" t="n"/>
      <c r="K2" s="54">
        <f>'006208.TW'!D3*'006208.TW'!C3*0.997</f>
        <v/>
      </c>
      <c r="L2" s="55" t="n"/>
      <c r="M2" s="93" t="inlineStr">
        <is>
          <t>VT</t>
        </is>
      </c>
      <c r="N2" s="64" t="n"/>
      <c r="O2" s="62">
        <f>VT!H3*VT!D3*投資!G2</f>
        <v/>
      </c>
      <c r="P2" s="55" t="n"/>
      <c r="Q2" s="63" t="inlineStr">
        <is>
          <t>BTC</t>
        </is>
      </c>
      <c r="R2" s="64" t="n"/>
      <c r="S2" s="95">
        <f>(1978.36)*投資!G2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25651</v>
      </c>
      <c r="D3" s="45" t="n"/>
      <c r="E3" s="46" t="inlineStr">
        <is>
          <t>Chase</t>
        </is>
      </c>
      <c r="F3" s="47" t="n"/>
      <c r="G3" s="80" t="n">
        <v>4191.22</v>
      </c>
      <c r="H3" s="45" t="n"/>
      <c r="I3" s="99" t="inlineStr">
        <is>
          <t>2890</t>
        </is>
      </c>
      <c r="J3" s="78" t="n"/>
      <c r="K3" s="81">
        <f>'2890.TW'!D3*'2890.TW'!C3*0.997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284.66*投資!G2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n"/>
      <c r="F4" s="47" t="n"/>
      <c r="G4" s="80" t="n"/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248.12*投資!G2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USDT</t>
        </is>
      </c>
      <c r="R5" s="78" t="n"/>
      <c r="S5" s="49">
        <f>(1005.57+155.41+170.81)*投資!G2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n"/>
      <c r="R6" s="47" t="n"/>
      <c r="S6" s="49" t="n"/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n"/>
      <c r="R7" s="47" t="n"/>
      <c r="S7" s="49" t="n"/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6000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23010+9528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31.575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148061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7" sqref="D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178.65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9" zoomScaleNormal="100" workbookViewId="0">
      <selection activeCell="B50" sqref="B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31.10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L47" sqref="L4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146.29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19:G219"/>
    <mergeCell ref="F268:G268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159:G159"/>
    <mergeCell ref="F97:G97"/>
    <mergeCell ref="F268:G268"/>
    <mergeCell ref="F219:G219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2026-02-18T06:31:14Z</dcterms:modified>
  <cp:lastModifiedBy>劉祐廷</cp:lastModifiedBy>
  <cp:revision>39</cp:revision>
  <cp:lastPrinted>2024-02-22T01:18:13Z</cp:lastPrinted>
</cp:coreProperties>
</file>