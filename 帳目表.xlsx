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28920" yWindow="-990" windowWidth="29040" windowHeight="17520" tabRatio="679" firstSheet="0" activeTab="3" autoFilterDateGrouping="1"/>
  </bookViews>
  <sheets>
    <sheet xmlns:r="http://schemas.openxmlformats.org/officeDocument/2006/relationships" name="總資產" sheetId="1" state="visible" r:id="rId1"/>
    <sheet xmlns:r="http://schemas.openxmlformats.org/officeDocument/2006/relationships" name="投資" sheetId="2" state="visible" r:id="rId2"/>
    <sheet xmlns:r="http://schemas.openxmlformats.org/officeDocument/2006/relationships" name="006208" sheetId="3" state="visible" r:id="rId3"/>
    <sheet xmlns:r="http://schemas.openxmlformats.org/officeDocument/2006/relationships" name="2890" sheetId="4" state="visible" r:id="rId4"/>
    <sheet xmlns:r="http://schemas.openxmlformats.org/officeDocument/2006/relationships" name="VT" sheetId="5" state="visible" r:id="rId5"/>
    <sheet xmlns:r="http://schemas.openxmlformats.org/officeDocument/2006/relationships" name="VOO" sheetId="6" state="visible" r:id="rId6"/>
    <sheet xmlns:r="http://schemas.openxmlformats.org/officeDocument/2006/relationships" name="00692" sheetId="7" state="visible" r:id="rId7"/>
    <sheet xmlns:r="http://schemas.openxmlformats.org/officeDocument/2006/relationships" name="BND" sheetId="8" state="visible" r:id="rId8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  <font>
      <name val="細明體"/>
      <charset val="136"/>
      <family val="3"/>
      <sz val="9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7" fillId="0" borderId="0" pivotButton="0" quotePrefix="0" xfId="0"/>
    <xf numFmtId="0" fontId="10" fillId="0" borderId="0" pivotButton="0" quotePrefix="0" xfId="0"/>
    <xf numFmtId="0" fontId="10" fillId="0" borderId="0" applyProtection="1" pivotButton="0" quotePrefix="0" xfId="0">
      <protection locked="0" hidden="0"/>
    </xf>
    <xf numFmtId="0" fontId="12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40" fontId="10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1" fillId="29" borderId="5" applyAlignment="1" applyProtection="1" pivotButton="0" quotePrefix="0" xfId="0">
      <alignment horizontal="center" vertical="center"/>
      <protection locked="0" hidden="0"/>
    </xf>
    <xf numFmtId="40" fontId="10" fillId="9" borderId="6" applyAlignment="1" applyProtection="1" pivotButton="0" quotePrefix="0" xfId="0">
      <alignment horizontal="right" vertical="center"/>
      <protection locked="0" hidden="0"/>
    </xf>
    <xf numFmtId="0" fontId="8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9" fillId="10" borderId="5" applyAlignment="1" applyProtection="1" pivotButton="0" quotePrefix="0" xfId="0">
      <alignment horizontal="center" vertical="center"/>
      <protection locked="0" hidden="0"/>
    </xf>
    <xf numFmtId="0" fontId="9" fillId="8" borderId="5" applyAlignment="1" applyProtection="1" pivotButton="0" quotePrefix="0" xfId="0">
      <alignment horizontal="center" vertical="center"/>
      <protection locked="0" hidden="0"/>
    </xf>
    <xf numFmtId="40" fontId="10" fillId="28" borderId="6" applyAlignment="1" applyProtection="1" pivotButton="0" quotePrefix="0" xfId="0">
      <alignment horizontal="right" vertical="center"/>
      <protection locked="0" hidden="0"/>
    </xf>
    <xf numFmtId="0" fontId="11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0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0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1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8" fillId="3" borderId="1" applyAlignment="1" pivotButton="0" quotePrefix="0" xfId="0">
      <alignment horizontal="center" vertical="center"/>
    </xf>
    <xf numFmtId="40" fontId="10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1" fillId="14" borderId="5" applyAlignment="1" applyProtection="1" pivotButton="0" quotePrefix="0" xfId="0">
      <alignment horizontal="center" vertical="center"/>
      <protection locked="0" hidden="0"/>
    </xf>
    <xf numFmtId="40" fontId="10" fillId="15" borderId="4" applyAlignment="1" applyProtection="1" pivotButton="0" quotePrefix="0" xfId="0">
      <alignment horizontal="right" vertical="center"/>
      <protection locked="0" hidden="0"/>
    </xf>
    <xf numFmtId="0" fontId="11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9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0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0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1" fillId="12" borderId="5" applyAlignment="1" applyProtection="1" pivotButton="0" quotePrefix="0" xfId="0">
      <alignment horizontal="center" vertical="center"/>
      <protection locked="0" hidden="0"/>
    </xf>
    <xf numFmtId="0" fontId="11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8" fillId="6" borderId="2" applyAlignment="1" pivotButton="0" quotePrefix="0" xfId="0">
      <alignment horizontal="center" vertical="center"/>
    </xf>
    <xf numFmtId="40" fontId="10" fillId="11" borderId="6" applyAlignment="1" applyProtection="1" pivotButton="0" quotePrefix="0" xfId="0">
      <alignment horizontal="right" vertical="center"/>
      <protection locked="0" hidden="0"/>
    </xf>
    <xf numFmtId="10" fontId="10" fillId="16" borderId="2" applyAlignment="1" pivotButton="0" quotePrefix="0" xfId="0">
      <alignment horizontal="right" vertical="center"/>
    </xf>
    <xf numFmtId="0" fontId="8" fillId="27" borderId="1" applyAlignment="1" pivotButton="0" quotePrefix="0" xfId="0">
      <alignment horizontal="center" vertical="center"/>
    </xf>
    <xf numFmtId="40" fontId="10" fillId="13" borderId="6" applyAlignment="1" applyProtection="1" pivotButton="0" quotePrefix="0" xfId="0">
      <alignment horizontal="right" vertical="center"/>
      <protection locked="0" hidden="0"/>
    </xf>
    <xf numFmtId="40" fontId="10" fillId="11" borderId="8" applyAlignment="1" applyProtection="1" pivotButton="0" quotePrefix="0" xfId="0">
      <alignment horizontal="right" vertical="center"/>
      <protection locked="0" hidden="0"/>
    </xf>
    <xf numFmtId="49" fontId="11" fillId="12" borderId="7" applyAlignment="1" applyProtection="1" pivotButton="0" quotePrefix="0" xfId="0">
      <alignment horizontal="center" vertical="center"/>
      <protection locked="0" hidden="0"/>
    </xf>
    <xf numFmtId="40" fontId="10" fillId="11" borderId="4" applyAlignment="1" applyProtection="1" pivotButton="0" quotePrefix="0" xfId="0">
      <alignment horizontal="right" vertical="center"/>
      <protection locked="0" hidden="0"/>
    </xf>
    <xf numFmtId="49" fontId="11" fillId="12" borderId="3" applyAlignment="1" pivotButton="0" quotePrefix="0" xfId="0">
      <alignment horizontal="center" vertical="center"/>
    </xf>
    <xf numFmtId="40" fontId="10" fillId="13" borderId="8" applyAlignment="1" applyProtection="1" pivotButton="0" quotePrefix="0" xfId="0">
      <alignment horizontal="right" vertical="center"/>
      <protection locked="0" hidden="0"/>
    </xf>
    <xf numFmtId="0" fontId="11" fillId="14" borderId="7" applyAlignment="1" applyProtection="1" pivotButton="0" quotePrefix="0" xfId="0">
      <alignment horizontal="center" vertical="center"/>
      <protection locked="0" hidden="0"/>
    </xf>
    <xf numFmtId="0" fontId="11" fillId="14" borderId="5" applyAlignment="1" pivotButton="0" quotePrefix="0" xfId="0">
      <alignment horizontal="center" vertical="center"/>
    </xf>
    <xf numFmtId="40" fontId="10" fillId="15" borderId="8" applyAlignment="1" applyProtection="1" pivotButton="0" quotePrefix="0" xfId="0">
      <alignment horizontal="right" vertical="center"/>
      <protection locked="0" hidden="0"/>
    </xf>
    <xf numFmtId="0" fontId="11" fillId="14" borderId="3" applyAlignment="1" pivotButton="0" quotePrefix="0" xfId="0">
      <alignment horizontal="center" vertical="center"/>
    </xf>
    <xf numFmtId="0" fontId="8" fillId="2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center" vertical="center"/>
    </xf>
    <xf numFmtId="40" fontId="10" fillId="28" borderId="4" applyAlignment="1" applyProtection="1" pivotButton="0" quotePrefix="0" xfId="0">
      <alignment horizontal="right" vertical="center"/>
      <protection locked="0" hidden="0"/>
    </xf>
    <xf numFmtId="40" fontId="10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9" fillId="10" borderId="7" applyAlignment="1" applyProtection="1" pivotButton="0" quotePrefix="0" xfId="0">
      <alignment horizontal="center" vertical="center"/>
      <protection locked="0" hidden="0"/>
    </xf>
    <xf numFmtId="49" fontId="11" fillId="12" borderId="5" applyAlignment="1" pivotButton="0" quotePrefix="0" xfId="0">
      <alignment horizontal="center" vertical="center"/>
    </xf>
    <xf numFmtId="0" fontId="9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0" fillId="9" borderId="4" applyAlignment="1" applyProtection="1" pivotButton="0" quotePrefix="0" xfId="0">
      <alignment horizontal="right" vertical="center"/>
      <protection locked="0" hidden="0"/>
    </xf>
    <xf numFmtId="0" fontId="9" fillId="10" borderId="3" applyAlignment="1" applyProtection="1" pivotButton="0" quotePrefix="0" xfId="0">
      <alignment horizontal="center" vertical="center"/>
      <protection locked="0" hidden="0"/>
    </xf>
    <xf numFmtId="0" fontId="8" fillId="7" borderId="2" applyAlignment="1" pivotButton="0" quotePrefix="0" xfId="0">
      <alignment horizontal="center" vertical="center"/>
    </xf>
    <xf numFmtId="49" fontId="12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20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資產配置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525135</v>
                </pt>
                <pt idx="1">
                  <v>7053.044</v>
                </pt>
                <pt idx="2">
                  <v>437428.1668</v>
                </pt>
                <pt idx="3">
                  <v>278887.4851890364</v>
                </pt>
                <pt idx="4">
                  <v>233563.13346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lang="zh-TW" altLang="en-US"/>
              <a:t>投資配置</a:t>
            </a:r>
            <a:endParaRPr lang="en-US"/>
          </a:p>
        </rich>
      </tx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chemeClr val="accent1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chemeClr val="accent2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chemeClr val="accent3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chemeClr val="accent4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chemeClr val="accent5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chemeClr val="accent6"/>
              </a:solidFill>
              <a:ln xmlns:a="http://schemas.openxmlformats.org/drawingml/2006/main"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 xmlns:a="http://schemas.openxmlformats.org/drawingml/2006/main">
                <a:schemeClr val="bg1"/>
              </a:solidFill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 rot="0" spcFirstLastPara="1" vertOverflow="ellipsis" horzOverflow="clip" vert="horz" wrap="square" lIns="36000" tIns="19050" rIns="38100" bIns="19050" anchor="ctr" anchorCtr="1">
                <a:spAutoFit/>
              </a:bodyPr>
              <a:lstStyle xmlns:a="http://schemas.openxmlformats.org/drawingml/2006/main"/>
              <a:p xmlns:a="http://schemas.openxmlformats.org/drawingml/2006/main"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221883.1476</v>
                </pt>
                <pt idx="1">
                  <v>215545.0192</v>
                </pt>
                <pt idx="2">
                  <v>267989.2860531852</v>
                </pt>
                <pt idx="3">
                  <v>68856.36996000001</v>
                </pt>
                <pt idx="4">
                  <v>7427.203240000001</v>
                </pt>
                <pt idx="5">
                  <v>9798.98696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 xmlns:a="http://schemas.openxmlformats.org/drawingml/2006/main"/>
        <a:ln xmlns:a="http://schemas.openxmlformats.org/drawingml/2006/main">
          <a:noFill/>
          <a:prstDash val="solid"/>
        </a:ln>
      </spPr>
      <txPr>
        <a:bodyPr xmlns:a="http://schemas.openxmlformats.org/drawingml/2006/main" rot="0" spcFirstLastPara="1" vertOverflow="ellipsis" vert="horz" wrap="square" anchor="ctr" anchorCtr="1"/>
        <a:lstStyle xmlns:a="http://schemas.openxmlformats.org/drawingml/2006/main"/>
        <a:p xmlns:a="http://schemas.openxmlformats.org/drawingml/2006/main"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 xmlns:a="http://schemas.openxmlformats.org/drawingml/2006/main">
      <a:schemeClr val="bg1"/>
    </a:solidFill>
    <a:ln xmlns:a="http://schemas.openxmlformats.org/drawingml/2006/main"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C7" sqref="C7:D7"/>
    </sheetView>
  </sheetViews>
  <sheetFormatPr baseColWidth="8" defaultColWidth="8.5" defaultRowHeight="16.5"/>
  <cols>
    <col width="8.5" customWidth="1" min="2" max="2"/>
  </cols>
  <sheetData>
    <row r="1" ht="31.5" customFormat="1" customHeight="1" s="37" thickBot="1">
      <c r="A1" s="113" t="inlineStr">
        <is>
          <t>新台幣</t>
        </is>
      </c>
      <c r="B1" s="67" t="n"/>
      <c r="C1" s="67" t="n"/>
      <c r="D1" s="68" t="n"/>
      <c r="E1" s="80" t="inlineStr">
        <is>
          <t>美元</t>
        </is>
      </c>
      <c r="F1" s="67" t="n"/>
      <c r="G1" s="67" t="n"/>
      <c r="H1" s="68" t="n"/>
      <c r="I1" s="66" t="inlineStr">
        <is>
          <t>台股</t>
        </is>
      </c>
      <c r="J1" s="67" t="n"/>
      <c r="K1" s="67" t="n"/>
      <c r="L1" s="68" t="n"/>
      <c r="M1" s="114" t="inlineStr">
        <is>
          <t>美股</t>
        </is>
      </c>
      <c r="N1" s="67" t="n"/>
      <c r="O1" s="67" t="n"/>
      <c r="P1" s="68" t="n"/>
      <c r="Q1" s="102" t="inlineStr">
        <is>
          <t>加密貨幣</t>
        </is>
      </c>
      <c r="R1" s="67" t="n"/>
      <c r="S1" s="67" t="n"/>
      <c r="T1" s="68" t="n"/>
    </row>
    <row r="2" ht="17.25" customHeight="1">
      <c r="A2" s="120" t="inlineStr">
        <is>
          <t>永豐大戶活存</t>
        </is>
      </c>
      <c r="B2" s="121" t="n"/>
      <c r="C2" s="122" t="n">
        <v>201256</v>
      </c>
      <c r="D2" s="77" t="n"/>
      <c r="E2" s="123" t="inlineStr">
        <is>
          <t>美元活存</t>
        </is>
      </c>
      <c r="F2" s="121" t="n"/>
      <c r="G2" s="106" t="n">
        <v>220</v>
      </c>
      <c r="H2" s="77" t="n"/>
      <c r="I2" s="107" t="inlineStr">
        <is>
          <t>006208</t>
        </is>
      </c>
      <c r="J2" s="86" t="n"/>
      <c r="K2" s="76">
        <f>'006208'!D3*'006208'!C3*0.997</f>
        <v/>
      </c>
      <c r="L2" s="77" t="n"/>
      <c r="M2" s="112" t="inlineStr">
        <is>
          <t>VT</t>
        </is>
      </c>
      <c r="N2" s="86" t="n"/>
      <c r="O2" s="84">
        <f>VT!H3*VT!D3</f>
        <v/>
      </c>
      <c r="P2" s="77" t="n"/>
      <c r="Q2" s="85" t="inlineStr">
        <is>
          <t>BTC</t>
        </is>
      </c>
      <c r="R2" s="86" t="n"/>
      <c r="S2" s="115">
        <f>(682.1+1166.72+328.25)*投資!G2</f>
        <v/>
      </c>
      <c r="T2" s="77" t="n"/>
    </row>
    <row r="3" ht="17.25" customHeight="1">
      <c r="A3" s="70" t="inlineStr">
        <is>
          <t>玉山銀行活存</t>
        </is>
      </c>
      <c r="B3" s="42" t="n"/>
      <c r="C3" s="65" t="n">
        <v>11601</v>
      </c>
      <c r="D3" s="63" t="n"/>
      <c r="E3" s="69" t="inlineStr">
        <is>
          <t>Chase</t>
        </is>
      </c>
      <c r="F3" s="42" t="n"/>
      <c r="G3" s="100" t="n">
        <v>0</v>
      </c>
      <c r="H3" s="63" t="n"/>
      <c r="I3" s="119" t="inlineStr">
        <is>
          <t>2890</t>
        </is>
      </c>
      <c r="J3" s="98" t="n"/>
      <c r="K3" s="103">
        <f>'2890'!D3*'2890'!C3*0.997</f>
        <v/>
      </c>
      <c r="L3" s="63" t="n"/>
      <c r="M3" s="110" t="inlineStr">
        <is>
          <t>VOO</t>
        </is>
      </c>
      <c r="N3" s="98" t="n"/>
      <c r="O3" s="62">
        <f>VOO!C3*VOO!D3</f>
        <v/>
      </c>
      <c r="P3" s="63" t="n"/>
      <c r="Q3" s="97" t="inlineStr">
        <is>
          <t>ETH</t>
        </is>
      </c>
      <c r="R3" s="98" t="n"/>
      <c r="S3" s="71">
        <f>234.83*投資!G2</f>
        <v/>
      </c>
      <c r="T3" s="63" t="n"/>
    </row>
    <row r="4" ht="15.75" customHeight="1">
      <c r="A4" s="70" t="inlineStr">
        <is>
          <t>一銀iLeo活存</t>
        </is>
      </c>
      <c r="B4" s="42" t="n"/>
      <c r="C4" s="65" t="n">
        <v>150039</v>
      </c>
      <c r="D4" s="63" t="n"/>
      <c r="E4" s="69" t="inlineStr">
        <is>
          <t>Ether.fi</t>
        </is>
      </c>
      <c r="F4" s="42" t="n"/>
      <c r="G4" s="100" t="n">
        <v>3</v>
      </c>
      <c r="H4" s="63" t="n"/>
      <c r="I4" s="119" t="n"/>
      <c r="J4" s="98" t="n"/>
      <c r="K4" s="103" t="n"/>
      <c r="L4" s="63" t="n"/>
      <c r="M4" s="110" t="n"/>
      <c r="N4" s="98" t="n"/>
      <c r="O4" s="62" t="n"/>
      <c r="P4" s="63" t="n"/>
      <c r="Q4" s="97" t="inlineStr">
        <is>
          <t>SOL</t>
        </is>
      </c>
      <c r="R4" s="98" t="n"/>
      <c r="S4" s="71">
        <f>309.82*投資!G2</f>
        <v/>
      </c>
      <c r="T4" s="63" t="n"/>
    </row>
    <row r="5" ht="16.5" customHeight="1">
      <c r="A5" s="70" t="inlineStr">
        <is>
          <t>中華郵政活存</t>
        </is>
      </c>
      <c r="B5" s="42" t="n"/>
      <c r="C5" s="65" t="n">
        <v>550</v>
      </c>
      <c r="D5" s="63" t="n"/>
      <c r="E5" s="69" t="n"/>
      <c r="F5" s="42" t="n"/>
      <c r="G5" s="100" t="n"/>
      <c r="H5" s="63" t="n"/>
      <c r="I5" s="96" t="n"/>
      <c r="J5" s="42" t="n"/>
      <c r="K5" s="103" t="n"/>
      <c r="L5" s="63" t="n"/>
      <c r="M5" s="110" t="n"/>
      <c r="N5" s="98" t="n"/>
      <c r="O5" s="62" t="n"/>
      <c r="P5" s="63" t="n"/>
      <c r="Q5" s="97" t="inlineStr">
        <is>
          <t>SUI</t>
        </is>
      </c>
      <c r="R5" s="98" t="n"/>
      <c r="S5" s="71">
        <f>15.45*投資!G2</f>
        <v/>
      </c>
      <c r="T5" s="63" t="n"/>
    </row>
    <row r="6" ht="17.25" customHeight="1">
      <c r="A6" s="70" t="inlineStr">
        <is>
          <t>中國信託活存</t>
        </is>
      </c>
      <c r="B6" s="42" t="n"/>
      <c r="C6" s="65" t="n">
        <v>700</v>
      </c>
      <c r="D6" s="63" t="n"/>
      <c r="E6" s="69" t="n"/>
      <c r="F6" s="42" t="n"/>
      <c r="G6" s="100" t="n"/>
      <c r="H6" s="63" t="n"/>
      <c r="I6" s="96" t="n"/>
      <c r="J6" s="42" t="n"/>
      <c r="K6" s="103" t="n"/>
      <c r="L6" s="63" t="n"/>
      <c r="M6" s="83" t="n"/>
      <c r="N6" s="42" t="n"/>
      <c r="O6" s="62" t="n"/>
      <c r="P6" s="63" t="n"/>
      <c r="Q6" s="64" t="inlineStr">
        <is>
          <t>USDT</t>
        </is>
      </c>
      <c r="R6" s="42" t="n"/>
      <c r="S6" s="71">
        <f>(502.19+483.32+301.6+2206.02+151.975)*投資!G2</f>
        <v/>
      </c>
      <c r="T6" s="63" t="n"/>
    </row>
    <row r="7" ht="17.25" customHeight="1">
      <c r="A7" s="70" t="inlineStr">
        <is>
          <t>華南Sny活存</t>
        </is>
      </c>
      <c r="B7" s="42" t="n"/>
      <c r="C7" s="65" t="n">
        <v>100189</v>
      </c>
      <c r="D7" s="63" t="n"/>
      <c r="E7" s="69" t="n"/>
      <c r="F7" s="42" t="n"/>
      <c r="G7" s="100" t="n"/>
      <c r="H7" s="63" t="n"/>
      <c r="I7" s="96" t="n"/>
      <c r="J7" s="42" t="n"/>
      <c r="K7" s="103" t="n"/>
      <c r="L7" s="63" t="n"/>
      <c r="M7" s="83" t="n"/>
      <c r="N7" s="42" t="n"/>
      <c r="O7" s="62" t="n"/>
      <c r="P7" s="63" t="n"/>
      <c r="Q7" s="64" t="inlineStr">
        <is>
          <t>USDC</t>
        </is>
      </c>
      <c r="R7" s="42" t="n"/>
      <c r="S7" s="71">
        <f>(501.74+500.68)*投資!G2</f>
        <v/>
      </c>
      <c r="T7" s="63" t="n"/>
    </row>
    <row r="8" ht="17.25" customHeight="1">
      <c r="A8" s="70" t="inlineStr">
        <is>
          <t>定存</t>
        </is>
      </c>
      <c r="B8" s="42" t="n"/>
      <c r="C8" s="65" t="n">
        <v>60000</v>
      </c>
      <c r="D8" s="63" t="n"/>
      <c r="E8" s="69" t="n"/>
      <c r="F8" s="42" t="n"/>
      <c r="G8" s="100" t="n"/>
      <c r="H8" s="63" t="n"/>
      <c r="I8" s="96" t="n"/>
      <c r="J8" s="42" t="n"/>
      <c r="K8" s="103" t="n"/>
      <c r="L8" s="63" t="n"/>
      <c r="M8" s="83" t="n"/>
      <c r="N8" s="42" t="n"/>
      <c r="O8" s="62" t="n"/>
      <c r="P8" s="63" t="n"/>
      <c r="Q8" s="64" t="n"/>
      <c r="R8" s="42" t="n"/>
      <c r="S8" s="71" t="n"/>
      <c r="T8" s="63" t="n"/>
    </row>
    <row r="9" ht="17.25" customHeight="1" thickBot="1">
      <c r="A9" s="87" t="inlineStr">
        <is>
          <t>錢包</t>
        </is>
      </c>
      <c r="B9" s="88" t="n"/>
      <c r="C9" s="116" t="n">
        <v>800</v>
      </c>
      <c r="D9" s="117" t="n"/>
      <c r="E9" s="118" t="n"/>
      <c r="F9" s="79" t="n"/>
      <c r="G9" s="104" t="n"/>
      <c r="H9" s="82" t="n"/>
      <c r="I9" s="105" t="n"/>
      <c r="J9" s="79" t="n"/>
      <c r="K9" s="108" t="n"/>
      <c r="L9" s="82" t="n"/>
      <c r="M9" s="109" t="n"/>
      <c r="N9" s="79" t="n"/>
      <c r="O9" s="111" t="n"/>
      <c r="P9" s="82" t="n"/>
      <c r="Q9" s="78" t="n"/>
      <c r="R9" s="79" t="n"/>
      <c r="S9" s="81" t="n"/>
      <c r="T9" s="82" t="n"/>
    </row>
    <row r="10" ht="17.25" customHeight="1" thickBot="1">
      <c r="A10" s="72" t="inlineStr">
        <is>
          <t>總計</t>
        </is>
      </c>
      <c r="B10" s="73" t="n"/>
      <c r="C10" s="74">
        <f>SUM(C2:D9)</f>
        <v/>
      </c>
      <c r="D10" s="75" t="n"/>
      <c r="E10" s="72" t="inlineStr">
        <is>
          <t>總計</t>
        </is>
      </c>
      <c r="F10" s="73" t="n"/>
      <c r="G10" s="74">
        <f>SUM(G2:H9)*投資!G2</f>
        <v/>
      </c>
      <c r="H10" s="75" t="n"/>
      <c r="I10" s="72" t="inlineStr">
        <is>
          <t>總計</t>
        </is>
      </c>
      <c r="J10" s="73" t="n"/>
      <c r="K10" s="74">
        <f>SUM(K2:L9)</f>
        <v/>
      </c>
      <c r="L10" s="75" t="n"/>
      <c r="M10" s="72" t="inlineStr">
        <is>
          <t>總計</t>
        </is>
      </c>
      <c r="N10" s="73" t="n"/>
      <c r="O10" s="74">
        <f>SUM(O2:P9)</f>
        <v/>
      </c>
      <c r="P10" s="75" t="n"/>
      <c r="Q10" s="72" t="inlineStr">
        <is>
          <t>總計</t>
        </is>
      </c>
      <c r="R10" s="73" t="n"/>
      <c r="S10" s="74">
        <f>SUM(S2:T9)</f>
        <v/>
      </c>
      <c r="T10" s="75" t="n"/>
    </row>
    <row r="11" ht="31.5" customHeight="1" thickBot="1">
      <c r="A11" s="99" t="inlineStr">
        <is>
          <t>總資產</t>
        </is>
      </c>
      <c r="B11" s="75" t="n"/>
      <c r="C11" s="124" t="inlineStr">
        <is>
          <t>負債</t>
        </is>
      </c>
      <c r="D11" s="75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89">
        <f>C10+G10+K10+O10+S10</f>
        <v/>
      </c>
      <c r="B12" s="68" t="n"/>
      <c r="C12" s="92">
        <f>12012</f>
        <v/>
      </c>
      <c r="D12" s="93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0" t="n"/>
      <c r="B13" s="91" t="n"/>
      <c r="C13" s="94" t="n"/>
      <c r="D13" s="95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99" t="inlineStr">
        <is>
          <t>淨資產</t>
        </is>
      </c>
      <c r="B14" s="68" t="n"/>
      <c r="C14" s="124" t="inlineStr">
        <is>
          <t>負債率</t>
        </is>
      </c>
      <c r="D14" s="68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0" t="n"/>
      <c r="B15" s="91" t="n"/>
      <c r="C15" s="90" t="n"/>
      <c r="D15" s="91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89">
        <f>A12-C12</f>
        <v/>
      </c>
      <c r="B16" s="68" t="n"/>
      <c r="C16" s="101">
        <f>C12/A12</f>
        <v/>
      </c>
      <c r="D16" s="68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0" t="n"/>
      <c r="B17" s="91" t="n"/>
      <c r="C17" s="90" t="n"/>
      <c r="D17" s="91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875" defaultRowHeight="17.25"/>
  <cols>
    <col width="15.125" customWidth="1" style="2" min="1" max="2"/>
    <col width="15" customWidth="1" style="21" min="3" max="3"/>
    <col width="12.875" customWidth="1" style="2" min="4" max="4"/>
    <col width="15.125" customWidth="1" style="2" min="5" max="6"/>
    <col width="15" customWidth="1" style="2" min="7" max="7"/>
    <col width="8.875" customWidth="1" style="12" min="8" max="8"/>
    <col width="15.125" customWidth="1" style="12" min="9" max="10"/>
    <col width="15" customWidth="1" style="13" min="11" max="11"/>
    <col width="8.875" customWidth="1" style="13" min="12" max="1024"/>
  </cols>
  <sheetData>
    <row r="1" ht="24.6" customHeight="1">
      <c r="A1" s="125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31.464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5" t="inlineStr">
        <is>
          <t>美股</t>
        </is>
      </c>
      <c r="B8" s="44" t="n"/>
      <c r="C8" s="42" t="n"/>
      <c r="D8" s="5" t="n"/>
      <c r="E8" s="125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5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F64" sqref="F64:G6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250.3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>
        <v>0</v>
      </c>
      <c r="D16" s="41" t="n">
        <v>0</v>
      </c>
      <c r="E16" s="41" t="n">
        <v>0</v>
      </c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>
        <v>0</v>
      </c>
      <c r="D27" s="41" t="n">
        <v>0</v>
      </c>
      <c r="E27" s="41" t="n">
        <v>0</v>
      </c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>
        <v>0</v>
      </c>
      <c r="D33" s="41" t="n">
        <v>0</v>
      </c>
      <c r="E33" s="41" t="n">
        <v>0</v>
      </c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>
        <v>0</v>
      </c>
      <c r="D44" s="41" t="n">
        <v>0</v>
      </c>
      <c r="E44" s="41" t="n">
        <v>0</v>
      </c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>
        <v>0</v>
      </c>
      <c r="D50" s="41" t="n">
        <v>0</v>
      </c>
      <c r="E50" s="41" t="n">
        <v>0</v>
      </c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2026.05.06</t>
        </is>
      </c>
      <c r="C56" s="137" t="n">
        <v>221.62</v>
      </c>
      <c r="D56" s="41" t="n">
        <v>13</v>
      </c>
      <c r="E56" s="41" t="n">
        <v>2882</v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2026.06.08</t>
        </is>
      </c>
      <c r="C57" s="137" t="n">
        <v>233</v>
      </c>
      <c r="D57" s="41" t="n">
        <v>13</v>
      </c>
      <c r="E57" s="41" t="n">
        <v>3030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37" t="n">
        <v>252.17</v>
      </c>
      <c r="D58" s="41" t="n">
        <v>12</v>
      </c>
      <c r="E58" s="41" t="n">
        <v>3027</v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inlineStr">
        <is>
          <t>2026.08.06</t>
        </is>
      </c>
      <c r="C59" s="137" t="n">
        <v>236.15</v>
      </c>
      <c r="D59" s="41" t="n">
        <v>13</v>
      </c>
      <c r="E59" s="41" t="n">
        <v>3071</v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inlineStr">
        <is>
          <t>2026.08.10</t>
        </is>
      </c>
      <c r="C60" s="137" t="n">
        <v>0</v>
      </c>
      <c r="D60" s="41" t="n">
        <v>0</v>
      </c>
      <c r="E60" s="41" t="n">
        <v>0</v>
      </c>
      <c r="F60" s="41" t="n">
        <v>4175</v>
      </c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inlineStr">
        <is>
          <t>2026.08.13</t>
        </is>
      </c>
      <c r="C61" s="137" t="n">
        <v>244.56</v>
      </c>
      <c r="D61" s="41" t="n">
        <v>16</v>
      </c>
      <c r="E61" s="41" t="n">
        <v>3914</v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zoomScaleNormal="100" workbookViewId="0">
      <selection activeCell="E58" sqref="E5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7" t="n">
        <v>43.2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2026.05.06</t>
        </is>
      </c>
      <c r="C52" s="138" t="n">
        <v>30.97</v>
      </c>
      <c r="D52" s="41" t="n">
        <v>29</v>
      </c>
      <c r="E52" s="41" t="n">
        <v>899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2026.06.08</t>
        </is>
      </c>
      <c r="C53" s="138" t="n">
        <v>31.64</v>
      </c>
      <c r="D53" s="41" t="n">
        <v>28</v>
      </c>
      <c r="E53" s="41" t="n">
        <v>887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2026.07.06</t>
        </is>
      </c>
      <c r="C54" s="138" t="n">
        <v>40.82</v>
      </c>
      <c r="D54" s="41" t="n">
        <v>22</v>
      </c>
      <c r="E54" s="41" t="n">
        <v>899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2026.08.06</t>
        </is>
      </c>
      <c r="C55" s="138" t="n">
        <v>39.27</v>
      </c>
      <c r="D55" s="41" t="n">
        <v>22</v>
      </c>
      <c r="E55" s="41" t="n">
        <v>865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2026.08.24</t>
        </is>
      </c>
      <c r="C56" s="138" t="n">
        <v>0</v>
      </c>
      <c r="D56" s="41" t="n">
        <v>103</v>
      </c>
      <c r="E56" s="41" t="n">
        <v>0</v>
      </c>
      <c r="F56" s="41" t="n">
        <v>5687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2026.08.31</t>
        </is>
      </c>
      <c r="C57" s="138" t="n">
        <v>40.62</v>
      </c>
      <c r="D57" s="41" t="n">
        <v>137</v>
      </c>
      <c r="E57" s="41" t="n">
        <v>5566</v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M23" sqref="M23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5030.77896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inlineStr">
        <is>
          <t>2026.05.06</t>
        </is>
      </c>
      <c r="C55" s="141">
        <f>H55*I55</f>
        <v/>
      </c>
      <c r="D55" s="41" t="n">
        <v>0.84398</v>
      </c>
      <c r="E55" s="41" t="n">
        <v>4119</v>
      </c>
      <c r="F55" s="41" t="n"/>
      <c r="G55" s="42" t="n"/>
      <c r="H55" s="20" t="n">
        <v>154.03</v>
      </c>
      <c r="I55" s="20" t="n">
        <v>31.65</v>
      </c>
      <c r="J55" s="20" t="n">
        <v>130.01</v>
      </c>
    </row>
    <row r="56" ht="16.5" customFormat="1" customHeight="1" s="12">
      <c r="A56" s="17" t="n">
        <v>51</v>
      </c>
      <c r="B56" s="25" t="inlineStr">
        <is>
          <t>2026.06.08</t>
        </is>
      </c>
      <c r="C56" s="141">
        <f>H56*I56</f>
        <v/>
      </c>
      <c r="D56" s="41" t="n">
        <v>0.83784</v>
      </c>
      <c r="E56" s="41" t="n">
        <v>4098</v>
      </c>
      <c r="F56" s="41" t="n"/>
      <c r="G56" s="42" t="n"/>
      <c r="H56" s="20" t="n">
        <v>155.16</v>
      </c>
      <c r="I56" s="20" t="n">
        <v>31.52</v>
      </c>
      <c r="J56" s="20" t="n">
        <v>130.01</v>
      </c>
    </row>
    <row r="57" ht="16.5" customFormat="1" customHeight="1" s="12">
      <c r="A57" s="17" t="n">
        <v>52</v>
      </c>
      <c r="B57" s="25" t="inlineStr">
        <is>
          <t>2026.06.26</t>
        </is>
      </c>
      <c r="C57" s="141">
        <f>H57*I57</f>
        <v/>
      </c>
      <c r="D57" s="41" t="n"/>
      <c r="E57" s="41" t="n"/>
      <c r="F57" s="41">
        <f>20.68 * 投資!G2</f>
        <v/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2026.07.06</t>
        </is>
      </c>
      <c r="C58" s="141">
        <f>H58*I58</f>
        <v/>
      </c>
      <c r="D58" s="41" t="n">
        <v>0.1272</v>
      </c>
      <c r="E58" s="41" t="n">
        <v>660</v>
      </c>
      <c r="F58" s="41" t="n"/>
      <c r="G58" s="42" t="n"/>
      <c r="H58" s="20" t="n">
        <v>157.23</v>
      </c>
      <c r="I58" s="20" t="n">
        <v>31.93</v>
      </c>
      <c r="J58" s="20" t="n">
        <v>20.01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8" sqref="I8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VOO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22052.17368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2026.07.06</t>
        </is>
      </c>
      <c r="C7" s="141">
        <f>H7*I7</f>
        <v/>
      </c>
      <c r="D7" s="41" t="n">
        <v>0.24703</v>
      </c>
      <c r="E7" s="41">
        <f>J7*I7</f>
        <v/>
      </c>
      <c r="F7" s="41" t="n"/>
      <c r="G7" s="42" t="n"/>
      <c r="H7" s="20" t="n">
        <v>688.15</v>
      </c>
      <c r="I7" s="20" t="n">
        <v>31.934</v>
      </c>
      <c r="J7" s="20" t="n">
        <v>170.01</v>
      </c>
    </row>
    <row r="8">
      <c r="A8" s="17" t="n">
        <v>3</v>
      </c>
      <c r="B8" s="25" t="inlineStr">
        <is>
          <t>2026.08.06</t>
        </is>
      </c>
      <c r="C8" s="141">
        <f>H8*I8</f>
        <v/>
      </c>
      <c r="D8" s="41" t="n">
        <v>0.24018</v>
      </c>
      <c r="E8" s="41">
        <f>J8*I8</f>
        <v/>
      </c>
      <c r="F8" s="41" t="n"/>
      <c r="G8" s="42" t="n"/>
      <c r="H8" s="20" t="n">
        <v>707.8200000000001</v>
      </c>
      <c r="I8" s="20" t="n">
        <v>32.3526</v>
      </c>
      <c r="J8" s="20" t="n">
        <v>170.01</v>
      </c>
    </row>
    <row r="9">
      <c r="A9" s="17" t="n">
        <v>4</v>
      </c>
      <c r="B9" s="25" t="n"/>
      <c r="C9" s="141">
        <f>H9*I9</f>
        <v/>
      </c>
      <c r="D9" s="41" t="n"/>
      <c r="E9" s="41">
        <f>J9*I9</f>
        <v/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n"/>
      <c r="C10" s="141">
        <f>H10*I10</f>
        <v/>
      </c>
      <c r="D10" s="41" t="n"/>
      <c r="E10" s="18">
        <f>J10*I10</f>
        <v/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n"/>
      <c r="C11" s="141">
        <f>H11*I11</f>
        <v/>
      </c>
      <c r="D11" s="41" t="n"/>
      <c r="E11" s="41">
        <f>J11*I11</f>
        <v/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n"/>
      <c r="C12" s="141">
        <f>H12*I12</f>
        <v/>
      </c>
      <c r="D12" s="41" t="n"/>
      <c r="E12" s="41">
        <f>J12*I12</f>
        <v/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n"/>
      <c r="C13" s="141">
        <f>H13*I13</f>
        <v/>
      </c>
      <c r="D13" s="41" t="n"/>
      <c r="E13" s="41">
        <f>J13*I13</f>
        <v/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n"/>
      <c r="C14" s="141">
        <f>H14*I14</f>
        <v/>
      </c>
      <c r="D14" s="41" t="n"/>
      <c r="E14" s="41">
        <f>J14*I14</f>
        <v/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n"/>
      <c r="C15" s="141">
        <f>H15*I15</f>
        <v/>
      </c>
      <c r="D15" s="41" t="n"/>
      <c r="E15" s="41">
        <f>J15*I15</f>
        <v/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n"/>
      <c r="C16" s="141">
        <f>H16*I16</f>
        <v/>
      </c>
      <c r="D16" s="41" t="n"/>
      <c r="E16" s="41">
        <f>J16*I16</f>
        <v/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n"/>
      <c r="C17" s="141">
        <f>H17*I17</f>
        <v/>
      </c>
      <c r="D17" s="41" t="n"/>
      <c r="E17" s="41">
        <f>J17*I17</f>
        <v/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n"/>
      <c r="C18" s="141">
        <f>H18*I18</f>
        <v/>
      </c>
      <c r="D18" s="41" t="n"/>
      <c r="E18" s="41">
        <f>J18*I18</f>
        <v/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n"/>
      <c r="C19" s="141">
        <f>H19*I19</f>
        <v/>
      </c>
      <c r="D19" s="41" t="n"/>
      <c r="E19" s="41">
        <f>J19*I19</f>
        <v/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n"/>
      <c r="C20" s="141">
        <f>H20*I20</f>
        <v/>
      </c>
      <c r="D20" s="41" t="n"/>
      <c r="E20" s="41">
        <f>J20*I20</f>
        <v/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n"/>
      <c r="C21" s="141">
        <f>H21*I21</f>
        <v/>
      </c>
      <c r="D21" s="41" t="n"/>
      <c r="E21" s="41">
        <f>J21*I21</f>
        <v/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n"/>
      <c r="C22" s="141">
        <f>H22*I22</f>
        <v/>
      </c>
      <c r="D22" s="41" t="n"/>
      <c r="E22" s="41">
        <f>J22*I22</f>
        <v/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n"/>
      <c r="C23" s="141">
        <f>H23*I23</f>
        <v/>
      </c>
      <c r="D23" s="41" t="n"/>
      <c r="E23" s="41">
        <f>J23*I23</f>
        <v/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n"/>
      <c r="C24" s="141">
        <f>H24*I24</f>
        <v/>
      </c>
      <c r="D24" s="41" t="n"/>
      <c r="E24" s="41">
        <f>J24*I24</f>
        <v/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n"/>
      <c r="C25" s="141">
        <f>H25*I25</f>
        <v/>
      </c>
      <c r="D25" s="41" t="n"/>
      <c r="E25" s="41">
        <f>J25*I25</f>
        <v/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n"/>
      <c r="C26" s="141">
        <f>H26*I26</f>
        <v/>
      </c>
      <c r="D26" s="41" t="n"/>
      <c r="E26" s="41">
        <f>J26*I26</f>
        <v/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n"/>
      <c r="C27" s="141">
        <f>H27*I27</f>
        <v/>
      </c>
      <c r="D27" s="41" t="n"/>
      <c r="E27" s="41">
        <f>J27*I27</f>
        <v/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n"/>
      <c r="C28" s="141">
        <f>H28*I28</f>
        <v/>
      </c>
      <c r="D28" s="41" t="n"/>
      <c r="E28" s="41">
        <f>J28*I28</f>
        <v/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n"/>
      <c r="C29" s="141">
        <f>H29*I29</f>
        <v/>
      </c>
      <c r="D29" s="41" t="n"/>
      <c r="E29" s="41">
        <f>J29*I29</f>
        <v/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n"/>
      <c r="C30" s="141">
        <f>H30*I30</f>
        <v/>
      </c>
      <c r="D30" s="41" t="n"/>
      <c r="E30" s="41">
        <f>J30*I30</f>
        <v/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n"/>
      <c r="C31" s="141">
        <f>H31*I31</f>
        <v/>
      </c>
      <c r="D31" s="41" t="n"/>
      <c r="E31" s="41">
        <f>J31*I31</f>
        <v/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n"/>
      <c r="C32" s="141">
        <f>H32*I32</f>
        <v/>
      </c>
      <c r="D32" s="41" t="n"/>
      <c r="E32" s="41">
        <f>J32*I32</f>
        <v/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n"/>
      <c r="C33" s="141">
        <f>H33*I33</f>
        <v/>
      </c>
      <c r="D33" s="41" t="n"/>
      <c r="E33" s="41">
        <f>J33*I33</f>
        <v/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n"/>
      <c r="C34" s="141">
        <f>H34*I34</f>
        <v/>
      </c>
      <c r="D34" s="41" t="n"/>
      <c r="E34" s="41">
        <f>J34*I34</f>
        <v/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n"/>
      <c r="C35" s="141">
        <f>H35*I35</f>
        <v/>
      </c>
      <c r="D35" s="41" t="n"/>
      <c r="E35" s="41">
        <f>J35*I35</f>
        <v/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n"/>
      <c r="C36" s="141">
        <f>H36*I36</f>
        <v/>
      </c>
      <c r="D36" s="41" t="n"/>
      <c r="E36" s="41">
        <f>J36*I36</f>
        <v/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n"/>
      <c r="C37" s="141">
        <f>H37*I37</f>
        <v/>
      </c>
      <c r="D37" s="41" t="n"/>
      <c r="E37" s="41">
        <f>J37*I37</f>
        <v/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n"/>
      <c r="C38" s="141">
        <f>H38*I38</f>
        <v/>
      </c>
      <c r="D38" s="41" t="n"/>
      <c r="E38" s="41">
        <f>J38*I38</f>
        <v/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n"/>
      <c r="C39" s="141">
        <f>H39*I39</f>
        <v/>
      </c>
      <c r="D39" s="41" t="n"/>
      <c r="E39" s="41">
        <f>J39*I39</f>
        <v/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n"/>
      <c r="C40" s="141">
        <f>H40*I40</f>
        <v/>
      </c>
      <c r="D40" s="41" t="n"/>
      <c r="E40" s="41">
        <f>J40*I40</f>
        <v/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n"/>
      <c r="C41" s="141">
        <f>H41*I41</f>
        <v/>
      </c>
      <c r="D41" s="41" t="n"/>
      <c r="E41" s="41">
        <f>J41*I41</f>
        <v/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n"/>
      <c r="C42" s="141">
        <f>H42*I42</f>
        <v/>
      </c>
      <c r="D42" s="41" t="n"/>
      <c r="E42" s="41">
        <f>J42*I42</f>
        <v/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n"/>
      <c r="C43" s="141">
        <f>H43*I43</f>
        <v/>
      </c>
      <c r="D43" s="41" t="n"/>
      <c r="E43" s="41">
        <f>J43*I43</f>
        <v/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141">
        <f>H44*I44</f>
        <v/>
      </c>
      <c r="D44" s="41" t="n"/>
      <c r="E44" s="41">
        <f>J44*I44</f>
        <v/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141">
        <f>H45*I45</f>
        <v/>
      </c>
      <c r="D45" s="41" t="n"/>
      <c r="E45" s="41">
        <f>J45*I45</f>
        <v/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141">
        <f>H46*I46</f>
        <v/>
      </c>
      <c r="D46" s="41" t="n"/>
      <c r="E46" s="41">
        <f>J46*I46</f>
        <v/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141">
        <f>H47*I47</f>
        <v/>
      </c>
      <c r="D47" s="41" t="n"/>
      <c r="E47" s="41">
        <f>J47*I47</f>
        <v/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141">
        <f>H48*I48</f>
        <v/>
      </c>
      <c r="D48" s="41" t="n"/>
      <c r="E48" s="41">
        <f>J48*I48</f>
        <v/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141">
        <f>H49*I49</f>
        <v/>
      </c>
      <c r="D49" s="41" t="n"/>
      <c r="E49" s="41">
        <f>J49*I49</f>
        <v/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141">
        <f>H50*I50</f>
        <v/>
      </c>
      <c r="D50" s="41" t="n"/>
      <c r="E50" s="41">
        <f>J50*I50</f>
        <v/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141">
        <f>H51*I51</f>
        <v/>
      </c>
      <c r="D51" s="41" t="n"/>
      <c r="E51" s="41">
        <f>J51*I51</f>
        <v/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41">
        <f>H52*I52</f>
        <v/>
      </c>
      <c r="D52" s="41" t="n"/>
      <c r="E52" s="41">
        <f>J52*I52</f>
        <v/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41">
        <f>H53*I53</f>
        <v/>
      </c>
      <c r="D53" s="41" t="n"/>
      <c r="E53" s="41">
        <f>J53*I53</f>
        <v/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41">
        <f>H54*I54</f>
        <v/>
      </c>
      <c r="D54" s="41" t="n"/>
      <c r="E54" s="41">
        <f>J54*I54</f>
        <v/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>
        <f>J55*I55</f>
        <v/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>
        <f>J56*I56</f>
        <v/>
      </c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>
        <f>J57*I57</f>
        <v/>
      </c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>
        <f>J58*I58</f>
        <v/>
      </c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>
        <f>J59*I59</f>
        <v/>
      </c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>
        <f>J60*I60</f>
        <v/>
      </c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>
        <f>J61*I61</f>
        <v/>
      </c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>
        <f>J62*I62</f>
        <v/>
      </c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>
        <f>J63*I63</f>
        <v/>
      </c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>
        <f>J64*I64</f>
        <v/>
      </c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>
        <f>J65*I65</f>
        <v/>
      </c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>
        <f>J66*I66</f>
        <v/>
      </c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>
        <f>J67*I67</f>
        <v/>
      </c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>
        <f>J68*I68</f>
        <v/>
      </c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>
        <f>J69*I69</f>
        <v/>
      </c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>
        <f>J70*I70</f>
        <v/>
      </c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>
        <f>J71*I71</f>
        <v/>
      </c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>
        <f>J72*I72</f>
        <v/>
      </c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>
        <f>J73*I73</f>
        <v/>
      </c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>
        <f>J74*I74</f>
        <v/>
      </c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>
        <f>J75*I75</f>
        <v/>
      </c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>
        <f>J76*I76</f>
        <v/>
      </c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>
        <f>J77*I77</f>
        <v/>
      </c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>
        <f>J78*I78</f>
        <v/>
      </c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>
        <f>J79*I79</f>
        <v/>
      </c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>
        <f>J80*I80</f>
        <v/>
      </c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>
        <f>J81*I81</f>
        <v/>
      </c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>
        <f>J82*I82</f>
        <v/>
      </c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>
        <f>J83*I83</f>
        <v/>
      </c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>
        <f>J84*I84</f>
        <v/>
      </c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>
        <f>J85*I85</f>
        <v/>
      </c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>
        <f>J86*I86</f>
        <v/>
      </c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>
        <f>J87*I87</f>
        <v/>
      </c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>
        <f>J88*I88</f>
        <v/>
      </c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>
        <f>J89*I89</f>
        <v/>
      </c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>
        <f>J90*I90</f>
        <v/>
      </c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>
        <f>J91*I91</f>
        <v/>
      </c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>
        <f>J92*I92</f>
        <v/>
      </c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>
        <f>J93*I93</f>
        <v/>
      </c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>
        <f>J94*I94</f>
        <v/>
      </c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>
        <f>J95*I95</f>
        <v/>
      </c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>
        <f>J96*I96</f>
        <v/>
      </c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>
        <f>J97*I97</f>
        <v/>
      </c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>
        <f>J98*I98</f>
        <v/>
      </c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>
        <f>J99*I99</f>
        <v/>
      </c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>
        <f>J100*I100</f>
        <v/>
      </c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>
        <f>J101*I101</f>
        <v/>
      </c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>
        <f>J102*I102</f>
        <v/>
      </c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>
        <f>J103*I103</f>
        <v/>
      </c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>
        <f>J104*I104</f>
        <v/>
      </c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>
        <f>J105*I105</f>
        <v/>
      </c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>
        <f>J106*I106</f>
        <v/>
      </c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>
        <f>J107*I107</f>
        <v/>
      </c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>
        <f>J108*I108</f>
        <v/>
      </c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>
        <f>J109*I109</f>
        <v/>
      </c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>
        <f>J110*I110</f>
        <v/>
      </c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>
        <f>J111*I111</f>
        <v/>
      </c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>
        <f>J112*I112</f>
        <v/>
      </c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>
        <f>J113*I113</f>
        <v/>
      </c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>
        <f>J114*I114</f>
        <v/>
      </c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>
        <f>J115*I115</f>
        <v/>
      </c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>
        <f>J116*I116</f>
        <v/>
      </c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>
        <f>J117*I117</f>
        <v/>
      </c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>
        <f>J118*I118</f>
        <v/>
      </c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>
        <f>J119*I119</f>
        <v/>
      </c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>
        <f>J120*I120</f>
        <v/>
      </c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>
        <f>J121*I121</f>
        <v/>
      </c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>
        <f>J122*I122</f>
        <v/>
      </c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>
        <f>J123*I123</f>
        <v/>
      </c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>
        <f>J124*I124</f>
        <v/>
      </c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>
        <f>J125*I125</f>
        <v/>
      </c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>
        <f>J126*I126</f>
        <v/>
      </c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>
        <f>J127*I127</f>
        <v/>
      </c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>
        <f>J128*I128</f>
        <v/>
      </c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>
        <f>J129*I129</f>
        <v/>
      </c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>
        <f>J130*I130</f>
        <v/>
      </c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>
        <f>J131*I131</f>
        <v/>
      </c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>
        <f>J132*I132</f>
        <v/>
      </c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>
        <f>J133*I133</f>
        <v/>
      </c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>
        <f>J134*I134</f>
        <v/>
      </c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>
        <f>J135*I135</f>
        <v/>
      </c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>
        <f>J136*I136</f>
        <v/>
      </c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>
        <f>J137*I137</f>
        <v/>
      </c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>
        <f>J138*I138</f>
        <v/>
      </c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>
        <f>J139*I139</f>
        <v/>
      </c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>
        <f>J140*I140</f>
        <v/>
      </c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>
        <f>J141*I141</f>
        <v/>
      </c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>
        <f>J142*I142</f>
        <v/>
      </c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>
        <f>J143*I143</f>
        <v/>
      </c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>
        <f>J144*I144</f>
        <v/>
      </c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>
        <f>J145*I145</f>
        <v/>
      </c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>
        <f>J146*I146</f>
        <v/>
      </c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>
        <f>J147*I147</f>
        <v/>
      </c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>
        <f>J148*I148</f>
        <v/>
      </c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>
        <f>J149*I149</f>
        <v/>
      </c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>
        <f>J150*I150</f>
        <v/>
      </c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>
        <f>J151*I151</f>
        <v/>
      </c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>
        <f>J152*I152</f>
        <v/>
      </c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>
        <f>J153*I153</f>
        <v/>
      </c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>
        <f>J154*I154</f>
        <v/>
      </c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>
        <f>J155*I155</f>
        <v/>
      </c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>
        <f>J156*I156</f>
        <v/>
      </c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>
        <f>J157*I157</f>
        <v/>
      </c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>
        <f>J158*I158</f>
        <v/>
      </c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>
        <f>J159*I159</f>
        <v/>
      </c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>
        <f>J160*I160</f>
        <v/>
      </c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>
        <f>J161*I161</f>
        <v/>
      </c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>
        <f>J162*I162</f>
        <v/>
      </c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>
        <f>J163*I163</f>
        <v/>
      </c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>
        <f>J164*I164</f>
        <v/>
      </c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>
        <f>J165*I165</f>
        <v/>
      </c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>
        <f>J166*I166</f>
        <v/>
      </c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>
        <f>J167*I167</f>
        <v/>
      </c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>
        <f>J168*I168</f>
        <v/>
      </c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>
        <f>J169*I169</f>
        <v/>
      </c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>
        <f>J170*I170</f>
        <v/>
      </c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>
        <f>J171*I171</f>
        <v/>
      </c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>
        <f>J172*I172</f>
        <v/>
      </c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>
        <f>J173*I173</f>
        <v/>
      </c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>
        <f>J174*I174</f>
        <v/>
      </c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>
        <f>J175*I175</f>
        <v/>
      </c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>
        <f>J176*I176</f>
        <v/>
      </c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>
        <f>J177*I177</f>
        <v/>
      </c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>
        <f>J178*I178</f>
        <v/>
      </c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>
        <f>J179*I179</f>
        <v/>
      </c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>
        <f>J180*I180</f>
        <v/>
      </c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>
        <f>J181*I181</f>
        <v/>
      </c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>
        <f>J182*I182</f>
        <v/>
      </c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>
        <f>J183*I183</f>
        <v/>
      </c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>
        <f>J184*I184</f>
        <v/>
      </c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>
        <f>J185*I185</f>
        <v/>
      </c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>
        <f>J186*I186</f>
        <v/>
      </c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>
        <f>J187*I187</f>
        <v/>
      </c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>
        <f>J188*I188</f>
        <v/>
      </c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>
        <f>J189*I189</f>
        <v/>
      </c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>
        <f>J190*I190</f>
        <v/>
      </c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>
        <f>J191*I191</f>
        <v/>
      </c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>
        <f>J192*I192</f>
        <v/>
      </c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>
        <f>J193*I193</f>
        <v/>
      </c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>
        <f>J194*I194</f>
        <v/>
      </c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>
        <f>J195*I195</f>
        <v/>
      </c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>
        <f>J196*I196</f>
        <v/>
      </c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>
        <f>J197*I197</f>
        <v/>
      </c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>
        <f>J198*I198</f>
        <v/>
      </c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>
        <f>J199*I199</f>
        <v/>
      </c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>
        <f>J200*I200</f>
        <v/>
      </c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>
        <f>J201*I201</f>
        <v/>
      </c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>
        <f>J202*I202</f>
        <v/>
      </c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>
        <f>J203*I203</f>
        <v/>
      </c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>
        <f>J204*I204</f>
        <v/>
      </c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>
        <f>J205*I205</f>
        <v/>
      </c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>
        <f>J206*I206</f>
        <v/>
      </c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>
        <f>J207*I207</f>
        <v/>
      </c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>
        <f>J208*I208</f>
        <v/>
      </c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>
        <f>J209*I209</f>
        <v/>
      </c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>
        <f>J210*I210</f>
        <v/>
      </c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>
        <f>J211*I211</f>
        <v/>
      </c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>
        <f>J212*I212</f>
        <v/>
      </c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>
        <f>J213*I213</f>
        <v/>
      </c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>
        <f>J214*I214</f>
        <v/>
      </c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>
        <f>J215*I215</f>
        <v/>
      </c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>
        <f>J216*I216</f>
        <v/>
      </c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>
        <f>J217*I217</f>
        <v/>
      </c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>
        <f>J218*I218</f>
        <v/>
      </c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>
        <f>J219*I219</f>
        <v/>
      </c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>
        <f>J220*I220</f>
        <v/>
      </c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>
        <f>J221*I221</f>
        <v/>
      </c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>
        <f>J222*I222</f>
        <v/>
      </c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>
        <f>J223*I223</f>
        <v/>
      </c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>
        <f>J224*I224</f>
        <v/>
      </c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>
        <f>J225*I225</f>
        <v/>
      </c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>
        <f>J226*I226</f>
        <v/>
      </c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>
        <f>J227*I227</f>
        <v/>
      </c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>
        <f>J228*I228</f>
        <v/>
      </c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>
        <f>J229*I229</f>
        <v/>
      </c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>
        <f>J230*I230</f>
        <v/>
      </c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>
        <f>J231*I231</f>
        <v/>
      </c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>
        <f>J232*I232</f>
        <v/>
      </c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>
        <f>J233*I233</f>
        <v/>
      </c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>
        <f>J234*I234</f>
        <v/>
      </c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>
        <f>J235*I235</f>
        <v/>
      </c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>
        <f>J236*I236</f>
        <v/>
      </c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>
        <f>J237*I237</f>
        <v/>
      </c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>
        <f>J238*I238</f>
        <v/>
      </c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>
        <f>J239*I239</f>
        <v/>
      </c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>
        <f>J240*I240</f>
        <v/>
      </c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>
        <f>J241*I241</f>
        <v/>
      </c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>
        <f>J242*I242</f>
        <v/>
      </c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>
        <f>J243*I243</f>
        <v/>
      </c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>
        <f>J244*I244</f>
        <v/>
      </c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>
        <f>J245*I245</f>
        <v/>
      </c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>
        <f>J246*I246</f>
        <v/>
      </c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>
        <f>J247*I247</f>
        <v/>
      </c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>
        <f>J248*I248</f>
        <v/>
      </c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>
        <f>J249*I249</f>
        <v/>
      </c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>
        <f>J250*I250</f>
        <v/>
      </c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>
        <f>J251*I251</f>
        <v/>
      </c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>
        <f>J252*I252</f>
        <v/>
      </c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>
        <f>J253*I253</f>
        <v/>
      </c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>
        <f>J254*I254</f>
        <v/>
      </c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>
        <f>J255*I255</f>
        <v/>
      </c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>
        <f>J256*I256</f>
        <v/>
      </c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>
        <f>J257*I257</f>
        <v/>
      </c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>
        <f>J258*I258</f>
        <v/>
      </c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>
        <f>J259*I259</f>
        <v/>
      </c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>
        <f>J260*I260</f>
        <v/>
      </c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>
        <f>J261*I261</f>
        <v/>
      </c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>
        <f>J262*I262</f>
        <v/>
      </c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>
        <f>J263*I263</f>
        <v/>
      </c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>
        <f>J264*I264</f>
        <v/>
      </c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>
        <f>J265*I265</f>
        <v/>
      </c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>
        <f>J266*I266</f>
        <v/>
      </c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>
        <f>J267*I267</f>
        <v/>
      </c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>
        <f>J268*I268</f>
        <v/>
      </c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>
        <f>J269*I269</f>
        <v/>
      </c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>
        <f>J270*I270</f>
        <v/>
      </c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>
        <f>J271*I271</f>
        <v/>
      </c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>
        <f>J272*I272</f>
        <v/>
      </c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>
        <f>J273*I273</f>
        <v/>
      </c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>
        <f>J274*I274</f>
        <v/>
      </c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>
        <f>J275*I275</f>
        <v/>
      </c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>
        <f>J276*I276</f>
        <v/>
      </c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>
        <f>J277*I277</f>
        <v/>
      </c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>
        <f>J278*I278</f>
        <v/>
      </c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>
        <f>J279*I279</f>
        <v/>
      </c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>
        <f>J280*I280</f>
        <v/>
      </c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>
        <f>J281*I281</f>
        <v/>
      </c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>
        <f>J282*I282</f>
        <v/>
      </c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>
        <f>J283*I283</f>
        <v/>
      </c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>
        <f>J284*I284</f>
        <v/>
      </c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>
        <f>J285*I285</f>
        <v/>
      </c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>
        <f>J286*I286</f>
        <v/>
      </c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>
        <f>J287*I287</f>
        <v/>
      </c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>
        <f>J288*I288</f>
        <v/>
      </c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>
        <f>J289*I289</f>
        <v/>
      </c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>
        <f>J290*I290</f>
        <v/>
      </c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>
        <f>J291*I291</f>
        <v/>
      </c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>
        <f>J292*I292</f>
        <v/>
      </c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>
        <f>J293*I293</f>
        <v/>
      </c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>
        <f>J294*I294</f>
        <v/>
      </c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>
        <f>J295*I295</f>
        <v/>
      </c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>
        <f>J296*I296</f>
        <v/>
      </c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>
        <f>J297*I297</f>
        <v/>
      </c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>
        <f>J298*I298</f>
        <v/>
      </c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>
        <f>J299*I299</f>
        <v/>
      </c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>
        <f>J300*I300</f>
        <v/>
      </c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>
        <f>J301*I301</f>
        <v/>
      </c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>
        <f>J302*I302</f>
        <v/>
      </c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>
        <f>J303*I303</f>
        <v/>
      </c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>
        <f>J304*I304</f>
        <v/>
      </c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>
        <f>J305*I305</f>
        <v/>
      </c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>
        <f>J306*I306</f>
        <v/>
      </c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>
        <f>J307*I307</f>
        <v/>
      </c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>
        <f>J308*I308</f>
        <v/>
      </c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>
        <f>J309*I309</f>
        <v/>
      </c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>
        <f>J310*I310</f>
        <v/>
      </c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>
        <f>J311*I311</f>
        <v/>
      </c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>
        <f>J312*I312</f>
        <v/>
      </c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>
        <f>J313*I313</f>
        <v/>
      </c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>
        <f>J314*I314</f>
        <v/>
      </c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>
        <f>J315*I315</f>
        <v/>
      </c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>
        <f>J316*I316</f>
        <v/>
      </c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>
        <f>J317*I317</f>
        <v/>
      </c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>
        <f>J318*I318</f>
        <v/>
      </c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>
        <f>J319*I319</f>
        <v/>
      </c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>
        <f>J320*I320</f>
        <v/>
      </c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>
        <f>J321*I321</f>
        <v/>
      </c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>
        <f>J322*I322</f>
        <v/>
      </c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>
        <f>J323*I323</f>
        <v/>
      </c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>
        <f>J324*I324</f>
        <v/>
      </c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>
        <f>J325*I325</f>
        <v/>
      </c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>
        <f>J326*I326</f>
        <v/>
      </c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>
        <f>J327*I327</f>
        <v/>
      </c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>
        <f>J328*I328</f>
        <v/>
      </c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>
        <f>J329*I329</f>
        <v/>
      </c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>
        <f>J330*I330</f>
        <v/>
      </c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>
        <f>J331*I331</f>
        <v/>
      </c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>
        <f>J332*I332</f>
        <v/>
      </c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>
        <f>J333*I333</f>
        <v/>
      </c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>
        <f>J334*I334</f>
        <v/>
      </c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>
        <f>J335*I335</f>
        <v/>
      </c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>
        <f>J336*I336</f>
        <v/>
      </c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>
        <f>J337*I337</f>
        <v/>
      </c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>
        <f>J338*I338</f>
        <v/>
      </c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>
        <f>J339*I339</f>
        <v/>
      </c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>
        <f>J340*I340</f>
        <v/>
      </c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>
        <f>J341*I341</f>
        <v/>
      </c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>
        <f>J342*I342</f>
        <v/>
      </c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>
        <f>J343*I343</f>
        <v/>
      </c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>
        <f>J344*I344</f>
        <v/>
      </c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>
        <f>J345*I345</f>
        <v/>
      </c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>
        <f>J346*I346</f>
        <v/>
      </c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>
        <f>J347*I347</f>
        <v/>
      </c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>
        <f>J348*I348</f>
        <v/>
      </c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>
        <f>J349*I349</f>
        <v/>
      </c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>
        <f>J350*I350</f>
        <v/>
      </c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>
        <f>J351*I351</f>
        <v/>
      </c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>
        <f>J352*I352</f>
        <v/>
      </c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>
        <f>J353*I353</f>
        <v/>
      </c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>
        <f>J354*I354</f>
        <v/>
      </c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>
        <f>J355*I355</f>
        <v/>
      </c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>
        <f>J356*I356</f>
        <v/>
      </c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>
        <f>J357*I357</f>
        <v/>
      </c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>
        <f>J358*I358</f>
        <v/>
      </c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>
        <f>J359*I359</f>
        <v/>
      </c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>
        <f>J360*I360</f>
        <v/>
      </c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>
        <f>J361*I361</f>
        <v/>
      </c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>
        <f>J362*I362</f>
        <v/>
      </c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>
        <f>J363*I363</f>
        <v/>
      </c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>
        <f>J364*I364</f>
        <v/>
      </c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>
        <f>J365*I365</f>
        <v/>
      </c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>
        <f>J366*I366</f>
        <v/>
      </c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>
        <f>J367*I367</f>
        <v/>
      </c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>
        <f>J368*I368</f>
        <v/>
      </c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>
        <f>J369*I369</f>
        <v/>
      </c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>
        <f>J370*I370</f>
        <v/>
      </c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>
        <f>J371*I371</f>
        <v/>
      </c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>
        <f>J372*I372</f>
        <v/>
      </c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>
        <f>J373*I373</f>
        <v/>
      </c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>
        <f>J374*I374</f>
        <v/>
      </c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>
        <f>J375*I375</f>
        <v/>
      </c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>
        <f>J376*I376</f>
        <v/>
      </c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>
        <f>J377*I377</f>
        <v/>
      </c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>
        <f>J378*I378</f>
        <v/>
      </c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>
        <f>J379*I379</f>
        <v/>
      </c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>
        <f>J380*I380</f>
        <v/>
      </c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>
        <f>J381*I381</f>
        <v/>
      </c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>
        <f>J382*I382</f>
        <v/>
      </c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>
        <f>J383*I383</f>
        <v/>
      </c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>
        <f>J384*I384</f>
        <v/>
      </c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>
        <f>J385*I385</f>
        <v/>
      </c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>
        <f>J386*I386</f>
        <v/>
      </c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>
        <f>J387*I387</f>
        <v/>
      </c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>
        <f>J388*I388</f>
        <v/>
      </c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>
        <f>J389*I389</f>
        <v/>
      </c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>
        <f>J390*I390</f>
        <v/>
      </c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>
        <f>J391*I391</f>
        <v/>
      </c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>
        <f>J392*I392</f>
        <v/>
      </c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>
        <f>J393*I393</f>
        <v/>
      </c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>
        <f>J394*I394</f>
        <v/>
      </c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>
        <f>J395*I395</f>
        <v/>
      </c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>
        <f>J396*I396</f>
        <v/>
      </c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>
        <f>J397*I397</f>
        <v/>
      </c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>
        <f>J398*I398</f>
        <v/>
      </c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>
        <f>J399*I399</f>
        <v/>
      </c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>
        <f>J400*I400</f>
        <v/>
      </c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>
        <f>J401*I401</f>
        <v/>
      </c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>
        <f>J402*I402</f>
        <v/>
      </c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>
        <f>J403*I403</f>
        <v/>
      </c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>
        <f>J404*I404</f>
        <v/>
      </c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>
        <f>J405*I405</f>
        <v/>
      </c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>
        <f>J406*I406</f>
        <v/>
      </c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>
        <f>J407*I407</f>
        <v/>
      </c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>
        <f>J408*I408</f>
        <v/>
      </c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>
        <f>J409*I409</f>
        <v/>
      </c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>
        <f>J410*I410</f>
        <v/>
      </c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>
        <f>J411*I411</f>
        <v/>
      </c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>
        <f>J412*I412</f>
        <v/>
      </c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>
        <f>J413*I413</f>
        <v/>
      </c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>
        <f>J414*I414</f>
        <v/>
      </c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>
        <f>J415*I415</f>
        <v/>
      </c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>
        <f>J416*I416</f>
        <v/>
      </c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>
        <f>J417*I417</f>
        <v/>
      </c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>
        <f>J418*I418</f>
        <v/>
      </c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>
        <f>J419*I419</f>
        <v/>
      </c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>
        <f>J420*I420</f>
        <v/>
      </c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>
        <f>J421*I421</f>
        <v/>
      </c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>
        <f>J422*I422</f>
        <v/>
      </c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>
        <f>J423*I423</f>
        <v/>
      </c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>
        <f>J424*I424</f>
        <v/>
      </c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>
        <f>J425*I425</f>
        <v/>
      </c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>
        <f>J426*I426</f>
        <v/>
      </c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>
        <f>J427*I427</f>
        <v/>
      </c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>
        <f>J428*I428</f>
        <v/>
      </c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>
        <f>J429*I429</f>
        <v/>
      </c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>
        <f>J430*I430</f>
        <v/>
      </c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>
        <f>J431*I431</f>
        <v/>
      </c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>
        <f>J432*I432</f>
        <v/>
      </c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>
        <f>J433*I433</f>
        <v/>
      </c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>
        <f>J434*I434</f>
        <v/>
      </c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>
        <f>J435*I435</f>
        <v/>
      </c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>
        <f>J436*I436</f>
        <v/>
      </c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>
        <f>J437*I437</f>
        <v/>
      </c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>
        <f>J438*I438</f>
        <v/>
      </c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>
        <f>J439*I439</f>
        <v/>
      </c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>
        <f>J440*I440</f>
        <v/>
      </c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>
        <f>J441*I441</f>
        <v/>
      </c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>
        <f>J442*I442</f>
        <v/>
      </c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>
        <f>J443*I443</f>
        <v/>
      </c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>
        <f>J444*I444</f>
        <v/>
      </c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>
        <f>J445*I445</f>
        <v/>
      </c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>
        <f>J446*I446</f>
        <v/>
      </c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>
        <f>J447*I447</f>
        <v/>
      </c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>
        <f>J448*I448</f>
        <v/>
      </c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>
        <f>J449*I449</f>
        <v/>
      </c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>
        <f>J450*I450</f>
        <v/>
      </c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>
        <f>J451*I451</f>
        <v/>
      </c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>
        <f>J452*I452</f>
        <v/>
      </c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>
        <f>J453*I453</f>
        <v/>
      </c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>
        <f>J454*I454</f>
        <v/>
      </c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>
        <f>J455*I455</f>
        <v/>
      </c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>
        <f>J456*I456</f>
        <v/>
      </c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>
        <f>J457*I457</f>
        <v/>
      </c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>
        <f>J458*I458</f>
        <v/>
      </c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>
        <f>J459*I459</f>
        <v/>
      </c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>
        <f>J460*I460</f>
        <v/>
      </c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>
        <f>J461*I461</f>
        <v/>
      </c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>
        <f>J462*I462</f>
        <v/>
      </c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>
        <f>J463*I463</f>
        <v/>
      </c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>
        <f>J464*I464</f>
        <v/>
      </c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>
        <f>J465*I465</f>
        <v/>
      </c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>
        <f>J466*I466</f>
        <v/>
      </c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>
        <f>J467*I467</f>
        <v/>
      </c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>
        <f>J468*I468</f>
        <v/>
      </c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>
        <f>J469*I469</f>
        <v/>
      </c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>
        <f>J470*I470</f>
        <v/>
      </c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>
        <f>J471*I471</f>
        <v/>
      </c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>
        <f>J472*I472</f>
        <v/>
      </c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>
        <f>J473*I473</f>
        <v/>
      </c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>
        <f>J474*I474</f>
        <v/>
      </c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>
        <f>J475*I475</f>
        <v/>
      </c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>
        <f>J476*I476</f>
        <v/>
      </c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>
        <f>J477*I477</f>
        <v/>
      </c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>
        <f>J478*I478</f>
        <v/>
      </c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>
        <f>J479*I479</f>
        <v/>
      </c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>
        <f>J480*I480</f>
        <v/>
      </c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>
        <f>J481*I481</f>
        <v/>
      </c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>
        <f>J482*I482</f>
        <v/>
      </c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>
        <f>J483*I483</f>
        <v/>
      </c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>
        <f>J484*I484</f>
        <v/>
      </c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>
        <f>J485*I485</f>
        <v/>
      </c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>
        <f>J486*I486</f>
        <v/>
      </c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>
        <f>J487*I487</f>
        <v/>
      </c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>
        <f>J488*I488</f>
        <v/>
      </c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>
        <f>J489*I489</f>
        <v/>
      </c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>
        <f>J490*I490</f>
        <v/>
      </c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>
        <f>J491*I491</f>
        <v/>
      </c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>
        <f>J492*I492</f>
        <v/>
      </c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>
        <f>J493*I493</f>
        <v/>
      </c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>
        <f>J494*I494</f>
        <v/>
      </c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>
        <f>J495*I495</f>
        <v/>
      </c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>
        <f>J496*I496</f>
        <v/>
      </c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>
        <f>J497*I497</f>
        <v/>
      </c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>
        <f>J498*I498</f>
        <v/>
      </c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>
        <f>J499*I499</f>
        <v/>
      </c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>
        <f>J500*I500</f>
        <v/>
      </c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>
        <f>J501*I501</f>
        <v/>
      </c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>
        <f>J502*I502</f>
        <v/>
      </c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>
        <f>J503*I503</f>
        <v/>
      </c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>
        <f>J504*I504</f>
        <v/>
      </c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>
        <f>J505*I505</f>
        <v/>
      </c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87:G187"/>
    <mergeCell ref="F16:G16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18:G18"/>
    <mergeCell ref="F42:G42"/>
    <mergeCell ref="F238:G238"/>
    <mergeCell ref="F474:G474"/>
    <mergeCell ref="F17:G17"/>
    <mergeCell ref="F188:G188"/>
    <mergeCell ref="F126:G126"/>
    <mergeCell ref="F66:G66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325:G325"/>
    <mergeCell ref="F154:G154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386:G386"/>
    <mergeCell ref="F215:G215"/>
    <mergeCell ref="F373:G373"/>
    <mergeCell ref="F81:G81"/>
    <mergeCell ref="F460:G460"/>
    <mergeCell ref="F381:G381"/>
    <mergeCell ref="F210:G210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452:G452"/>
    <mergeCell ref="F281:G281"/>
    <mergeCell ref="F87:G87"/>
    <mergeCell ref="F451:G451"/>
    <mergeCell ref="F280:G280"/>
    <mergeCell ref="F218:G218"/>
    <mergeCell ref="F147:G147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  <col width="8.87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68:G268"/>
    <mergeCell ref="F219:G219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C3" sqref="C3:C4"/>
    </sheetView>
  </sheetViews>
  <sheetFormatPr baseColWidth="8" defaultColWidth="8.875" defaultRowHeight="17.25"/>
  <cols>
    <col width="15.125" customWidth="1" style="11" min="1" max="2"/>
    <col width="15" customWidth="1" style="23" min="3" max="3"/>
    <col width="12.875" customWidth="1" style="11" min="4" max="4"/>
    <col width="17" customWidth="1" style="11" min="5" max="5"/>
    <col width="12.75" customWidth="1" style="11" min="6" max="6"/>
    <col width="12.875" customWidth="1" style="11" min="7" max="7"/>
    <col width="8.875" customWidth="1" style="12" min="8" max="8"/>
    <col width="12.625" customWidth="1" style="12" min="9" max="9"/>
    <col width="8.875" customWidth="1" style="12" min="10" max="10"/>
    <col width="8.87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7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12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18:G18"/>
    <mergeCell ref="F487:G487"/>
    <mergeCell ref="F238:G238"/>
    <mergeCell ref="F42:G42"/>
    <mergeCell ref="F45:G45"/>
    <mergeCell ref="F474:G474"/>
    <mergeCell ref="F66:G66"/>
    <mergeCell ref="F17:G17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331:G331"/>
    <mergeCell ref="F282:G282"/>
    <mergeCell ref="F453:G453"/>
    <mergeCell ref="F113:G113"/>
    <mergeCell ref="F232:G232"/>
    <mergeCell ref="F32:G32"/>
    <mergeCell ref="F26:G26"/>
    <mergeCell ref="F330:G330"/>
    <mergeCell ref="F97:G97"/>
    <mergeCell ref="F219:G219"/>
    <mergeCell ref="F268:G268"/>
    <mergeCell ref="F395:G395"/>
    <mergeCell ref="F159:G159"/>
    <mergeCell ref="F324:G324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2026-09-09T22:52:59Z</dcterms:modified>
  <cp:lastModifiedBy>祐廷 劉</cp:lastModifiedBy>
  <cp:revision>39</cp:revision>
  <cp:lastPrinted>2024-02-22T01:18:13Z</cp:lastPrinted>
</cp:coreProperties>
</file>