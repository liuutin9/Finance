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F822314E-4A84-4E69-A606-A16E861594A0}" xr6:coauthVersionLast="47" xr6:coauthVersionMax="47" xr10:uidLastSave="{00000000-0000-0000-0000-000000000000}"/>
  <bookViews>
    <workbookView xWindow="-110" yWindow="-110" windowWidth="19420" windowHeight="11500" tabRatio="679" activeTab="4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7" l="1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G4" i="7" s="1"/>
  <c r="G3" i="7" s="1"/>
  <c r="F3" i="7"/>
  <c r="A3" i="7" s="1"/>
  <c r="E3" i="7"/>
  <c r="D3" i="7"/>
  <c r="B3" i="7" s="1"/>
  <c r="F3" i="6"/>
  <c r="E3" i="6"/>
  <c r="D3" i="6"/>
  <c r="G4" i="6" s="1"/>
  <c r="G3" i="6" s="1"/>
  <c r="B3" i="6"/>
  <c r="A3" i="6"/>
  <c r="F3" i="4"/>
  <c r="E3" i="4"/>
  <c r="D3" i="4"/>
  <c r="K3" i="1" s="1"/>
  <c r="F3" i="3"/>
  <c r="E3" i="3"/>
  <c r="A3" i="2" s="1"/>
  <c r="D3" i="3"/>
  <c r="K2" i="1" s="1"/>
  <c r="B3" i="3"/>
  <c r="A3" i="3"/>
  <c r="C12" i="1"/>
  <c r="G10" i="1"/>
  <c r="C10" i="1"/>
  <c r="S7" i="1"/>
  <c r="S6" i="1"/>
  <c r="S5" i="1"/>
  <c r="S4" i="1"/>
  <c r="S3" i="1"/>
  <c r="S10" i="1" s="1"/>
  <c r="B17" i="2" s="1"/>
  <c r="C18" i="2" s="1"/>
  <c r="C17" i="2" s="1"/>
  <c r="S2" i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F53" i="5"/>
  <c r="F3" i="5" s="1"/>
  <c r="A3" i="5" s="1"/>
  <c r="C53" i="5"/>
  <c r="C52" i="5"/>
  <c r="C51" i="5"/>
  <c r="C50" i="5"/>
  <c r="I49" i="5"/>
  <c r="C49" i="5" s="1"/>
  <c r="E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D3" i="5"/>
  <c r="O2" i="1" s="1"/>
  <c r="O10" i="1" s="1"/>
  <c r="B10" i="2" s="1"/>
  <c r="C3" i="5"/>
  <c r="B3" i="5"/>
  <c r="K10" i="1" l="1"/>
  <c r="B3" i="2" s="1"/>
  <c r="B3" i="4"/>
  <c r="G4" i="3"/>
  <c r="G3" i="3" s="1"/>
  <c r="C4" i="2"/>
  <c r="C3" i="2" s="1"/>
  <c r="F10" i="2"/>
  <c r="A10" i="2"/>
  <c r="E10" i="2" s="1"/>
  <c r="G4" i="4"/>
  <c r="G3" i="4" s="1"/>
  <c r="G4" i="5"/>
  <c r="G3" i="5" s="1"/>
  <c r="A3" i="4"/>
  <c r="A12" i="1" l="1"/>
  <c r="C11" i="2"/>
  <c r="C10" i="2" s="1"/>
  <c r="G11" i="2"/>
  <c r="G10" i="2" s="1"/>
  <c r="C16" i="1" l="1"/>
  <c r="A16" i="1"/>
</calcChain>
</file>

<file path=xl/sharedStrings.xml><?xml version="1.0" encoding="utf-8"?>
<sst xmlns="http://schemas.openxmlformats.org/spreadsheetml/2006/main" count="383" uniqueCount="162">
  <si>
    <t>存股統計專用表格</t>
  </si>
  <si>
    <t>VT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</si>
  <si>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</si>
  <si>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</si>
  <si>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</si>
  <si>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</si>
  <si>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</si>
  <si>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</si>
  <si>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</si>
  <si>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</si>
  <si>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</si>
  <si>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</si>
  <si>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</si>
  <si>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</si>
  <si>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</si>
  <si>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</si>
  <si>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</si>
  <si>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</si>
  <si>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</si>
  <si>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</si>
  <si>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2023.07.17</t>
  </si>
  <si>
    <t>2023.08.16</t>
  </si>
  <si>
    <t>2023.09.16</t>
  </si>
  <si>
    <t>2023.09.27</t>
  </si>
  <si>
    <t>2023.10.06</t>
  </si>
  <si>
    <t>2023.11.06</t>
  </si>
  <si>
    <t>2023.12.06</t>
  </si>
  <si>
    <t>2023.12.28</t>
  </si>
  <si>
    <t>2024.01.08</t>
  </si>
  <si>
    <t>2024.02.06</t>
  </si>
  <si>
    <t>2024.03.06</t>
  </si>
  <si>
    <t>2024.03.26</t>
  </si>
  <si>
    <t>2024.04.08</t>
  </si>
  <si>
    <t>2024.05.06</t>
  </si>
  <si>
    <t>2024.06.06</t>
  </si>
  <si>
    <t>2024.06.28</t>
  </si>
  <si>
    <t>2024.07.08</t>
  </si>
  <si>
    <t>2024.08.06</t>
  </si>
  <si>
    <t>2024.09.06</t>
  </si>
  <si>
    <t>2024.09.27</t>
  </si>
  <si>
    <t>2024.10.07</t>
  </si>
  <si>
    <t>2024.11.06</t>
  </si>
  <si>
    <t>2024.12.06</t>
  </si>
  <si>
    <t>2024.12.30</t>
  </si>
  <si>
    <t>2025.01.06</t>
  </si>
  <si>
    <t>2025.02.06</t>
  </si>
  <si>
    <t>2025.03.06</t>
  </si>
  <si>
    <t>2025.03.28</t>
  </si>
  <si>
    <t>2025.04.07</t>
  </si>
  <si>
    <t>2025.05.06</t>
  </si>
  <si>
    <t>2025.06.06</t>
  </si>
  <si>
    <t>2025.06.27</t>
  </si>
  <si>
    <t>2025.07.07</t>
  </si>
  <si>
    <t>2025.08.06</t>
  </si>
  <si>
    <t>2025.09.09</t>
  </si>
  <si>
    <t>2025.09.17</t>
  </si>
  <si>
    <t>2025.09.19</t>
  </si>
  <si>
    <t>2025.10.09</t>
  </si>
  <si>
    <t>2025.11.06</t>
  </si>
  <si>
    <t>2025.12.08</t>
  </si>
  <si>
    <t>2025.12.29</t>
  </si>
  <si>
    <t>2026.01.05</t>
  </si>
  <si>
    <t>2026.01.06</t>
  </si>
  <si>
    <t>2026.02.06</t>
  </si>
  <si>
    <t>2026.03.06</t>
  </si>
  <si>
    <t>2026.03.27</t>
  </si>
  <si>
    <t>2026.04.09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</si>
  <si>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</si>
  <si>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</si>
  <si>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</si>
  <si>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</si>
  <si>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</si>
  <si>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</si>
  <si>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</si>
  <si>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</si>
  <si>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</si>
  <si>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</si>
  <si>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</si>
  <si>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</si>
  <si>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</si>
  <si>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</si>
  <si>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</si>
  <si>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</si>
  <si>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</si>
  <si>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</si>
  <si>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</si>
  <si>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</si>
  <si>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</si>
  <si>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</si>
  <si>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</si>
  <si>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</si>
  <si>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</si>
  <si>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</si>
  <si>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</si>
  <si>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</si>
  <si>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</si>
  <si>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</si>
  <si>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</si>
  <si>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</si>
  <si>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</si>
  <si>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</si>
  <si>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</si>
  <si>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2023.07.21</t>
  </si>
  <si>
    <t>2023.08.07</t>
  </si>
  <si>
    <t>2023.08.09</t>
  </si>
  <si>
    <t>2023.09.11</t>
  </si>
  <si>
    <t>2023.10.26</t>
  </si>
  <si>
    <t>2023.12.12</t>
  </si>
  <si>
    <t>2024.02.01</t>
  </si>
  <si>
    <t>2024.02.15</t>
  </si>
  <si>
    <t>2024.08.09</t>
  </si>
  <si>
    <t>2024.08.16</t>
  </si>
  <si>
    <t>2024.12.12</t>
  </si>
  <si>
    <t>2024.12.19</t>
  </si>
  <si>
    <t>2025.08.08</t>
  </si>
  <si>
    <t>2025.08.13</t>
  </si>
  <si>
    <t>2025.09.08</t>
  </si>
  <si>
    <t>2025.10.07</t>
  </si>
  <si>
    <t>2025.12.11</t>
  </si>
  <si>
    <t>2025.12.16</t>
  </si>
  <si>
    <t>2026.04.07</t>
  </si>
  <si>
    <t>2890.TW</t>
  </si>
  <si>
    <t>2023.08.18</t>
  </si>
  <si>
    <t>2023.09.13</t>
  </si>
  <si>
    <t>2023.10.25</t>
  </si>
  <si>
    <t>2023.10.31</t>
  </si>
  <si>
    <t>2023.12.07</t>
  </si>
  <si>
    <t>2024.10.17</t>
  </si>
  <si>
    <t>2024.10.21</t>
  </si>
  <si>
    <t>2025.09.22</t>
  </si>
  <si>
    <t>2025.09.26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</si>
  <si>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</si>
  <si>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</si>
  <si>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</si>
  <si>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</si>
  <si>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</si>
  <si>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</si>
  <si>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</si>
  <si>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</si>
  <si>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</si>
  <si>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</si>
  <si>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</si>
  <si>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</si>
  <si>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</si>
  <si>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</si>
  <si>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</si>
  <si>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</si>
  <si>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</si>
  <si>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</si>
  <si>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</si>
  <si>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</si>
  <si>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</si>
  <si>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</si>
  <si>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</si>
  <si>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</si>
  <si>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</si>
  <si>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</si>
  <si>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</si>
  <si>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</si>
  <si>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</si>
  <si>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</si>
  <si>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2026.05.06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</si>
</sst>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9A-4F8C-AE55-180A46E80F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9A-4F8C-AE55-180A46E80F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9A-4F8C-AE55-180A46E80F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9A-4F8C-AE55-180A46E80F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9A-4F8C-AE55-180A46E80F87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19635.650000000001</c:v>
                </c:pt>
                <c:pt idx="2">
                  <c:v>350839.51439999999</c:v>
                </c:pt>
                <c:pt idx="3">
                  <c:v>249988.43725127997</c:v>
                </c:pt>
                <c:pt idx="4">
                  <c:v>232470.1986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9A-4F8C-AE55-180A46E80F8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9B6-4E48-B610-B414CBA166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9B6-4E48-B610-B414CBA166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9B6-4E48-B610-B414CBA166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9B6-4E48-B610-B414CBA166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9B6-4E48-B610-B414CBA166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9B6-4E48-B610-B414CBA16629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193106.13840000003</c:v>
                </c:pt>
                <c:pt idx="1">
                  <c:v>157733.37599999999</c:v>
                </c:pt>
                <c:pt idx="2">
                  <c:v>249988.43725127997</c:v>
                </c:pt>
                <c:pt idx="3">
                  <c:v>68534.1636</c:v>
                </c:pt>
                <c:pt idx="4">
                  <c:v>7392.4484000000002</c:v>
                </c:pt>
                <c:pt idx="5">
                  <c:v>9753.1335999999992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9B6-4E48-B610-B414CBA1662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4" sqref="S4:T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13" t="s">
        <v>67</v>
      </c>
      <c r="B1" s="67"/>
      <c r="C1" s="67"/>
      <c r="D1" s="68"/>
      <c r="E1" s="80" t="s">
        <v>68</v>
      </c>
      <c r="F1" s="67"/>
      <c r="G1" s="67"/>
      <c r="H1" s="68"/>
      <c r="I1" s="66" t="s">
        <v>69</v>
      </c>
      <c r="J1" s="67"/>
      <c r="K1" s="67"/>
      <c r="L1" s="68"/>
      <c r="M1" s="114" t="s">
        <v>70</v>
      </c>
      <c r="N1" s="67"/>
      <c r="O1" s="67"/>
      <c r="P1" s="68"/>
      <c r="Q1" s="102" t="s">
        <v>71</v>
      </c>
      <c r="R1" s="67"/>
      <c r="S1" s="67"/>
      <c r="T1" s="68"/>
    </row>
    <row r="2" spans="1:26" ht="17.25" customHeight="1">
      <c r="A2" s="120" t="s">
        <v>72</v>
      </c>
      <c r="B2" s="121"/>
      <c r="C2" s="122">
        <v>224827</v>
      </c>
      <c r="D2" s="77"/>
      <c r="E2" s="123" t="s">
        <v>73</v>
      </c>
      <c r="F2" s="121"/>
      <c r="G2" s="106">
        <v>4.72</v>
      </c>
      <c r="H2" s="77"/>
      <c r="I2" s="107" t="s">
        <v>74</v>
      </c>
      <c r="J2" s="86"/>
      <c r="K2" s="76">
        <f>'006208'!D3*'006208'!C3*0.997</f>
        <v>193106.13840000003</v>
      </c>
      <c r="L2" s="77"/>
      <c r="M2" s="112" t="s">
        <v>1</v>
      </c>
      <c r="N2" s="86"/>
      <c r="O2" s="84">
        <f>VT!H3*VT!D3</f>
        <v>249988.43725127997</v>
      </c>
      <c r="P2" s="77"/>
      <c r="Q2" s="85" t="s">
        <v>75</v>
      </c>
      <c r="R2" s="86"/>
      <c r="S2" s="115">
        <f>(682.1+1166.72+328.25)*投資!G2</f>
        <v>68534.1636</v>
      </c>
      <c r="T2" s="77"/>
    </row>
    <row r="3" spans="1:26" ht="17.25" customHeight="1">
      <c r="A3" s="70" t="s">
        <v>76</v>
      </c>
      <c r="B3" s="42"/>
      <c r="C3" s="65">
        <v>11601</v>
      </c>
      <c r="D3" s="63"/>
      <c r="E3" s="69" t="s">
        <v>77</v>
      </c>
      <c r="F3" s="42"/>
      <c r="G3" s="100">
        <v>521.76</v>
      </c>
      <c r="H3" s="63"/>
      <c r="I3" s="119" t="s">
        <v>78</v>
      </c>
      <c r="J3" s="98"/>
      <c r="K3" s="103">
        <f>'2890'!D3*'2890'!C3*0.997</f>
        <v>157733.37599999999</v>
      </c>
      <c r="L3" s="63"/>
      <c r="M3" s="110"/>
      <c r="N3" s="98"/>
      <c r="O3" s="62"/>
      <c r="P3" s="63"/>
      <c r="Q3" s="97" t="s">
        <v>79</v>
      </c>
      <c r="R3" s="98"/>
      <c r="S3" s="71">
        <f>234.83*投資!G2</f>
        <v>7392.4484000000002</v>
      </c>
      <c r="T3" s="63"/>
    </row>
    <row r="4" spans="1:26" ht="15.75" customHeight="1">
      <c r="A4" s="70" t="s">
        <v>80</v>
      </c>
      <c r="B4" s="42"/>
      <c r="C4" s="65">
        <v>120075</v>
      </c>
      <c r="D4" s="63"/>
      <c r="E4" s="69" t="s">
        <v>81</v>
      </c>
      <c r="F4" s="42"/>
      <c r="G4" s="100">
        <v>97.27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82</v>
      </c>
      <c r="R4" s="98"/>
      <c r="S4" s="71">
        <f>309.82*投資!G2</f>
        <v>9753.1335999999992</v>
      </c>
      <c r="T4" s="63"/>
    </row>
    <row r="5" spans="1:26" ht="16.5" customHeight="1">
      <c r="A5" s="70" t="s">
        <v>83</v>
      </c>
      <c r="B5" s="42"/>
      <c r="C5" s="65">
        <v>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84</v>
      </c>
      <c r="R5" s="98"/>
      <c r="S5" s="71">
        <f>15.45*投資!G2</f>
        <v>486.36599999999999</v>
      </c>
      <c r="T5" s="63"/>
    </row>
    <row r="6" spans="1:26" ht="17.25" customHeight="1">
      <c r="A6" s="70" t="s">
        <v>85</v>
      </c>
      <c r="B6" s="42"/>
      <c r="C6" s="65">
        <v>2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86</v>
      </c>
      <c r="R6" s="42"/>
      <c r="S6" s="71">
        <f>(502.19+483.32+301.6+2206.02+151.975)*投資!G2</f>
        <v>114747.9054</v>
      </c>
      <c r="T6" s="63"/>
    </row>
    <row r="7" spans="1:26" ht="17.25" customHeight="1">
      <c r="A7" s="70" t="s">
        <v>87</v>
      </c>
      <c r="B7" s="42"/>
      <c r="C7" s="65">
        <v>100000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88</v>
      </c>
      <c r="R7" s="42"/>
      <c r="S7" s="71">
        <f>(501.74+500.68)*投資!G2</f>
        <v>31556.181600000004</v>
      </c>
      <c r="T7" s="63"/>
    </row>
    <row r="8" spans="1:26" ht="17.25" customHeight="1">
      <c r="A8" s="70" t="s">
        <v>89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>
      <c r="A9" s="87" t="s">
        <v>90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>
      <c r="A10" s="72" t="s">
        <v>91</v>
      </c>
      <c r="B10" s="73"/>
      <c r="C10" s="74">
        <f>SUM(C2:D9)</f>
        <v>517305</v>
      </c>
      <c r="D10" s="75"/>
      <c r="E10" s="72" t="s">
        <v>91</v>
      </c>
      <c r="F10" s="73"/>
      <c r="G10" s="74">
        <f>SUM(G2:H9)*投資!G2</f>
        <v>19635.650000000001</v>
      </c>
      <c r="H10" s="75"/>
      <c r="I10" s="72" t="s">
        <v>91</v>
      </c>
      <c r="J10" s="73"/>
      <c r="K10" s="74">
        <f>SUM(K2:L9)</f>
        <v>350839.51439999999</v>
      </c>
      <c r="L10" s="75"/>
      <c r="M10" s="72" t="s">
        <v>91</v>
      </c>
      <c r="N10" s="73"/>
      <c r="O10" s="74">
        <f>SUM(O2:P9)</f>
        <v>249988.43725127997</v>
      </c>
      <c r="P10" s="75"/>
      <c r="Q10" s="72" t="s">
        <v>91</v>
      </c>
      <c r="R10" s="73"/>
      <c r="S10" s="74">
        <f>SUM(S2:T9)</f>
        <v>232470.1986</v>
      </c>
      <c r="T10" s="75"/>
    </row>
    <row r="11" spans="1:26" ht="31.5" customHeight="1" thickBot="1">
      <c r="A11" s="99" t="s">
        <v>92</v>
      </c>
      <c r="B11" s="75"/>
      <c r="C11" s="124" t="s">
        <v>93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89">
        <f>C10+G10+K10+O10+S10</f>
        <v>1370238.80025128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99" t="s">
        <v>94</v>
      </c>
      <c r="B14" s="68"/>
      <c r="C14" s="124" t="s">
        <v>95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89">
        <f>A12-C12</f>
        <v>1358226.80025128</v>
      </c>
      <c r="B16" s="68"/>
      <c r="C16" s="101">
        <f>C12/A12</f>
        <v>8.7663551767744353E-3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25" t="s">
        <v>69</v>
      </c>
      <c r="B1" s="44"/>
      <c r="C1" s="42"/>
      <c r="D1" s="3"/>
      <c r="E1" s="40" t="s">
        <v>96</v>
      </c>
      <c r="F1" s="40" t="s">
        <v>97</v>
      </c>
      <c r="G1" s="40" t="s">
        <v>98</v>
      </c>
    </row>
    <row r="2" spans="1:10" ht="21.75" customHeight="1">
      <c r="A2" s="4" t="s">
        <v>7</v>
      </c>
      <c r="B2" s="4" t="s">
        <v>99</v>
      </c>
      <c r="C2" s="4" t="s">
        <v>9</v>
      </c>
      <c r="D2" s="5"/>
      <c r="E2" s="6">
        <v>304</v>
      </c>
      <c r="F2" s="6">
        <v>0</v>
      </c>
      <c r="G2" s="28">
        <v>31.48</v>
      </c>
    </row>
    <row r="3" spans="1:10" ht="17.25" customHeight="1">
      <c r="A3" s="126">
        <f>('006208'!E3+'00692'!E3+'2890'!E3)-('006208'!F3+'00692'!F3+'2890'!F3)-E2+7345</f>
        <v>145514</v>
      </c>
      <c r="B3" s="126">
        <f>總資產!K10</f>
        <v>350839.51439999999</v>
      </c>
      <c r="C3" s="7">
        <f>C4/A3</f>
        <v>1.4110361504734938</v>
      </c>
      <c r="D3" s="8"/>
      <c r="E3" s="9"/>
      <c r="F3" s="9"/>
      <c r="G3" s="9"/>
    </row>
    <row r="4" spans="1:10" ht="17.25" customHeight="1">
      <c r="A4" s="46"/>
      <c r="B4" s="46"/>
      <c r="C4" s="29">
        <f>B3-A3</f>
        <v>205325.51439999999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25" t="s">
        <v>70</v>
      </c>
      <c r="B8" s="44"/>
      <c r="C8" s="42"/>
      <c r="D8" s="5"/>
      <c r="E8" s="125" t="s">
        <v>100</v>
      </c>
      <c r="F8" s="44"/>
      <c r="G8" s="42"/>
    </row>
    <row r="9" spans="1:10" ht="15" customHeight="1">
      <c r="A9" s="4" t="s">
        <v>7</v>
      </c>
      <c r="B9" s="4" t="s">
        <v>99</v>
      </c>
      <c r="C9" s="4" t="s">
        <v>9</v>
      </c>
      <c r="D9" s="5"/>
      <c r="E9" s="4" t="s">
        <v>7</v>
      </c>
      <c r="F9" s="4" t="s">
        <v>99</v>
      </c>
      <c r="G9" s="4" t="s">
        <v>9</v>
      </c>
    </row>
    <row r="10" spans="1:10" ht="18" customHeight="1">
      <c r="A10" s="126">
        <f>(BND!E3+VT!E3)-(BND!F3+VT!F3)</f>
        <v>189677.76697999999</v>
      </c>
      <c r="B10" s="126">
        <f>總資產!O10</f>
        <v>249988.43725127997</v>
      </c>
      <c r="C10" s="7">
        <f>C11/A10</f>
        <v>0.31796383535893941</v>
      </c>
      <c r="D10" s="5"/>
      <c r="E10" s="126">
        <f>A3+A10+A17</f>
        <v>588772.76697999996</v>
      </c>
      <c r="F10" s="126">
        <f>B3+B10+B17</f>
        <v>833298.15025127993</v>
      </c>
      <c r="G10" s="7">
        <f>G11/E10</f>
        <v>0.41531367784812351</v>
      </c>
    </row>
    <row r="11" spans="1:10" ht="18" customHeight="1">
      <c r="A11" s="46"/>
      <c r="B11" s="46"/>
      <c r="C11" s="29">
        <f>B10-A10</f>
        <v>60310.670271279989</v>
      </c>
      <c r="D11" s="5"/>
      <c r="E11" s="46"/>
      <c r="F11" s="46"/>
      <c r="G11" s="31">
        <f>F10-E10</f>
        <v>244525.38327127998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25" t="s">
        <v>71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7</v>
      </c>
      <c r="B16" s="4" t="s">
        <v>99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26">
        <v>253581</v>
      </c>
      <c r="B17" s="126">
        <f>總資產!S10</f>
        <v>232470.1986</v>
      </c>
      <c r="C17" s="7">
        <f>C18/A17</f>
        <v>-8.3250722254427562E-2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46"/>
      <c r="B18" s="46"/>
      <c r="C18" s="29">
        <f>B17-A17</f>
        <v>-21110.801399999997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opLeftCell="A42" zoomScaleNormal="100" workbookViewId="0">
      <selection activeCell="F9" sqref="F9:G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101</v>
      </c>
      <c r="G1" s="42"/>
      <c r="H1" s="57"/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>
      <c r="A3" s="45">
        <f>(E3-F3)/D3</f>
        <v>102.16744730679157</v>
      </c>
      <c r="B3" s="49">
        <f>E3/D3</f>
        <v>106.81498829039812</v>
      </c>
      <c r="C3" s="61">
        <v>226.8</v>
      </c>
      <c r="D3" s="56">
        <f>SUM(D7:D505)</f>
        <v>854</v>
      </c>
      <c r="E3" s="59">
        <f>SUM(E7:E505)</f>
        <v>91220</v>
      </c>
      <c r="F3" s="59">
        <f>SUM(F6:G505)</f>
        <v>3969</v>
      </c>
      <c r="G3" s="7">
        <f>G4/E3</f>
        <v>1.1668077176057883</v>
      </c>
      <c r="H3" s="51"/>
      <c r="I3" s="127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106436.20000000001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20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>
      <c r="A8" s="17">
        <v>3</v>
      </c>
      <c r="B8" s="25" t="s">
        <v>102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>
      <c r="A9" s="17">
        <v>4</v>
      </c>
      <c r="B9" s="25" t="s">
        <v>103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>
      <c r="A10" s="17">
        <v>5</v>
      </c>
      <c r="B10" s="25" t="s">
        <v>104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105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24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106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25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26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107</v>
      </c>
      <c r="C16" s="33"/>
      <c r="D16" s="26"/>
      <c r="E16" s="26"/>
      <c r="F16" s="41">
        <v>152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107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28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108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109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32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33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34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36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37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110</v>
      </c>
      <c r="C27" s="33"/>
      <c r="D27" s="26"/>
      <c r="E27" s="26"/>
      <c r="F27" s="41">
        <v>279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111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40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41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42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112</v>
      </c>
      <c r="C33" s="33"/>
      <c r="D33" s="26"/>
      <c r="E33" s="26"/>
      <c r="F33" s="41">
        <v>374</v>
      </c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113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48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49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50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52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53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114</v>
      </c>
      <c r="C44" s="33"/>
      <c r="D44" s="26"/>
      <c r="E44" s="26"/>
      <c r="F44" s="41">
        <v>647</v>
      </c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115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116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117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58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59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118</v>
      </c>
      <c r="C50" s="33"/>
      <c r="D50" s="26"/>
      <c r="E50" s="26"/>
      <c r="F50" s="41">
        <v>2517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119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 t="s">
        <v>62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63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64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120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161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3" sqref="E53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121</v>
      </c>
      <c r="G1" s="42"/>
      <c r="H1" s="57"/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>
      <c r="A3" s="45">
        <f>(E3-F3)/D3</f>
        <v>17.143750000000001</v>
      </c>
      <c r="B3" s="49">
        <f>E3/D3</f>
        <v>18.743749999999999</v>
      </c>
      <c r="C3" s="128">
        <v>30.9</v>
      </c>
      <c r="D3" s="56">
        <f>SUM(D7:D505)</f>
        <v>5120</v>
      </c>
      <c r="E3" s="59">
        <f>SUM(E7:E505)</f>
        <v>95968</v>
      </c>
      <c r="F3" s="59">
        <f>SUM(F6:G505)</f>
        <v>8192</v>
      </c>
      <c r="G3" s="7">
        <f>G4/E3</f>
        <v>0.73391130376792268</v>
      </c>
      <c r="H3" s="51"/>
      <c r="I3" s="127"/>
      <c r="J3" s="52"/>
    </row>
    <row r="4" spans="1:10" ht="18.75" customHeight="1">
      <c r="A4" s="46"/>
      <c r="B4" s="46"/>
      <c r="C4" s="129"/>
      <c r="D4" s="46"/>
      <c r="E4" s="46"/>
      <c r="F4" s="46"/>
      <c r="G4" s="32">
        <f>D3*C3-E3+F3</f>
        <v>70432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103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>
      <c r="A8" s="17">
        <v>3</v>
      </c>
      <c r="B8" s="25" t="s">
        <v>104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>
      <c r="A9" s="17">
        <v>4</v>
      </c>
      <c r="B9" s="25" t="s">
        <v>104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>
      <c r="A10" s="17">
        <v>5</v>
      </c>
      <c r="B10" s="25" t="s">
        <v>122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105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123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>
      <c r="A13" s="17">
        <v>8</v>
      </c>
      <c r="B13" s="25" t="s">
        <v>24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124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125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25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26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126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28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109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32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33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34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0" t="s">
        <v>36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37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39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40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127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128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41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42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48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49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50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52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53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116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129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130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117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58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59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62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63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64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120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 t="s">
        <v>161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abSelected="1" zoomScaleNormal="100" workbookViewId="0">
      <selection activeCell="E56" sqref="E56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>
      <c r="A3" s="45">
        <f>(E3-F3)/D3</f>
        <v>3680.2280868872563</v>
      </c>
      <c r="B3" s="49">
        <f>E3/D3</f>
        <v>3752.5721748236792</v>
      </c>
      <c r="C3" s="61">
        <f>H3</f>
        <v>4839.1055999999999</v>
      </c>
      <c r="D3" s="56">
        <f>SUM(D7:D505)</f>
        <v>51.660049999999998</v>
      </c>
      <c r="E3" s="59">
        <f>SUM(E7:E505)</f>
        <v>193858.06617999999</v>
      </c>
      <c r="F3" s="59">
        <f>SUM(F6:G505)</f>
        <v>3737.2991999999999</v>
      </c>
      <c r="G3" s="7">
        <f>G4/E3</f>
        <v>0.30882217826155345</v>
      </c>
      <c r="H3" s="51">
        <v>4839.1055999999999</v>
      </c>
      <c r="I3" s="55">
        <f>投資!G2</f>
        <v>31.48</v>
      </c>
      <c r="J3" s="52">
        <f>SUM(J7:J505)</f>
        <v>6136.8600000000015</v>
      </c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59867.670271279982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20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21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22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22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23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>
      <c r="A12" s="17">
        <v>7</v>
      </c>
      <c r="B12" s="25" t="s">
        <v>24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25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26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27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>
      <c r="A16" s="17">
        <v>11</v>
      </c>
      <c r="B16" s="25" t="s">
        <v>28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29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30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31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32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33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34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35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36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37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38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39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40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41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42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43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45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46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47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48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49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50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51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52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53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54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55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56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57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58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59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60</v>
      </c>
      <c r="C48" s="36">
        <f t="shared" si="0"/>
        <v>0</v>
      </c>
      <c r="D48" s="26"/>
      <c r="E48" s="26"/>
      <c r="F48" s="41">
        <f>36.62*投資!G2</f>
        <v>1152.7975999999999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61</v>
      </c>
      <c r="C49" s="36">
        <f t="shared" si="0"/>
        <v>4493.1403999999993</v>
      </c>
      <c r="D49" s="26">
        <v>0.21018000000000001</v>
      </c>
      <c r="E49" s="26">
        <f>30.01*投資!G2</f>
        <v>944.71480000000008</v>
      </c>
      <c r="F49" s="41"/>
      <c r="G49" s="42"/>
      <c r="H49" s="20">
        <v>142.72999999999999</v>
      </c>
      <c r="I49" s="20">
        <f>投資!G2</f>
        <v>31.48</v>
      </c>
      <c r="J49" s="20">
        <v>30.01</v>
      </c>
    </row>
    <row r="50" spans="1:10" s="12" customFormat="1" ht="16.5" customHeight="1">
      <c r="A50" s="17">
        <v>45</v>
      </c>
      <c r="B50" s="25" t="s">
        <v>62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63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64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 t="s">
        <v>65</v>
      </c>
      <c r="C53" s="36">
        <f t="shared" si="0"/>
        <v>0</v>
      </c>
      <c r="D53" s="26"/>
      <c r="E53" s="26"/>
      <c r="F53" s="41">
        <f>11.42*投資!G2</f>
        <v>359.5016</v>
      </c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66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>
      <c r="A55" s="17">
        <v>50</v>
      </c>
      <c r="B55" s="25" t="s">
        <v>161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131</v>
      </c>
      <c r="G1" s="42"/>
      <c r="H1" s="57"/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>
      <c r="A3" s="45" t="e">
        <f>(E3-F3)/D3</f>
        <v>#DIV/0!</v>
      </c>
      <c r="B3" s="49" t="e">
        <f>E3/D3</f>
        <v>#DIV/0!</v>
      </c>
      <c r="C3" s="61" t="s">
        <v>132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104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>
      <c r="A8" s="17">
        <v>3</v>
      </c>
      <c r="B8" s="25" t="s">
        <v>122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>
      <c r="A9" s="17">
        <v>4</v>
      </c>
      <c r="B9" s="25" t="s">
        <v>105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>
      <c r="A10" s="17">
        <v>5</v>
      </c>
      <c r="B10" s="25" t="s">
        <v>24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133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25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26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107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>
      <c r="A15" s="17">
        <v>10</v>
      </c>
      <c r="B15" s="25" t="s">
        <v>28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134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109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30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32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33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34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36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37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110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111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40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41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42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112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113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48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49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50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52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53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114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115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116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135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136</v>
      </c>
      <c r="G1" s="42"/>
      <c r="H1" s="57" t="s">
        <v>2</v>
      </c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>
      <c r="A3" s="45" t="e">
        <f>(E3-F3)/D3</f>
        <v>#DIV/0!</v>
      </c>
      <c r="B3" s="49" t="e">
        <f>E3/D3</f>
        <v>#DIV/0!</v>
      </c>
      <c r="C3" s="128">
        <f>H3*I3</f>
        <v>2335.1864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137</v>
      </c>
      <c r="I3" s="127">
        <f>投資!G2</f>
        <v>31.48</v>
      </c>
      <c r="J3" s="52">
        <f>SUM(J7:J505)</f>
        <v>-41.149999999999864</v>
      </c>
    </row>
    <row r="4" spans="1:10" ht="18.75" customHeight="1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20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138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>
      <c r="A9" s="17">
        <v>4</v>
      </c>
      <c r="B9" s="25" t="s">
        <v>21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139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139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123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>
      <c r="A13" s="17">
        <v>8</v>
      </c>
      <c r="B13" s="25" t="s">
        <v>24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140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>
      <c r="A15" s="17">
        <v>10</v>
      </c>
      <c r="B15" s="25" t="s">
        <v>25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141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26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107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142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28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29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143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144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32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145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33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146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34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147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12" t="s">
        <v>36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148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37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149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38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150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40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151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41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152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42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153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154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44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45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155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46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156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48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157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49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158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50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159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160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114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>
      <c r="A57" s="17">
        <v>52</v>
      </c>
      <c r="B57" s="25" t="s">
        <v>54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55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2026-05-07T23:53:21Z</dcterms:modified>
  <dc:language>en-US</dc:language>
</cp:coreProperties>
</file>