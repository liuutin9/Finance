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1E5EB1AF-5BD7-4612-A73F-A631D1E13F4F}" xr6:coauthVersionLast="47" xr6:coauthVersionMax="47" xr10:uidLastSave="{00000000-0000-0000-0000-000000000000}"/>
  <bookViews>
    <workbookView xWindow="-28920" yWindow="-990" windowWidth="29040" windowHeight="17520" tabRatio="679" activeTab="3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E3" i="8"/>
  <c r="B3" i="8" s="1"/>
  <c r="D3" i="8"/>
  <c r="A3" i="8" s="1"/>
  <c r="G4" i="7"/>
  <c r="G3" i="7" s="1"/>
  <c r="F3" i="7"/>
  <c r="A3" i="7" s="1"/>
  <c r="E3" i="7"/>
  <c r="D3" i="7"/>
  <c r="B3" i="7" s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E3" i="6" s="1"/>
  <c r="C7" i="6"/>
  <c r="J3" i="6"/>
  <c r="I3" i="6"/>
  <c r="F3" i="6"/>
  <c r="D3" i="6"/>
  <c r="G4" i="6" s="1"/>
  <c r="G3" i="6" s="1"/>
  <c r="C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E49" i="5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B3" i="5" s="1"/>
  <c r="D3" i="5"/>
  <c r="O2" i="1" s="1"/>
  <c r="O10" i="1" s="1"/>
  <c r="B10" i="2" s="1"/>
  <c r="C3" i="5"/>
  <c r="F3" i="4"/>
  <c r="E3" i="4"/>
  <c r="D3" i="4"/>
  <c r="K3" i="1" s="1"/>
  <c r="C12" i="1"/>
  <c r="G10" i="1"/>
  <c r="C10" i="1"/>
  <c r="S7" i="1"/>
  <c r="S6" i="1"/>
  <c r="S5" i="1"/>
  <c r="S4" i="1"/>
  <c r="S3" i="1"/>
  <c r="O3" i="1"/>
  <c r="S2" i="1"/>
  <c r="S10" i="1" s="1"/>
  <c r="B17" i="2" s="1"/>
  <c r="C18" i="2" s="1"/>
  <c r="C17" i="2" s="1"/>
  <c r="F3" i="3"/>
  <c r="E3" i="3"/>
  <c r="D3" i="3"/>
  <c r="K2" i="1" s="1"/>
  <c r="A3" i="2" l="1"/>
  <c r="A3" i="4"/>
  <c r="K10" i="1"/>
  <c r="B3" i="2" s="1"/>
  <c r="C4" i="2" s="1"/>
  <c r="C3" i="2" s="1"/>
  <c r="B3" i="6"/>
  <c r="A3" i="6"/>
  <c r="C11" i="2"/>
  <c r="C10" i="2" s="1"/>
  <c r="G4" i="5"/>
  <c r="G3" i="5" s="1"/>
  <c r="G4" i="4"/>
  <c r="G3" i="4" s="1"/>
  <c r="A3" i="5"/>
  <c r="A3" i="3"/>
  <c r="B3" i="3"/>
  <c r="G4" i="8"/>
  <c r="G3" i="8" s="1"/>
  <c r="G4" i="3"/>
  <c r="G3" i="3" s="1"/>
  <c r="A10" i="2"/>
  <c r="E10" i="2" s="1"/>
  <c r="B3" i="4"/>
  <c r="F10" i="2" l="1"/>
  <c r="A12" i="1"/>
  <c r="G11" i="2"/>
  <c r="G10" i="2" s="1"/>
  <c r="A16" i="1" l="1"/>
  <c r="C16" i="1"/>
</calcChain>
</file>

<file path=xl/sharedStrings.xml><?xml version="1.0" encoding="utf-8"?>
<sst xmlns="http://schemas.openxmlformats.org/spreadsheetml/2006/main" count="422" uniqueCount="171">
  <si>
    <t>存股統計專用表格</t>
  </si>
  <si>
    <t>006208.TW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</si>
  <si>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</si>
  <si>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</si>
  <si>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</si>
  <si>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</si>
  <si>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</si>
  <si>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</si>
  <si>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</si>
  <si>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</si>
  <si>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</si>
  <si>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</si>
  <si>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</si>
  <si>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</si>
  <si>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</si>
  <si>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</si>
  <si>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</si>
  <si>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</si>
  <si>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</si>
  <si>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</si>
  <si>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</si>
  <si>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</si>
  <si>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</si>
  <si>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</si>
  <si>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</si>
  <si>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</si>
  <si>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</si>
  <si>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</si>
  <si>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</si>
  <si>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</si>
  <si>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</si>
  <si>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</si>
  <si>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</si>
  <si>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</si>
  <si>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</si>
  <si>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</si>
  <si>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</si>
  <si>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</si>
  <si>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</si>
  <si>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</si>
  <si>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</si>
  <si>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</si>
  <si>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</si>
  <si>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</si>
  <si>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</si>
  <si>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</si>
  <si>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</si>
  <si>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</si>
  <si>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</si>
  <si>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</si>
  <si>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</si>
  <si>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</si>
  <si>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</si>
  <si>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</si>
  <si>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</si>
  <si>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</si>
  <si>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</si>
  <si>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</si>
  <si>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</si>
  <si>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</si>
  <si>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</si>
  <si>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</si>
  <si>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</si>
  <si>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</si>
  <si>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</si>
  <si>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2026.07.06</t>
  </si>
  <si>
    <t>2026.08.06</t>
  </si>
  <si>
    <t>2026.08.10</t>
  </si>
  <si>
    <t>2026.08.13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</si>
  <si>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</si>
  <si>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</si>
  <si>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</si>
  <si>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</si>
  <si>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</si>
  <si>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</si>
  <si>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</si>
  <si>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</si>
  <si>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</si>
  <si>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</si>
  <si>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</si>
  <si>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</si>
  <si>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</si>
  <si>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VOO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</si>
  <si>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</si>
  <si>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</si>
  <si>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</si>
  <si>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</si>
  <si>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</si>
  <si>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</si>
  <si>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</si>
  <si>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</si>
  <si>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</si>
  <si>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</si>
  <si>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</si>
  <si>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</si>
  <si>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</si>
  <si>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</si>
  <si>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</si>
  <si>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</si>
  <si>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</si>
  <si>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</si>
  <si>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</si>
  <si>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</si>
  <si>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</si>
  <si>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</si>
  <si>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</si>
  <si>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</si>
  <si>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</si>
  <si>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</si>
  <si>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</si>
  <si>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</si>
  <si>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</si>
  <si>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</si>
  <si>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</si>
  <si>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</si>
  <si>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</si>
  <si>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</si>
  <si>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</si>
  <si>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</si>
  <si>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</si>
  <si>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</si>
  <si>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</si>
  <si>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</si>
  <si>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</si>
  <si>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</si>
  <si>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</si>
  <si>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</si>
  <si>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</si>
  <si>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</si>
  <si>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</si>
  <si>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</si>
  <si>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</si>
  <si>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</si>
  <si>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</si>
  <si>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</si>
  <si>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</si>
  <si>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</si>
  <si>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</si>
  <si>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</si>
  <si>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</si>
  <si>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</si>
  <si>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</si>
  <si>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</si>
  <si>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</si>
  <si>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</si>
  <si>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</si>
  <si>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</si>
  <si>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</si>
  <si>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</si>
  <si>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</si>
  <si>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</si>
  <si>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</si>
  <si>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</si>
  <si>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</si>
  <si>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</si>
  <si>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</si>
  <si>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</si>
  <si>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</si>
  <si>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</si>
  <si>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</si>
  <si>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</si>
  <si>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</si>
  <si>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</si>
  <si>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</si>
  <si>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</si>
  <si>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</si>
  <si>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</si>
  <si>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</si>
  <si>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</si>
  <si>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</si>
  <si>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2026.08.31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</si>
</sst>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28F-4715-AE5D-007BAF19A8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28F-4715-AE5D-007BAF19A8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28F-4715-AE5D-007BAF19A8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28F-4715-AE5D-007BAF19A8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28F-4715-AE5D-007BAF19A849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7053.0439999999999</c:v>
                </c:pt>
                <c:pt idx="2">
                  <c:v>437428.16680000001</c:v>
                </c:pt>
                <c:pt idx="3">
                  <c:v>278887.48518903641</c:v>
                </c:pt>
                <c:pt idx="4">
                  <c:v>233563.13346000004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28F-4715-AE5D-007BAF19A84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62-410B-B29B-54B656EC9F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62-410B-B29B-54B656EC9F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62-410B-B29B-54B656EC9FE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E62-410B-B29B-54B656EC9FE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E62-410B-B29B-54B656EC9FE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E62-410B-B29B-54B656EC9FEF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221883.1476</c:v>
                </c:pt>
                <c:pt idx="1">
                  <c:v>215545.01919999998</c:v>
                </c:pt>
                <c:pt idx="2">
                  <c:v>267989.28605318523</c:v>
                </c:pt>
                <c:pt idx="3">
                  <c:v>68856.369960000011</c:v>
                </c:pt>
                <c:pt idx="4">
                  <c:v>7427.2032400000007</c:v>
                </c:pt>
                <c:pt idx="5">
                  <c:v>9798.9869600000002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E62-410B-B29B-54B656EC9FE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69</v>
      </c>
      <c r="B1" s="67"/>
      <c r="C1" s="67"/>
      <c r="D1" s="68"/>
      <c r="E1" s="80" t="s">
        <v>70</v>
      </c>
      <c r="F1" s="67"/>
      <c r="G1" s="67"/>
      <c r="H1" s="68"/>
      <c r="I1" s="66" t="s">
        <v>71</v>
      </c>
      <c r="J1" s="67"/>
      <c r="K1" s="67"/>
      <c r="L1" s="68"/>
      <c r="M1" s="114" t="s">
        <v>72</v>
      </c>
      <c r="N1" s="67"/>
      <c r="O1" s="67"/>
      <c r="P1" s="68"/>
      <c r="Q1" s="102" t="s">
        <v>73</v>
      </c>
      <c r="R1" s="67"/>
      <c r="S1" s="67"/>
      <c r="T1" s="68"/>
    </row>
    <row r="2" spans="1:26" ht="17.25" customHeight="1" x14ac:dyDescent="0.25">
      <c r="A2" s="120" t="s">
        <v>74</v>
      </c>
      <c r="B2" s="121"/>
      <c r="C2" s="122">
        <v>201256</v>
      </c>
      <c r="D2" s="77"/>
      <c r="E2" s="123" t="s">
        <v>75</v>
      </c>
      <c r="F2" s="121"/>
      <c r="G2" s="106">
        <v>220</v>
      </c>
      <c r="H2" s="77"/>
      <c r="I2" s="107" t="s">
        <v>76</v>
      </c>
      <c r="J2" s="86"/>
      <c r="K2" s="76">
        <f>'006208'!D3*'006208'!C3*0.997</f>
        <v>221883.1476</v>
      </c>
      <c r="L2" s="77"/>
      <c r="M2" s="112" t="s">
        <v>77</v>
      </c>
      <c r="N2" s="86"/>
      <c r="O2" s="84">
        <f>VT!H3*VT!D3</f>
        <v>267989.28605318523</v>
      </c>
      <c r="P2" s="77"/>
      <c r="Q2" s="85" t="s">
        <v>78</v>
      </c>
      <c r="R2" s="86"/>
      <c r="S2" s="115">
        <f>(682.1+1166.72+328.25)*投資!G2</f>
        <v>68856.369960000011</v>
      </c>
      <c r="T2" s="77"/>
    </row>
    <row r="3" spans="1:26" ht="17.25" customHeight="1" x14ac:dyDescent="0.25">
      <c r="A3" s="70" t="s">
        <v>79</v>
      </c>
      <c r="B3" s="42"/>
      <c r="C3" s="65">
        <v>11601</v>
      </c>
      <c r="D3" s="63"/>
      <c r="E3" s="69" t="s">
        <v>80</v>
      </c>
      <c r="F3" s="42"/>
      <c r="G3" s="100">
        <v>0</v>
      </c>
      <c r="H3" s="63"/>
      <c r="I3" s="119" t="s">
        <v>81</v>
      </c>
      <c r="J3" s="98"/>
      <c r="K3" s="103">
        <f>'2890'!D3*'2890'!C3*0.997</f>
        <v>215545.01919999998</v>
      </c>
      <c r="L3" s="63"/>
      <c r="M3" s="110" t="s">
        <v>82</v>
      </c>
      <c r="N3" s="98"/>
      <c r="O3" s="62">
        <f>VOO!C3*VOO!D3</f>
        <v>10898.1991358512</v>
      </c>
      <c r="P3" s="63"/>
      <c r="Q3" s="97" t="s">
        <v>83</v>
      </c>
      <c r="R3" s="98"/>
      <c r="S3" s="71">
        <f>234.83*投資!G2</f>
        <v>7427.2032400000007</v>
      </c>
      <c r="T3" s="63"/>
    </row>
    <row r="4" spans="1:26" ht="15.75" customHeight="1" x14ac:dyDescent="0.25">
      <c r="A4" s="70" t="s">
        <v>84</v>
      </c>
      <c r="B4" s="42"/>
      <c r="C4" s="65">
        <v>150039</v>
      </c>
      <c r="D4" s="63"/>
      <c r="E4" s="69" t="s">
        <v>85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86</v>
      </c>
      <c r="R4" s="98"/>
      <c r="S4" s="71">
        <f>309.82*投資!G2</f>
        <v>9798.9869600000002</v>
      </c>
      <c r="T4" s="63"/>
    </row>
    <row r="5" spans="1:26" ht="16.5" customHeight="1" x14ac:dyDescent="0.25">
      <c r="A5" s="70" t="s">
        <v>87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88</v>
      </c>
      <c r="R5" s="98"/>
      <c r="S5" s="71">
        <f>15.45*投資!G2</f>
        <v>488.65260000000001</v>
      </c>
      <c r="T5" s="63"/>
    </row>
    <row r="6" spans="1:26" ht="17.25" customHeight="1" x14ac:dyDescent="0.25">
      <c r="A6" s="70" t="s">
        <v>89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90</v>
      </c>
      <c r="R6" s="42"/>
      <c r="S6" s="71">
        <f>(502.19+483.32+301.6+2206.02+151.975)*投資!G2</f>
        <v>115287.38094</v>
      </c>
      <c r="T6" s="63"/>
    </row>
    <row r="7" spans="1:26" ht="17.25" customHeight="1" x14ac:dyDescent="0.25">
      <c r="A7" s="70" t="s">
        <v>91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92</v>
      </c>
      <c r="R7" s="42"/>
      <c r="S7" s="71">
        <f>(501.74+500.68)*投資!G2</f>
        <v>31704.539760000003</v>
      </c>
      <c r="T7" s="63"/>
    </row>
    <row r="8" spans="1:26" ht="17.25" customHeight="1" x14ac:dyDescent="0.25">
      <c r="A8" s="70" t="s">
        <v>93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94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95</v>
      </c>
      <c r="B10" s="73"/>
      <c r="C10" s="74">
        <f>SUM(C2:D9)</f>
        <v>525135</v>
      </c>
      <c r="D10" s="75"/>
      <c r="E10" s="72" t="s">
        <v>95</v>
      </c>
      <c r="F10" s="73"/>
      <c r="G10" s="74">
        <f>SUM(G2:H9)*投資!G2</f>
        <v>7053.0439999999999</v>
      </c>
      <c r="H10" s="75"/>
      <c r="I10" s="72" t="s">
        <v>95</v>
      </c>
      <c r="J10" s="73"/>
      <c r="K10" s="74">
        <f>SUM(K2:L9)</f>
        <v>437428.16680000001</v>
      </c>
      <c r="L10" s="75"/>
      <c r="M10" s="72" t="s">
        <v>95</v>
      </c>
      <c r="N10" s="73"/>
      <c r="O10" s="74">
        <f>SUM(O2:P9)</f>
        <v>278887.48518903641</v>
      </c>
      <c r="P10" s="75"/>
      <c r="Q10" s="72" t="s">
        <v>95</v>
      </c>
      <c r="R10" s="73"/>
      <c r="S10" s="74">
        <f>SUM(S2:T9)</f>
        <v>233563.13346000004</v>
      </c>
      <c r="T10" s="75"/>
    </row>
    <row r="11" spans="1:26" ht="31.5" customHeight="1" thickBot="1" x14ac:dyDescent="0.3">
      <c r="A11" s="99" t="s">
        <v>96</v>
      </c>
      <c r="B11" s="75"/>
      <c r="C11" s="124" t="s">
        <v>97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1482066.8294490366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98</v>
      </c>
      <c r="B14" s="68"/>
      <c r="C14" s="124" t="s">
        <v>99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1470054.8294490366</v>
      </c>
      <c r="B16" s="68"/>
      <c r="C16" s="101">
        <f>C12/A12</f>
        <v>8.104897674867672E-3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71</v>
      </c>
      <c r="B1" s="44"/>
      <c r="C1" s="42"/>
      <c r="D1" s="3"/>
      <c r="E1" s="40" t="s">
        <v>100</v>
      </c>
      <c r="F1" s="40" t="s">
        <v>101</v>
      </c>
      <c r="G1" s="40" t="s">
        <v>102</v>
      </c>
    </row>
    <row r="2" spans="1:10" ht="21.75" customHeight="1" x14ac:dyDescent="0.3">
      <c r="A2" s="4" t="s">
        <v>6</v>
      </c>
      <c r="B2" s="4" t="s">
        <v>103</v>
      </c>
      <c r="C2" s="4" t="s">
        <v>8</v>
      </c>
      <c r="D2" s="5"/>
      <c r="E2" s="6">
        <v>304</v>
      </c>
      <c r="F2" s="6">
        <v>0</v>
      </c>
      <c r="G2" s="28">
        <v>31.628</v>
      </c>
    </row>
    <row r="3" spans="1:10" ht="17.25" customHeight="1" x14ac:dyDescent="0.3">
      <c r="A3" s="126">
        <f>('006208'!E3+'00692'!E3+'2890'!E3)-('006208'!F3+'00692'!F3+'2890'!F3)-E2+7345</f>
        <v>156911</v>
      </c>
      <c r="B3" s="126">
        <f>總資產!K10</f>
        <v>437428.16680000001</v>
      </c>
      <c r="C3" s="7">
        <f>C4/A3</f>
        <v>1.7877469826844516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280517.16680000001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72</v>
      </c>
      <c r="B8" s="44"/>
      <c r="C8" s="42"/>
      <c r="D8" s="5"/>
      <c r="E8" s="125" t="s">
        <v>104</v>
      </c>
      <c r="F8" s="44"/>
      <c r="G8" s="42"/>
    </row>
    <row r="9" spans="1:10" ht="15" customHeight="1" x14ac:dyDescent="0.3">
      <c r="A9" s="4" t="s">
        <v>6</v>
      </c>
      <c r="B9" s="4" t="s">
        <v>103</v>
      </c>
      <c r="C9" s="4" t="s">
        <v>8</v>
      </c>
      <c r="D9" s="5"/>
      <c r="E9" s="4" t="s">
        <v>6</v>
      </c>
      <c r="F9" s="4" t="s">
        <v>103</v>
      </c>
      <c r="G9" s="4" t="s">
        <v>8</v>
      </c>
    </row>
    <row r="10" spans="1:10" ht="18" customHeight="1" x14ac:dyDescent="0.3">
      <c r="A10" s="126">
        <f>(BND!E3+VT!E3)-(BND!F3+VT!F3)</f>
        <v>193779.03150000001</v>
      </c>
      <c r="B10" s="126">
        <f>總資產!O10</f>
        <v>278887.48518903641</v>
      </c>
      <c r="C10" s="7">
        <f>C11/A10</f>
        <v>0.43920362812338853</v>
      </c>
      <c r="D10" s="5"/>
      <c r="E10" s="126">
        <f>A3+A10+A17</f>
        <v>604271.03150000004</v>
      </c>
      <c r="F10" s="126">
        <f>B3+B10+B17</f>
        <v>949878.78544903651</v>
      </c>
      <c r="G10" s="7">
        <f>G11/E10</f>
        <v>0.57194162210808619</v>
      </c>
    </row>
    <row r="11" spans="1:10" ht="18" customHeight="1" x14ac:dyDescent="0.3">
      <c r="A11" s="46"/>
      <c r="B11" s="46"/>
      <c r="C11" s="29">
        <f>B10-A10</f>
        <v>85108.453689036396</v>
      </c>
      <c r="D11" s="5"/>
      <c r="E11" s="46"/>
      <c r="F11" s="46"/>
      <c r="G11" s="31">
        <f>F10-E10</f>
        <v>345607.75394903647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73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6</v>
      </c>
      <c r="B16" s="4" t="s">
        <v>103</v>
      </c>
      <c r="C16" s="4" t="s">
        <v>8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233563.13346000004</v>
      </c>
      <c r="C17" s="7">
        <f>C18/A17</f>
        <v>-7.8940719296792583E-2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-20017.866539999959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F64" sqref="F64:G6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>
        <f>(E3-F3)/D3</f>
        <v>105.8568281938326</v>
      </c>
      <c r="B3" s="49">
        <f>E3/D3</f>
        <v>114.82599118942731</v>
      </c>
      <c r="C3" s="61">
        <v>245.1</v>
      </c>
      <c r="D3" s="56">
        <f>SUM(D7:D505)</f>
        <v>908</v>
      </c>
      <c r="E3" s="59">
        <f>SUM(E7:E505)</f>
        <v>104262</v>
      </c>
      <c r="F3" s="59">
        <f>SUM(F6:G505)</f>
        <v>8144</v>
      </c>
      <c r="G3" s="7">
        <f>G4/E3</f>
        <v>1.2126450672344669</v>
      </c>
      <c r="H3" s="51"/>
      <c r="I3" s="55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126432.79999999999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17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18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19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20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21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22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23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24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25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25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26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27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29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30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31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32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33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34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35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36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37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38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39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40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41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42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43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44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44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45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46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47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48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49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50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51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52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53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54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55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56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57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58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59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60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61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62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63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64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65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66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67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 t="s">
        <v>68</v>
      </c>
      <c r="C61" s="33">
        <v>244.56</v>
      </c>
      <c r="D61" s="26">
        <v>16</v>
      </c>
      <c r="E61" s="26">
        <v>3914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zoomScaleNormal="100" workbookViewId="0">
      <selection activeCell="E58" sqref="E5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105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>
        <f>(E3-F3)/D3</f>
        <v>16.624815905743741</v>
      </c>
      <c r="B3" s="49">
        <f>E3/D3</f>
        <v>19.179860088365242</v>
      </c>
      <c r="C3" s="127">
        <v>39.799999999999997</v>
      </c>
      <c r="D3" s="56">
        <f>SUM(D7:D505)</f>
        <v>5432</v>
      </c>
      <c r="E3" s="59">
        <f>SUM(E7:E505)</f>
        <v>104185</v>
      </c>
      <c r="F3" s="59">
        <f>SUM(F6:G505)</f>
        <v>13879</v>
      </c>
      <c r="G3" s="7">
        <f>G4/E3</f>
        <v>1.2083082977395976</v>
      </c>
      <c r="H3" s="51"/>
      <c r="I3" s="55"/>
      <c r="J3" s="52"/>
    </row>
    <row r="4" spans="1:10" ht="18.75" customHeight="1" x14ac:dyDescent="0.3">
      <c r="A4" s="46"/>
      <c r="B4" s="46"/>
      <c r="C4" s="128"/>
      <c r="D4" s="46"/>
      <c r="E4" s="46"/>
      <c r="F4" s="46"/>
      <c r="G4" s="32">
        <f>D3*C3-E3+F3</f>
        <v>125887.59999999998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18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19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19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106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20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107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21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108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109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23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24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110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26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29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30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31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32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33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34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37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111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38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112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113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39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40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43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44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45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46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47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48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50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53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114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115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54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55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56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59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60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61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62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63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64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65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66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116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170</v>
      </c>
      <c r="C57" s="34">
        <v>40.619999999999997</v>
      </c>
      <c r="D57" s="26">
        <v>137</v>
      </c>
      <c r="E57" s="26">
        <v>5566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77</v>
      </c>
      <c r="G1" s="42"/>
      <c r="H1" s="57" t="s">
        <v>117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118</v>
      </c>
      <c r="J2" s="27" t="s">
        <v>6</v>
      </c>
    </row>
    <row r="3" spans="1:10" ht="18.75" customHeight="1" x14ac:dyDescent="0.3">
      <c r="A3" s="45">
        <f>(E3-F3)/D3</f>
        <v>3690.6736216508134</v>
      </c>
      <c r="B3" s="49">
        <f>E3/D3</f>
        <v>3774.2549734356749</v>
      </c>
      <c r="C3" s="61">
        <f>H3</f>
        <v>5092.4242800000002</v>
      </c>
      <c r="D3" s="56">
        <f>SUM(D7:D505)</f>
        <v>52.62509</v>
      </c>
      <c r="E3" s="59">
        <f>SUM(E7:E505)</f>
        <v>198620.50766</v>
      </c>
      <c r="F3" s="59">
        <f>SUM(F6:G505)</f>
        <v>4398.4761600000002</v>
      </c>
      <c r="G3" s="7">
        <f>G4/E3</f>
        <v>0.37139797608140518</v>
      </c>
      <c r="H3" s="51">
        <v>5092.4242800000002</v>
      </c>
      <c r="I3" s="129">
        <f>投資!G2</f>
        <v>31.628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73767.254553185237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119</v>
      </c>
      <c r="J5" s="47" t="s">
        <v>120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21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23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24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124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26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125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29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126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30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31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32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127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33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34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37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111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38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39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40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128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43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44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45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129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46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47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48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130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50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131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132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133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134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55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56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135</v>
      </c>
      <c r="C48" s="36">
        <f t="shared" si="0"/>
        <v>0</v>
      </c>
      <c r="D48" s="26"/>
      <c r="E48" s="26"/>
      <c r="F48" s="41">
        <f>36.62*投資!G2</f>
        <v>1158.2173599999999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136</v>
      </c>
      <c r="C49" s="36">
        <f t="shared" si="0"/>
        <v>4514.2644399999999</v>
      </c>
      <c r="D49" s="26">
        <v>0.21018000000000001</v>
      </c>
      <c r="E49" s="26">
        <f>30.01*投資!G2</f>
        <v>949.15628000000004</v>
      </c>
      <c r="F49" s="41"/>
      <c r="G49" s="42"/>
      <c r="H49" s="20">
        <v>142.72999999999999</v>
      </c>
      <c r="I49" s="20">
        <f>投資!G2</f>
        <v>31.628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59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60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61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137</v>
      </c>
      <c r="C53" s="36">
        <f t="shared" si="0"/>
        <v>0</v>
      </c>
      <c r="D53" s="26"/>
      <c r="E53" s="26"/>
      <c r="F53" s="41">
        <f>11.42*投資!G2</f>
        <v>361.19175999999999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138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63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64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139</v>
      </c>
      <c r="C57" s="36">
        <f t="shared" si="0"/>
        <v>0</v>
      </c>
      <c r="D57" s="26"/>
      <c r="E57" s="26"/>
      <c r="F57" s="41">
        <f>20.68 * 投資!G2</f>
        <v>654.06704000000002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65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I8" sqref="I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82</v>
      </c>
      <c r="G1" s="42"/>
      <c r="H1" s="57" t="s">
        <v>117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118</v>
      </c>
      <c r="J2" s="27" t="s">
        <v>6</v>
      </c>
    </row>
    <row r="3" spans="1:10" ht="18.75" customHeight="1" x14ac:dyDescent="0.3">
      <c r="A3" s="45">
        <f>(E3-F3)/D3</f>
        <v>22432.554475482848</v>
      </c>
      <c r="B3" s="49">
        <f>E3/D3</f>
        <v>22432.554475482848</v>
      </c>
      <c r="C3" s="61">
        <f>H3</f>
        <v>22368.586719999999</v>
      </c>
      <c r="D3" s="56">
        <f>SUM(D7:D505)</f>
        <v>0.48721000000000003</v>
      </c>
      <c r="E3" s="59">
        <f>SUM(E7:E505)</f>
        <v>10929.364866</v>
      </c>
      <c r="F3" s="59">
        <f>SUM(F6:G505)</f>
        <v>0</v>
      </c>
      <c r="G3" s="7">
        <f>G4/E3</f>
        <v>-2.851559128175181E-3</v>
      </c>
      <c r="H3" s="51">
        <v>22368.586719999999</v>
      </c>
      <c r="I3" s="129">
        <f>投資!G2</f>
        <v>31.628</v>
      </c>
      <c r="J3" s="52">
        <f>SUM(J7:J505)</f>
        <v>340.02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-31.165730148799412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119</v>
      </c>
      <c r="J5" s="47" t="s">
        <v>120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65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 t="s">
        <v>66</v>
      </c>
      <c r="C8" s="36">
        <f t="shared" si="0"/>
        <v>22899.817332000002</v>
      </c>
      <c r="D8" s="26">
        <v>0.24018</v>
      </c>
      <c r="E8" s="26">
        <f t="shared" si="1"/>
        <v>5500.2655260000001</v>
      </c>
      <c r="F8" s="41"/>
      <c r="G8" s="42"/>
      <c r="H8" s="20">
        <v>707.82</v>
      </c>
      <c r="I8" s="20">
        <v>32.352600000000002</v>
      </c>
      <c r="J8" s="20">
        <v>170.01</v>
      </c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88:G188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140</v>
      </c>
      <c r="G1" s="42"/>
      <c r="H1" s="57"/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141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55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19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106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20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21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142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23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25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26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143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28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29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30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31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32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33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34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35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36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38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39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40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41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42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43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44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45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46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47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48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49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50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51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52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53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144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145</v>
      </c>
      <c r="G1" s="42"/>
      <c r="H1" s="57" t="s">
        <v>117</v>
      </c>
      <c r="I1" s="44"/>
      <c r="J1" s="42"/>
    </row>
    <row r="2" spans="1:10" ht="21.75" customHeight="1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118</v>
      </c>
      <c r="J2" s="27" t="s">
        <v>6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7">
        <f>H3*I3</f>
        <v>2346.1650400000003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146</v>
      </c>
      <c r="I3" s="55">
        <f>投資!G2</f>
        <v>31.628</v>
      </c>
      <c r="J3" s="52">
        <f>SUM(J7:J505)</f>
        <v>-41.149999999999864</v>
      </c>
    </row>
    <row r="4" spans="1:10" ht="18.75" customHeight="1" x14ac:dyDescent="0.3">
      <c r="A4" s="46"/>
      <c r="B4" s="46"/>
      <c r="C4" s="128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119</v>
      </c>
      <c r="J5" s="47" t="s">
        <v>120</v>
      </c>
    </row>
    <row r="6" spans="1:10" x14ac:dyDescent="0.3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16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147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148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148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107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21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149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23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150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24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25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151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26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125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152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29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153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30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154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31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155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32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156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33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157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34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158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37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159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38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160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39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161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40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162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163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43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44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164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45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165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46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166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47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167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48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168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169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51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131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132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祐廷 劉</cp:lastModifiedBy>
  <cp:revision>39</cp:revision>
  <cp:lastPrinted>2024-02-22T01:18:13Z</cp:lastPrinted>
  <dcterms:created xsi:type="dcterms:W3CDTF">2006-09-16T00:00:00Z</dcterms:created>
  <dcterms:modified xsi:type="dcterms:W3CDTF">2026-08-31T13:28:09Z</dcterms:modified>
  <dc:language>en-US</dc:language>
</cp:coreProperties>
</file>